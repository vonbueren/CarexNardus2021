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4.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212" codeName="{6BE1CDB9-6C1C-A5B6-3FC1-E231EC3C600E}"/>
  <workbookPr updateLinks="never" codeName="ThisWorkbook"/>
  <mc:AlternateContent xmlns:mc="http://schemas.openxmlformats.org/markup-compatibility/2006">
    <mc:Choice Requires="x15">
      <x15ac:absPath xmlns:x15ac="http://schemas.microsoft.com/office/spreadsheetml/2010/11/ac" url="/Users/nelson/Google Drive/Lab/Data processing/Bulk 13C &amp; 15N/2021/210225_CN-RvB_Raphi2_alpine_soils_AG_Herbarium_Isotopes_C_only/"/>
    </mc:Choice>
  </mc:AlternateContent>
  <xr:revisionPtr revIDLastSave="0" documentId="13_ncr:1_{E255761D-531F-4742-80F5-E8E615FC3CCD}" xr6:coauthVersionLast="46" xr6:coauthVersionMax="46" xr10:uidLastSave="{00000000-0000-0000-0000-000000000000}"/>
  <bookViews>
    <workbookView xWindow="1260" yWindow="500" windowWidth="39380" windowHeight="23980" tabRatio="566" activeTab="6" xr2:uid="{00000000-000D-0000-FFFF-FFFF00000000}"/>
  </bookViews>
  <sheets>
    <sheet name="Readme" sheetId="6" r:id="rId1"/>
    <sheet name="References" sheetId="7" r:id="rId2"/>
    <sheet name="TCD data" sheetId="1" r:id="rId3"/>
    <sheet name="Elemental analysis" sheetId="2" r:id="rId4"/>
    <sheet name="15N" sheetId="4" r:id="rId5"/>
    <sheet name="13C" sheetId="3" r:id="rId6"/>
    <sheet name="Summary" sheetId="5" r:id="rId7"/>
  </sheets>
  <externalReferences>
    <externalReference r:id="rId8"/>
  </externalReferences>
  <definedNames>
    <definedName name="_xlnm._FilterDatabase" localSheetId="5" hidden="1">'13C'!$A:$Z</definedName>
    <definedName name="_xlnm._FilterDatabase" localSheetId="4" hidden="1">'15N'!$A:$Y</definedName>
    <definedName name="_xlnm._FilterDatabase" localSheetId="3" hidden="1">'Elemental analysis'!$A$15:$A$38</definedName>
    <definedName name="_xlnm._FilterDatabase" localSheetId="2" hidden="1">'TCD data'!$A:$K</definedName>
    <definedName name="C_pct_mg">'Elemental analysis'!$AE$5:$AE$5</definedName>
    <definedName name="_xlnm.Criteria" localSheetId="5">'13C'!$BK$1:$BM$5</definedName>
    <definedName name="_xlnm.Criteria" localSheetId="4">'15N'!$BJ$1:$BL$5</definedName>
    <definedName name="_xlnm.Criteria" localSheetId="3">'Elemental analysis'!$Y$2:$Y$3</definedName>
    <definedName name="d13C">'13C'!$Y$1:$Z$1</definedName>
    <definedName name="d15N">'15N'!$X$1:$Y$1</definedName>
    <definedName name="_xlnm.Extract" localSheetId="5">'13C'!$BU$1:$BV$1</definedName>
    <definedName name="_xlnm.Extract" localSheetId="4">'15N'!$BT$1:$BU$1</definedName>
    <definedName name="_xlnm.Extract" localSheetId="3">'Elemental analysis'!$Y$5:$AD$5</definedName>
    <definedName name="_xlnm.Extract" localSheetId="6">Summary!$A$1:$B$1</definedName>
    <definedName name="N_pct_mg">'Elemental analysis'!$W$5:$X$5</definedName>
    <definedName name="ref_list">'Elemental analysis'!#REF!</definedName>
    <definedName name="Spirulina">refs[Standards]</definedName>
  </definedNames>
  <calcPr calcId="191029" concurrentCalc="0"/>
  <extLst>
    <ext xmlns:mx="http://schemas.microsoft.com/office/mac/excel/2008/main" uri="{7523E5D3-25F3-A5E0-1632-64F254C22452}">
      <mx:ArchID Flags="2"/>
    </ext>
  </extLst>
</workbook>
</file>

<file path=xl/calcChain.xml><?xml version="1.0" encoding="utf-8"?>
<calcChain xmlns="http://schemas.openxmlformats.org/spreadsheetml/2006/main">
  <c r="BW3" i="3" l="1"/>
  <c r="BW4" i="3"/>
  <c r="BW5" i="3"/>
  <c r="BW6" i="3"/>
  <c r="BW7" i="3"/>
  <c r="BW8" i="3"/>
  <c r="BW9" i="3"/>
  <c r="BW10" i="3"/>
  <c r="BW11" i="3"/>
  <c r="BW12" i="3"/>
  <c r="BW13" i="3"/>
  <c r="BW14" i="3"/>
  <c r="BW15" i="3"/>
  <c r="BW16" i="3"/>
  <c r="BW17" i="3"/>
  <c r="BW18" i="3"/>
  <c r="BW19" i="3"/>
  <c r="BW20" i="3"/>
  <c r="BW21" i="3"/>
  <c r="BW22" i="3"/>
  <c r="BW23" i="3"/>
  <c r="BW24" i="3"/>
  <c r="BW25" i="3"/>
  <c r="BW2" i="3"/>
  <c r="AB3" i="3"/>
  <c r="X3" i="3"/>
  <c r="X4"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2" i="3"/>
  <c r="X43" i="4"/>
  <c r="X44" i="4"/>
  <c r="X45" i="4"/>
  <c r="X46" i="4"/>
  <c r="X47" i="4"/>
  <c r="X48" i="4"/>
  <c r="X49" i="4"/>
  <c r="X50" i="4"/>
  <c r="X51" i="4"/>
  <c r="X52" i="4"/>
  <c r="X53" i="4"/>
  <c r="X54" i="4"/>
  <c r="X55" i="4"/>
  <c r="X56" i="4"/>
  <c r="X57" i="4"/>
  <c r="X58" i="4"/>
  <c r="X59" i="4"/>
  <c r="X60" i="4"/>
  <c r="X61" i="4"/>
  <c r="X62" i="4"/>
  <c r="X63" i="4"/>
  <c r="X64" i="4"/>
  <c r="X65" i="4"/>
  <c r="X66" i="4"/>
  <c r="X67" i="4"/>
  <c r="X68" i="4"/>
  <c r="X69" i="4"/>
  <c r="X70" i="4"/>
  <c r="X71" i="4"/>
  <c r="X72" i="4"/>
  <c r="X73" i="4"/>
  <c r="X74" i="4"/>
  <c r="X75" i="4"/>
  <c r="X76" i="4"/>
  <c r="X77" i="4"/>
  <c r="X78" i="4"/>
  <c r="X79" i="4"/>
  <c r="X80" i="4"/>
  <c r="X81" i="4"/>
  <c r="X82" i="4"/>
  <c r="X83" i="4"/>
  <c r="X84" i="4"/>
  <c r="X85" i="4"/>
  <c r="X86" i="4"/>
  <c r="X87" i="4"/>
  <c r="X88" i="4"/>
  <c r="X89" i="4"/>
  <c r="X90" i="4"/>
  <c r="X91" i="4"/>
  <c r="X92" i="4"/>
  <c r="X93" i="4"/>
  <c r="X94" i="4"/>
  <c r="X95" i="4"/>
  <c r="X96" i="4"/>
  <c r="X97" i="4"/>
  <c r="X98" i="4"/>
  <c r="X99" i="4"/>
  <c r="X100" i="4"/>
  <c r="X101" i="4"/>
  <c r="X102" i="4"/>
  <c r="X103" i="4"/>
  <c r="X104" i="4"/>
  <c r="X105" i="4"/>
  <c r="X106" i="4"/>
  <c r="X107" i="4"/>
  <c r="X108" i="4"/>
  <c r="X109" i="4"/>
  <c r="X110" i="4"/>
  <c r="X111" i="4"/>
  <c r="X112" i="4"/>
  <c r="X113" i="4"/>
  <c r="X114" i="4"/>
  <c r="X115" i="4"/>
  <c r="X116" i="4"/>
  <c r="X117" i="4"/>
  <c r="X118" i="4"/>
  <c r="X119" i="4"/>
  <c r="X120" i="4"/>
  <c r="X121" i="4"/>
  <c r="X122" i="4"/>
  <c r="X123" i="4"/>
  <c r="X124" i="4"/>
  <c r="X125" i="4"/>
  <c r="X126" i="4"/>
  <c r="X127" i="4"/>
  <c r="X128" i="4"/>
  <c r="X129" i="4"/>
  <c r="X130" i="4"/>
  <c r="X131" i="4"/>
  <c r="X132" i="4"/>
  <c r="X133" i="4"/>
  <c r="X134" i="4"/>
  <c r="X135" i="4"/>
  <c r="X136" i="4"/>
  <c r="X137" i="4"/>
  <c r="X138" i="4"/>
  <c r="X139" i="4"/>
  <c r="X140" i="4"/>
  <c r="X141" i="4"/>
  <c r="X142" i="4"/>
  <c r="X143" i="4"/>
  <c r="X144" i="4"/>
  <c r="X145" i="4"/>
  <c r="X146" i="4"/>
  <c r="X147" i="4"/>
  <c r="AA3" i="4"/>
  <c r="W3" i="4"/>
  <c r="W4" i="4"/>
  <c r="W5" i="4"/>
  <c r="W6" i="4"/>
  <c r="W7" i="4"/>
  <c r="W8" i="4"/>
  <c r="W9" i="4"/>
  <c r="W10" i="4"/>
  <c r="W11" i="4"/>
  <c r="W12" i="4"/>
  <c r="W13" i="4"/>
  <c r="W14" i="4"/>
  <c r="W15" i="4"/>
  <c r="W16" i="4"/>
  <c r="W17" i="4"/>
  <c r="W18" i="4"/>
  <c r="W19" i="4"/>
  <c r="W20" i="4"/>
  <c r="W21" i="4"/>
  <c r="W22" i="4"/>
  <c r="W23" i="4"/>
  <c r="W24" i="4"/>
  <c r="W25" i="4"/>
  <c r="W26" i="4"/>
  <c r="W27" i="4"/>
  <c r="W28" i="4"/>
  <c r="W29" i="4"/>
  <c r="W30" i="4"/>
  <c r="W31" i="4"/>
  <c r="W32" i="4"/>
  <c r="W33" i="4"/>
  <c r="W34" i="4"/>
  <c r="W35" i="4"/>
  <c r="W36" i="4"/>
  <c r="W37" i="4"/>
  <c r="W38" i="4"/>
  <c r="W39" i="4"/>
  <c r="W40" i="4"/>
  <c r="W41" i="4"/>
  <c r="W42" i="4"/>
  <c r="W43" i="4"/>
  <c r="W44" i="4"/>
  <c r="W45" i="4"/>
  <c r="W46" i="4"/>
  <c r="W47" i="4"/>
  <c r="W48" i="4"/>
  <c r="W49" i="4"/>
  <c r="W50" i="4"/>
  <c r="W51" i="4"/>
  <c r="W52" i="4"/>
  <c r="W53" i="4"/>
  <c r="W54" i="4"/>
  <c r="W55" i="4"/>
  <c r="W56" i="4"/>
  <c r="W57" i="4"/>
  <c r="W58" i="4"/>
  <c r="W59" i="4"/>
  <c r="W60" i="4"/>
  <c r="W61" i="4"/>
  <c r="W62" i="4"/>
  <c r="W63" i="4"/>
  <c r="W64" i="4"/>
  <c r="W65" i="4"/>
  <c r="W66" i="4"/>
  <c r="W67" i="4"/>
  <c r="W68" i="4"/>
  <c r="W69" i="4"/>
  <c r="W70" i="4"/>
  <c r="W71" i="4"/>
  <c r="W72" i="4"/>
  <c r="W73" i="4"/>
  <c r="W74" i="4"/>
  <c r="W75" i="4"/>
  <c r="W76" i="4"/>
  <c r="W77" i="4"/>
  <c r="W78" i="4"/>
  <c r="W79" i="4"/>
  <c r="W80" i="4"/>
  <c r="W81" i="4"/>
  <c r="W82" i="4"/>
  <c r="W83" i="4"/>
  <c r="W84" i="4"/>
  <c r="W85" i="4"/>
  <c r="W86" i="4"/>
  <c r="W87" i="4"/>
  <c r="W88" i="4"/>
  <c r="W89" i="4"/>
  <c r="W90" i="4"/>
  <c r="W91" i="4"/>
  <c r="W92" i="4"/>
  <c r="W93" i="4"/>
  <c r="W94" i="4"/>
  <c r="W95" i="4"/>
  <c r="W96" i="4"/>
  <c r="W97" i="4"/>
  <c r="W98" i="4"/>
  <c r="W99" i="4"/>
  <c r="W100" i="4"/>
  <c r="W101" i="4"/>
  <c r="W102" i="4"/>
  <c r="W103" i="4"/>
  <c r="W104" i="4"/>
  <c r="W105" i="4"/>
  <c r="W106" i="4"/>
  <c r="W107" i="4"/>
  <c r="W108" i="4"/>
  <c r="W109" i="4"/>
  <c r="W110" i="4"/>
  <c r="W111" i="4"/>
  <c r="W112" i="4"/>
  <c r="W113" i="4"/>
  <c r="W114" i="4"/>
  <c r="W115" i="4"/>
  <c r="W116" i="4"/>
  <c r="W117" i="4"/>
  <c r="W118" i="4"/>
  <c r="W119" i="4"/>
  <c r="W120" i="4"/>
  <c r="W121" i="4"/>
  <c r="W122" i="4"/>
  <c r="W123" i="4"/>
  <c r="W124" i="4"/>
  <c r="W125" i="4"/>
  <c r="W126" i="4"/>
  <c r="W127" i="4"/>
  <c r="W128" i="4"/>
  <c r="W129" i="4"/>
  <c r="W130" i="4"/>
  <c r="W131" i="4"/>
  <c r="W132" i="4"/>
  <c r="W133" i="4"/>
  <c r="W134" i="4"/>
  <c r="W135" i="4"/>
  <c r="W136" i="4"/>
  <c r="W137" i="4"/>
  <c r="W138" i="4"/>
  <c r="W139" i="4"/>
  <c r="W140" i="4"/>
  <c r="W141" i="4"/>
  <c r="W142" i="4"/>
  <c r="W143" i="4"/>
  <c r="W144" i="4"/>
  <c r="W145" i="4"/>
  <c r="W146" i="4"/>
  <c r="W147" i="4"/>
  <c r="W2" i="4"/>
  <c r="BV3" i="4"/>
  <c r="BV4" i="4"/>
  <c r="BV5" i="4"/>
  <c r="BV6" i="4"/>
  <c r="BV7" i="4"/>
  <c r="BV8" i="4"/>
  <c r="BV9" i="4"/>
  <c r="BV10" i="4"/>
  <c r="BV11" i="4"/>
  <c r="BV12" i="4"/>
  <c r="BV13" i="4"/>
  <c r="BV14" i="4"/>
  <c r="BV15" i="4"/>
  <c r="BV16" i="4"/>
  <c r="BV17" i="4"/>
  <c r="BV18" i="4"/>
  <c r="BV19" i="4"/>
  <c r="BV20" i="4"/>
  <c r="BV21" i="4"/>
  <c r="BV22" i="4"/>
  <c r="BV23" i="4"/>
  <c r="BV24" i="4"/>
  <c r="BV25" i="4"/>
  <c r="BV2" i="4"/>
  <c r="V3" i="4"/>
  <c r="V4" i="4"/>
  <c r="V5" i="4"/>
  <c r="V6" i="4"/>
  <c r="V7" i="4"/>
  <c r="V8" i="4"/>
  <c r="V9" i="4"/>
  <c r="V10" i="4"/>
  <c r="V11" i="4"/>
  <c r="V12" i="4"/>
  <c r="V13" i="4"/>
  <c r="V14" i="4"/>
  <c r="V15" i="4"/>
  <c r="V16" i="4"/>
  <c r="V17" i="4"/>
  <c r="V18" i="4"/>
  <c r="V19" i="4"/>
  <c r="V20" i="4"/>
  <c r="V21" i="4"/>
  <c r="V22" i="4"/>
  <c r="V23" i="4"/>
  <c r="V24" i="4"/>
  <c r="V25" i="4"/>
  <c r="V26" i="4"/>
  <c r="V27" i="4"/>
  <c r="V28" i="4"/>
  <c r="V29" i="4"/>
  <c r="V30" i="4"/>
  <c r="V31" i="4"/>
  <c r="V32" i="4"/>
  <c r="V33" i="4"/>
  <c r="V34" i="4"/>
  <c r="V35" i="4"/>
  <c r="V36" i="4"/>
  <c r="V37" i="4"/>
  <c r="V38" i="4"/>
  <c r="V39" i="4"/>
  <c r="V40" i="4"/>
  <c r="V41" i="4"/>
  <c r="V42" i="4"/>
  <c r="V43" i="4"/>
  <c r="V44" i="4"/>
  <c r="V45" i="4"/>
  <c r="V46" i="4"/>
  <c r="V47" i="4"/>
  <c r="V48" i="4"/>
  <c r="V49" i="4"/>
  <c r="V50" i="4"/>
  <c r="V51" i="4"/>
  <c r="V52" i="4"/>
  <c r="V53" i="4"/>
  <c r="V54" i="4"/>
  <c r="V55" i="4"/>
  <c r="V56" i="4"/>
  <c r="V57" i="4"/>
  <c r="V58" i="4"/>
  <c r="V59" i="4"/>
  <c r="V60" i="4"/>
  <c r="V61" i="4"/>
  <c r="V62" i="4"/>
  <c r="V63" i="4"/>
  <c r="V64" i="4"/>
  <c r="V65" i="4"/>
  <c r="V66" i="4"/>
  <c r="V67" i="4"/>
  <c r="V68" i="4"/>
  <c r="V69" i="4"/>
  <c r="V70" i="4"/>
  <c r="V71" i="4"/>
  <c r="V72" i="4"/>
  <c r="V73" i="4"/>
  <c r="V74" i="4"/>
  <c r="V75" i="4"/>
  <c r="V76" i="4"/>
  <c r="V77" i="4"/>
  <c r="V78" i="4"/>
  <c r="V79" i="4"/>
  <c r="V80" i="4"/>
  <c r="V81" i="4"/>
  <c r="V82" i="4"/>
  <c r="V83" i="4"/>
  <c r="V84" i="4"/>
  <c r="V85" i="4"/>
  <c r="V86" i="4"/>
  <c r="V87" i="4"/>
  <c r="V88" i="4"/>
  <c r="V89" i="4"/>
  <c r="V90" i="4"/>
  <c r="V91" i="4"/>
  <c r="V92" i="4"/>
  <c r="V93" i="4"/>
  <c r="V94" i="4"/>
  <c r="V95" i="4"/>
  <c r="V96" i="4"/>
  <c r="V97" i="4"/>
  <c r="V98" i="4"/>
  <c r="V99" i="4"/>
  <c r="V100" i="4"/>
  <c r="V101" i="4"/>
  <c r="V102" i="4"/>
  <c r="V103" i="4"/>
  <c r="V104" i="4"/>
  <c r="V105" i="4"/>
  <c r="V106" i="4"/>
  <c r="V107" i="4"/>
  <c r="V108" i="4"/>
  <c r="V109" i="4"/>
  <c r="V110" i="4"/>
  <c r="V111" i="4"/>
  <c r="V112" i="4"/>
  <c r="V113" i="4"/>
  <c r="V114" i="4"/>
  <c r="V115" i="4"/>
  <c r="V116" i="4"/>
  <c r="V117" i="4"/>
  <c r="V118" i="4"/>
  <c r="V119" i="4"/>
  <c r="V120" i="4"/>
  <c r="V121" i="4"/>
  <c r="V122" i="4"/>
  <c r="V123" i="4"/>
  <c r="V124" i="4"/>
  <c r="V125" i="4"/>
  <c r="V126" i="4"/>
  <c r="V127" i="4"/>
  <c r="V128" i="4"/>
  <c r="V129" i="4"/>
  <c r="V130" i="4"/>
  <c r="V2" i="4"/>
  <c r="AM2" i="3"/>
  <c r="AY2" i="4"/>
  <c r="O7" i="2"/>
  <c r="O8" i="2"/>
  <c r="O9" i="2"/>
  <c r="O10" i="2"/>
  <c r="O11" i="2"/>
  <c r="O12" i="2"/>
  <c r="O13" i="2"/>
  <c r="O14" i="2"/>
  <c r="O6" i="2"/>
  <c r="G7" i="2"/>
  <c r="G8" i="2"/>
  <c r="G9" i="2"/>
  <c r="G10" i="2"/>
  <c r="G11" i="2"/>
  <c r="G12" i="2"/>
  <c r="G13" i="2"/>
  <c r="G14" i="2"/>
  <c r="G6" i="2"/>
  <c r="O2" i="2"/>
  <c r="AE7" i="2"/>
  <c r="AE8" i="2"/>
  <c r="AE9" i="2"/>
  <c r="AE10" i="2"/>
  <c r="D2" i="5"/>
  <c r="E2" i="5"/>
  <c r="G2" i="5"/>
  <c r="AE11" i="2"/>
  <c r="D3" i="5"/>
  <c r="E3" i="5"/>
  <c r="G3" i="5"/>
  <c r="AE12" i="2"/>
  <c r="D4" i="5"/>
  <c r="E4" i="5"/>
  <c r="G4" i="5"/>
  <c r="AE13" i="2"/>
  <c r="D5" i="5"/>
  <c r="E5" i="5"/>
  <c r="G5" i="5"/>
  <c r="AE14" i="2"/>
  <c r="D6" i="5"/>
  <c r="E6" i="5"/>
  <c r="G6" i="5"/>
  <c r="AE15" i="2"/>
  <c r="D7" i="5"/>
  <c r="E7" i="5"/>
  <c r="G7" i="5"/>
  <c r="AE16" i="2"/>
  <c r="D8" i="5"/>
  <c r="E8" i="5"/>
  <c r="G8" i="5"/>
  <c r="AE17" i="2"/>
  <c r="D9" i="5"/>
  <c r="E9" i="5"/>
  <c r="G9" i="5"/>
  <c r="AE18" i="2"/>
  <c r="D10" i="5"/>
  <c r="E10" i="5"/>
  <c r="G10" i="5"/>
  <c r="AE19" i="2"/>
  <c r="D11" i="5"/>
  <c r="E11" i="5"/>
  <c r="G11" i="5"/>
  <c r="AE20" i="2"/>
  <c r="D12" i="5"/>
  <c r="E12" i="5"/>
  <c r="G12" i="5"/>
  <c r="AE21" i="2"/>
  <c r="D13" i="5"/>
  <c r="E13" i="5"/>
  <c r="G13" i="5"/>
  <c r="AE22" i="2"/>
  <c r="D14" i="5"/>
  <c r="E14" i="5"/>
  <c r="G14" i="5"/>
  <c r="AE23" i="2"/>
  <c r="D15" i="5"/>
  <c r="E15" i="5"/>
  <c r="G15" i="5"/>
  <c r="AE24" i="2"/>
  <c r="D16" i="5"/>
  <c r="E16" i="5"/>
  <c r="G16" i="5"/>
  <c r="AE25" i="2"/>
  <c r="D17" i="5"/>
  <c r="E17" i="5"/>
  <c r="G17" i="5"/>
  <c r="AE26" i="2"/>
  <c r="D18" i="5"/>
  <c r="E18" i="5"/>
  <c r="G18" i="5"/>
  <c r="AE27" i="2"/>
  <c r="D19" i="5"/>
  <c r="E19" i="5"/>
  <c r="G19" i="5"/>
  <c r="AE28" i="2"/>
  <c r="D20" i="5"/>
  <c r="E20" i="5"/>
  <c r="G20" i="5"/>
  <c r="AE29" i="2"/>
  <c r="D21" i="5"/>
  <c r="E21" i="5"/>
  <c r="G21" i="5"/>
  <c r="AE30" i="2"/>
  <c r="D22" i="5"/>
  <c r="E22" i="5"/>
  <c r="G22" i="5"/>
  <c r="AE31" i="2"/>
  <c r="AE32" i="2"/>
  <c r="AE33" i="2"/>
  <c r="AE34" i="2"/>
  <c r="AE35" i="2"/>
  <c r="AE36" i="2"/>
  <c r="AE37" i="2"/>
  <c r="AE38" i="2"/>
  <c r="AE39" i="2"/>
  <c r="AE40" i="2"/>
  <c r="AE41" i="2"/>
  <c r="AE42" i="2"/>
  <c r="AE43" i="2"/>
  <c r="AE44" i="2"/>
  <c r="AE45" i="2"/>
  <c r="AE46" i="2"/>
  <c r="D23" i="5"/>
  <c r="E23" i="5"/>
  <c r="G23" i="5"/>
  <c r="AE47" i="2"/>
  <c r="D24" i="5"/>
  <c r="E24" i="5"/>
  <c r="G24" i="5"/>
  <c r="AE48" i="2"/>
  <c r="D25" i="5"/>
  <c r="E25" i="5"/>
  <c r="G25" i="5"/>
  <c r="AE49" i="2"/>
  <c r="D26" i="5"/>
  <c r="E26" i="5"/>
  <c r="G26" i="5"/>
  <c r="AE50" i="2"/>
  <c r="D27" i="5"/>
  <c r="E27" i="5"/>
  <c r="G27" i="5"/>
  <c r="AE51" i="2"/>
  <c r="D28" i="5"/>
  <c r="E28" i="5"/>
  <c r="G28" i="5"/>
  <c r="AE52" i="2"/>
  <c r="D29" i="5"/>
  <c r="E29" i="5"/>
  <c r="G29" i="5"/>
  <c r="AE53" i="2"/>
  <c r="D30" i="5"/>
  <c r="E30" i="5"/>
  <c r="G30" i="5"/>
  <c r="AE54" i="2"/>
  <c r="D31" i="5"/>
  <c r="E31" i="5"/>
  <c r="G31" i="5"/>
  <c r="AE55" i="2"/>
  <c r="D32" i="5"/>
  <c r="E32" i="5"/>
  <c r="G32" i="5"/>
  <c r="AE56" i="2"/>
  <c r="D33" i="5"/>
  <c r="E33" i="5"/>
  <c r="G33" i="5"/>
  <c r="AE57" i="2"/>
  <c r="D34" i="5"/>
  <c r="E34" i="5"/>
  <c r="G34" i="5"/>
  <c r="AE58" i="2"/>
  <c r="D35" i="5"/>
  <c r="E35" i="5"/>
  <c r="G35" i="5"/>
  <c r="AE59" i="2"/>
  <c r="D36" i="5"/>
  <c r="E36" i="5"/>
  <c r="G36" i="5"/>
  <c r="AE60" i="2"/>
  <c r="D37" i="5"/>
  <c r="E37" i="5"/>
  <c r="G37" i="5"/>
  <c r="AE61" i="2"/>
  <c r="D38" i="5"/>
  <c r="E38" i="5"/>
  <c r="G38" i="5"/>
  <c r="AE62" i="2"/>
  <c r="D39" i="5"/>
  <c r="E39" i="5"/>
  <c r="G39" i="5"/>
  <c r="AE63" i="2"/>
  <c r="D40" i="5"/>
  <c r="E40" i="5"/>
  <c r="G40" i="5"/>
  <c r="AE64" i="2"/>
  <c r="D41" i="5"/>
  <c r="E41" i="5"/>
  <c r="G41" i="5"/>
  <c r="AE65" i="2"/>
  <c r="D42" i="5"/>
  <c r="E42" i="5"/>
  <c r="G42" i="5"/>
  <c r="AE66" i="2"/>
  <c r="D43" i="5"/>
  <c r="E43" i="5"/>
  <c r="G43" i="5"/>
  <c r="AE67" i="2"/>
  <c r="D44" i="5"/>
  <c r="E44" i="5"/>
  <c r="G44" i="5"/>
  <c r="AE68" i="2"/>
  <c r="D45" i="5"/>
  <c r="E45" i="5"/>
  <c r="G45" i="5"/>
  <c r="AE69" i="2"/>
  <c r="D46" i="5"/>
  <c r="E46" i="5"/>
  <c r="G46" i="5"/>
  <c r="AE70" i="2"/>
  <c r="D47" i="5"/>
  <c r="E47" i="5"/>
  <c r="G47" i="5"/>
  <c r="AE71" i="2"/>
  <c r="D48" i="5"/>
  <c r="E48" i="5"/>
  <c r="G48" i="5"/>
  <c r="AE72" i="2"/>
  <c r="D49" i="5"/>
  <c r="E49" i="5"/>
  <c r="G49" i="5"/>
  <c r="AE73" i="2"/>
  <c r="D50" i="5"/>
  <c r="E50" i="5"/>
  <c r="G50" i="5"/>
  <c r="AE74" i="2"/>
  <c r="D51" i="5"/>
  <c r="E51" i="5"/>
  <c r="G51" i="5"/>
  <c r="AE75" i="2"/>
  <c r="D52" i="5"/>
  <c r="E52" i="5"/>
  <c r="G52" i="5"/>
  <c r="AE76" i="2"/>
  <c r="D53" i="5"/>
  <c r="E53" i="5"/>
  <c r="G53" i="5"/>
  <c r="AE77" i="2"/>
  <c r="D54" i="5"/>
  <c r="E54" i="5"/>
  <c r="G54" i="5"/>
  <c r="AE78" i="2"/>
  <c r="D55" i="5"/>
  <c r="E55" i="5"/>
  <c r="G55" i="5"/>
  <c r="AE79" i="2"/>
  <c r="D56" i="5"/>
  <c r="E56" i="5"/>
  <c r="G56" i="5"/>
  <c r="AE80" i="2"/>
  <c r="D57" i="5"/>
  <c r="E57" i="5"/>
  <c r="G57" i="5"/>
  <c r="AE81" i="2"/>
  <c r="D58" i="5"/>
  <c r="E58" i="5"/>
  <c r="G58" i="5"/>
  <c r="AE82" i="2"/>
  <c r="D59" i="5"/>
  <c r="E59" i="5"/>
  <c r="G59" i="5"/>
  <c r="AE83" i="2"/>
  <c r="D60" i="5"/>
  <c r="E60" i="5"/>
  <c r="G60" i="5"/>
  <c r="AE84" i="2"/>
  <c r="D61" i="5"/>
  <c r="E61" i="5"/>
  <c r="G61" i="5"/>
  <c r="AE85" i="2"/>
  <c r="D62" i="5"/>
  <c r="E62" i="5"/>
  <c r="G62" i="5"/>
  <c r="AE86" i="2"/>
  <c r="D63" i="5"/>
  <c r="E63" i="5"/>
  <c r="G63" i="5"/>
  <c r="AE87" i="2"/>
  <c r="D64" i="5"/>
  <c r="E64" i="5"/>
  <c r="G64" i="5"/>
  <c r="AE88" i="2"/>
  <c r="D65" i="5"/>
  <c r="E65" i="5"/>
  <c r="G65" i="5"/>
  <c r="AE89" i="2"/>
  <c r="D66" i="5"/>
  <c r="E66" i="5"/>
  <c r="G66" i="5"/>
  <c r="AE90" i="2"/>
  <c r="D67" i="5"/>
  <c r="E67" i="5"/>
  <c r="G67" i="5"/>
  <c r="AE91" i="2"/>
  <c r="D68" i="5"/>
  <c r="E68" i="5"/>
  <c r="G68" i="5"/>
  <c r="D69" i="5"/>
  <c r="E69" i="5"/>
  <c r="G69" i="5"/>
  <c r="AE92" i="2"/>
  <c r="D70" i="5"/>
  <c r="E70" i="5"/>
  <c r="G70" i="5"/>
  <c r="AE93" i="2"/>
  <c r="D71" i="5"/>
  <c r="E71" i="5"/>
  <c r="G71" i="5"/>
  <c r="AE94" i="2"/>
  <c r="D72" i="5"/>
  <c r="E72" i="5"/>
  <c r="G72" i="5"/>
  <c r="AE95" i="2"/>
  <c r="D73" i="5"/>
  <c r="E73" i="5"/>
  <c r="G73" i="5"/>
  <c r="AE96" i="2"/>
  <c r="D74" i="5"/>
  <c r="E74" i="5"/>
  <c r="G74" i="5"/>
  <c r="AE97" i="2"/>
  <c r="D75" i="5"/>
  <c r="E75" i="5"/>
  <c r="G75" i="5"/>
  <c r="AE98" i="2"/>
  <c r="D76" i="5"/>
  <c r="E76" i="5"/>
  <c r="G76" i="5"/>
  <c r="AE99" i="2"/>
  <c r="D77" i="5"/>
  <c r="E77" i="5"/>
  <c r="G77" i="5"/>
  <c r="AE100" i="2"/>
  <c r="D78" i="5"/>
  <c r="E78" i="5"/>
  <c r="G78" i="5"/>
  <c r="AE101" i="2"/>
  <c r="D79" i="5"/>
  <c r="E79" i="5"/>
  <c r="G79" i="5"/>
  <c r="AE102" i="2"/>
  <c r="D80" i="5"/>
  <c r="E80" i="5"/>
  <c r="G80" i="5"/>
  <c r="AE103" i="2"/>
  <c r="D81" i="5"/>
  <c r="E81" i="5"/>
  <c r="G81" i="5"/>
  <c r="AE104" i="2"/>
  <c r="D82" i="5"/>
  <c r="E82" i="5"/>
  <c r="G82" i="5"/>
  <c r="AE105" i="2"/>
  <c r="D83" i="5"/>
  <c r="E83" i="5"/>
  <c r="G83" i="5"/>
  <c r="D84" i="5"/>
  <c r="E84" i="5"/>
  <c r="G84" i="5"/>
  <c r="D85" i="5"/>
  <c r="E85" i="5"/>
  <c r="G85" i="5"/>
  <c r="D86" i="5"/>
  <c r="E86" i="5"/>
  <c r="G86" i="5"/>
  <c r="D87" i="5"/>
  <c r="E87" i="5"/>
  <c r="G87" i="5"/>
  <c r="D88" i="5"/>
  <c r="E88" i="5"/>
  <c r="G88" i="5"/>
  <c r="D89" i="5"/>
  <c r="E89" i="5"/>
  <c r="G89" i="5"/>
  <c r="D90" i="5"/>
  <c r="E90" i="5"/>
  <c r="G90" i="5"/>
  <c r="D91" i="5"/>
  <c r="E91" i="5"/>
  <c r="G91" i="5"/>
  <c r="D92" i="5"/>
  <c r="E92" i="5"/>
  <c r="G92" i="5"/>
  <c r="D93" i="5"/>
  <c r="E93" i="5"/>
  <c r="G93" i="5"/>
  <c r="D94" i="5"/>
  <c r="E94" i="5"/>
  <c r="G94" i="5"/>
  <c r="D95" i="5"/>
  <c r="E95" i="5"/>
  <c r="G95" i="5"/>
  <c r="D96" i="5"/>
  <c r="E96" i="5"/>
  <c r="G96" i="5"/>
  <c r="D97" i="5"/>
  <c r="E97" i="5"/>
  <c r="G97" i="5"/>
  <c r="D98" i="5"/>
  <c r="E98" i="5"/>
  <c r="G98" i="5"/>
  <c r="D99" i="5"/>
  <c r="E99" i="5"/>
  <c r="G99" i="5"/>
  <c r="AE6" i="2"/>
  <c r="G2" i="2"/>
  <c r="W7" i="2"/>
  <c r="W8" i="2"/>
  <c r="W9" i="2"/>
  <c r="W10" i="2"/>
  <c r="C2" i="5"/>
  <c r="F2" i="5"/>
  <c r="W11" i="2"/>
  <c r="C3" i="5"/>
  <c r="F3" i="5"/>
  <c r="W12" i="2"/>
  <c r="C4" i="5"/>
  <c r="F4" i="5"/>
  <c r="W13" i="2"/>
  <c r="C5" i="5"/>
  <c r="F5" i="5"/>
  <c r="W14" i="2"/>
  <c r="C6" i="5"/>
  <c r="F6" i="5"/>
  <c r="W15" i="2"/>
  <c r="C7" i="5"/>
  <c r="F7" i="5"/>
  <c r="W16" i="2"/>
  <c r="C8" i="5"/>
  <c r="F8" i="5"/>
  <c r="W17" i="2"/>
  <c r="C9" i="5"/>
  <c r="F9" i="5"/>
  <c r="W18" i="2"/>
  <c r="C10" i="5"/>
  <c r="F10" i="5"/>
  <c r="W19" i="2"/>
  <c r="C11" i="5"/>
  <c r="F11" i="5"/>
  <c r="W20" i="2"/>
  <c r="C12" i="5"/>
  <c r="F12" i="5"/>
  <c r="W21" i="2"/>
  <c r="C13" i="5"/>
  <c r="F13" i="5"/>
  <c r="W22" i="2"/>
  <c r="C14" i="5"/>
  <c r="F14" i="5"/>
  <c r="W23" i="2"/>
  <c r="C15" i="5"/>
  <c r="F15" i="5"/>
  <c r="W24" i="2"/>
  <c r="C16" i="5"/>
  <c r="F16" i="5"/>
  <c r="W25" i="2"/>
  <c r="C17" i="5"/>
  <c r="F17" i="5"/>
  <c r="W26" i="2"/>
  <c r="C18" i="5"/>
  <c r="F18" i="5"/>
  <c r="W27" i="2"/>
  <c r="C19" i="5"/>
  <c r="F19" i="5"/>
  <c r="W28" i="2"/>
  <c r="C20" i="5"/>
  <c r="F20" i="5"/>
  <c r="W29" i="2"/>
  <c r="C21" i="5"/>
  <c r="F21" i="5"/>
  <c r="W30" i="2"/>
  <c r="C22" i="5"/>
  <c r="F22" i="5"/>
  <c r="W31" i="2"/>
  <c r="W32" i="2"/>
  <c r="W33" i="2"/>
  <c r="W34" i="2"/>
  <c r="W35" i="2"/>
  <c r="W36" i="2"/>
  <c r="W37" i="2"/>
  <c r="W38" i="2"/>
  <c r="W39" i="2"/>
  <c r="W40" i="2"/>
  <c r="W41" i="2"/>
  <c r="W42" i="2"/>
  <c r="W43" i="2"/>
  <c r="W44" i="2"/>
  <c r="C23" i="5"/>
  <c r="F23" i="5"/>
  <c r="C24" i="5"/>
  <c r="F24" i="5"/>
  <c r="C25" i="5"/>
  <c r="F25" i="5"/>
  <c r="C26" i="5"/>
  <c r="F26" i="5"/>
  <c r="C27" i="5"/>
  <c r="F27" i="5"/>
  <c r="C28" i="5"/>
  <c r="F28" i="5"/>
  <c r="C29" i="5"/>
  <c r="F29" i="5"/>
  <c r="C30" i="5"/>
  <c r="F30" i="5"/>
  <c r="C31" i="5"/>
  <c r="F31" i="5"/>
  <c r="C32" i="5"/>
  <c r="F32" i="5"/>
  <c r="C33" i="5"/>
  <c r="F33" i="5"/>
  <c r="C34" i="5"/>
  <c r="F34" i="5"/>
  <c r="C35" i="5"/>
  <c r="F35" i="5"/>
  <c r="C36" i="5"/>
  <c r="F36" i="5"/>
  <c r="C37" i="5"/>
  <c r="F37" i="5"/>
  <c r="C38" i="5"/>
  <c r="F38" i="5"/>
  <c r="C39" i="5"/>
  <c r="F39" i="5"/>
  <c r="C40" i="5"/>
  <c r="F40" i="5"/>
  <c r="C41" i="5"/>
  <c r="F41" i="5"/>
  <c r="C42" i="5"/>
  <c r="F42" i="5"/>
  <c r="C43" i="5"/>
  <c r="F43" i="5"/>
  <c r="C44" i="5"/>
  <c r="F44" i="5"/>
  <c r="C45" i="5"/>
  <c r="F45" i="5"/>
  <c r="C46" i="5"/>
  <c r="F46" i="5"/>
  <c r="C47" i="5"/>
  <c r="F47" i="5"/>
  <c r="C48" i="5"/>
  <c r="F48" i="5"/>
  <c r="C49" i="5"/>
  <c r="F49" i="5"/>
  <c r="C50" i="5"/>
  <c r="F50" i="5"/>
  <c r="C51" i="5"/>
  <c r="F51" i="5"/>
  <c r="C52" i="5"/>
  <c r="F52" i="5"/>
  <c r="C53" i="5"/>
  <c r="F53" i="5"/>
  <c r="C54" i="5"/>
  <c r="F54" i="5"/>
  <c r="C55" i="5"/>
  <c r="F55" i="5"/>
  <c r="C56" i="5"/>
  <c r="F56" i="5"/>
  <c r="C57" i="5"/>
  <c r="F57" i="5"/>
  <c r="C58" i="5"/>
  <c r="F58" i="5"/>
  <c r="C59" i="5"/>
  <c r="F59" i="5"/>
  <c r="C60" i="5"/>
  <c r="F60" i="5"/>
  <c r="C61" i="5"/>
  <c r="F61" i="5"/>
  <c r="C62" i="5"/>
  <c r="F62" i="5"/>
  <c r="C63" i="5"/>
  <c r="F63" i="5"/>
  <c r="C64" i="5"/>
  <c r="F64" i="5"/>
  <c r="C65" i="5"/>
  <c r="F65" i="5"/>
  <c r="C66" i="5"/>
  <c r="F66" i="5"/>
  <c r="C67" i="5"/>
  <c r="F67" i="5"/>
  <c r="C68" i="5"/>
  <c r="F68" i="5"/>
  <c r="C69" i="5"/>
  <c r="F69" i="5"/>
  <c r="C70" i="5"/>
  <c r="F70" i="5"/>
  <c r="C71" i="5"/>
  <c r="F71" i="5"/>
  <c r="C72" i="5"/>
  <c r="F72" i="5"/>
  <c r="C73" i="5"/>
  <c r="F73" i="5"/>
  <c r="C74" i="5"/>
  <c r="F74" i="5"/>
  <c r="C75" i="5"/>
  <c r="F75" i="5"/>
  <c r="C76" i="5"/>
  <c r="F76" i="5"/>
  <c r="C77" i="5"/>
  <c r="F77" i="5"/>
  <c r="C78" i="5"/>
  <c r="F78" i="5"/>
  <c r="W45" i="2"/>
  <c r="C79" i="5"/>
  <c r="F79" i="5"/>
  <c r="W46" i="2"/>
  <c r="C80" i="5"/>
  <c r="F80" i="5"/>
  <c r="W47" i="2"/>
  <c r="C81" i="5"/>
  <c r="F81" i="5"/>
  <c r="W48" i="2"/>
  <c r="C82" i="5"/>
  <c r="F82" i="5"/>
  <c r="W49" i="2"/>
  <c r="C83" i="5"/>
  <c r="F83" i="5"/>
  <c r="C84" i="5"/>
  <c r="F84" i="5"/>
  <c r="C85" i="5"/>
  <c r="F85" i="5"/>
  <c r="C86" i="5"/>
  <c r="F86" i="5"/>
  <c r="C87" i="5"/>
  <c r="F87" i="5"/>
  <c r="C88" i="5"/>
  <c r="F88" i="5"/>
  <c r="C89" i="5"/>
  <c r="F89" i="5"/>
  <c r="C90" i="5"/>
  <c r="F90" i="5"/>
  <c r="C91" i="5"/>
  <c r="F91" i="5"/>
  <c r="C92" i="5"/>
  <c r="F92" i="5"/>
  <c r="C93" i="5"/>
  <c r="F93" i="5"/>
  <c r="C94" i="5"/>
  <c r="F94" i="5"/>
  <c r="C95" i="5"/>
  <c r="F95" i="5"/>
  <c r="C96" i="5"/>
  <c r="F96" i="5"/>
  <c r="C97" i="5"/>
  <c r="F97" i="5"/>
  <c r="C98" i="5"/>
  <c r="F98" i="5"/>
  <c r="C99" i="5"/>
  <c r="F99" i="5"/>
  <c r="W6" i="2"/>
  <c r="H29" i="5"/>
  <c r="H30" i="5"/>
  <c r="H38" i="5"/>
  <c r="H39" i="5"/>
  <c r="H40" i="5"/>
  <c r="H42" i="5"/>
  <c r="H43" i="5"/>
  <c r="H60" i="5"/>
  <c r="H63" i="5"/>
  <c r="W50" i="2"/>
  <c r="W51" i="2"/>
  <c r="W52" i="2"/>
  <c r="H67" i="5"/>
  <c r="W53" i="2"/>
  <c r="H68" i="5"/>
  <c r="W54" i="2"/>
  <c r="H69" i="5"/>
  <c r="W55" i="2"/>
  <c r="H70" i="5"/>
  <c r="W56" i="2"/>
  <c r="H72" i="5"/>
  <c r="H73" i="5"/>
  <c r="H74" i="5"/>
  <c r="H75" i="5"/>
  <c r="H76" i="5"/>
  <c r="H77" i="5"/>
  <c r="H78" i="5"/>
  <c r="H79" i="5"/>
  <c r="AE106" i="2"/>
  <c r="H80" i="5"/>
  <c r="AE107" i="2"/>
  <c r="H81" i="5"/>
  <c r="AE108" i="2"/>
  <c r="H82" i="5"/>
  <c r="AE109" i="2"/>
  <c r="H83" i="5"/>
  <c r="AE110" i="2"/>
  <c r="H84" i="5"/>
  <c r="AE111" i="2"/>
  <c r="H85" i="5"/>
  <c r="AE112" i="2"/>
  <c r="H86" i="5"/>
  <c r="H87" i="5"/>
  <c r="I87" i="5"/>
  <c r="H88" i="5"/>
  <c r="I88" i="5"/>
  <c r="H89" i="5"/>
  <c r="I89" i="5"/>
  <c r="H90" i="5"/>
  <c r="I90" i="5"/>
  <c r="H91" i="5"/>
  <c r="I91" i="5"/>
  <c r="P3" i="5"/>
  <c r="P4" i="5"/>
  <c r="P5" i="5"/>
  <c r="P6" i="5"/>
  <c r="P7" i="5"/>
  <c r="P2" i="5"/>
  <c r="M3" i="5"/>
  <c r="M4" i="5"/>
  <c r="M5" i="5"/>
  <c r="M6" i="5"/>
  <c r="M7" i="5"/>
  <c r="M2" i="5"/>
  <c r="M8" i="5"/>
  <c r="L2" i="5"/>
  <c r="M9" i="5"/>
  <c r="M10" i="5"/>
  <c r="BF1" i="4"/>
  <c r="BF2" i="4"/>
  <c r="P8" i="5"/>
  <c r="O2" i="5"/>
  <c r="P9" i="5"/>
  <c r="O3" i="5"/>
  <c r="O4" i="5"/>
  <c r="O5" i="5"/>
  <c r="O6" i="5"/>
  <c r="O7" i="5"/>
  <c r="N3" i="5"/>
  <c r="N4" i="5"/>
  <c r="N5" i="5"/>
  <c r="N6" i="5"/>
  <c r="N7" i="5"/>
  <c r="N2" i="5"/>
  <c r="L3" i="5"/>
  <c r="L4" i="5"/>
  <c r="L5" i="5"/>
  <c r="L6" i="5"/>
  <c r="L7" i="5"/>
  <c r="K3" i="5"/>
  <c r="K4" i="5"/>
  <c r="K5" i="5"/>
  <c r="K6" i="5"/>
  <c r="K7" i="5"/>
  <c r="K2" i="5"/>
  <c r="P10" i="5"/>
  <c r="BW5" i="4"/>
  <c r="BX5" i="4"/>
  <c r="BY5" i="4"/>
  <c r="BZ5" i="4"/>
  <c r="CA5" i="4"/>
  <c r="BW6" i="4"/>
  <c r="BX6" i="4"/>
  <c r="BY6" i="4"/>
  <c r="BZ6" i="4"/>
  <c r="CA6" i="4"/>
  <c r="BW7" i="4"/>
  <c r="BX7" i="4"/>
  <c r="BY7" i="4"/>
  <c r="BZ7" i="4"/>
  <c r="CA7" i="4"/>
  <c r="BW8" i="4"/>
  <c r="BX8" i="4"/>
  <c r="BY8" i="4"/>
  <c r="BZ8" i="4"/>
  <c r="CA8" i="4"/>
  <c r="BW9" i="4"/>
  <c r="BX9" i="4"/>
  <c r="BY9" i="4"/>
  <c r="BZ9" i="4"/>
  <c r="CA9" i="4"/>
  <c r="BW10" i="4"/>
  <c r="BX10" i="4"/>
  <c r="BY10" i="4"/>
  <c r="BZ10" i="4"/>
  <c r="CA10" i="4"/>
  <c r="BW11" i="4"/>
  <c r="BX11" i="4"/>
  <c r="BY11" i="4"/>
  <c r="BZ11" i="4"/>
  <c r="CA11" i="4"/>
  <c r="BW12" i="4"/>
  <c r="BX12" i="4"/>
  <c r="BY12" i="4"/>
  <c r="BZ12" i="4"/>
  <c r="CA12" i="4"/>
  <c r="BW13" i="4"/>
  <c r="BX13" i="4"/>
  <c r="BY13" i="4"/>
  <c r="BZ13" i="4"/>
  <c r="CA13" i="4"/>
  <c r="BW14" i="4"/>
  <c r="BX14" i="4"/>
  <c r="BY14" i="4"/>
  <c r="BZ14" i="4"/>
  <c r="CA14" i="4"/>
  <c r="BW15" i="4"/>
  <c r="BX15" i="4"/>
  <c r="BY15" i="4"/>
  <c r="BZ15" i="4"/>
  <c r="CA15" i="4"/>
  <c r="BW16" i="4"/>
  <c r="BX16" i="4"/>
  <c r="BY16" i="4"/>
  <c r="BZ16" i="4"/>
  <c r="CA16" i="4"/>
  <c r="BW17" i="4"/>
  <c r="BX17" i="4"/>
  <c r="BY17" i="4"/>
  <c r="BZ17" i="4"/>
  <c r="CA17" i="4"/>
  <c r="BW18" i="4"/>
  <c r="BX18" i="4"/>
  <c r="BY18" i="4"/>
  <c r="BZ18" i="4"/>
  <c r="CA18" i="4"/>
  <c r="BW19" i="4"/>
  <c r="BX19" i="4"/>
  <c r="BY19" i="4"/>
  <c r="BZ19" i="4"/>
  <c r="CA19" i="4"/>
  <c r="BW20" i="4"/>
  <c r="BX20" i="4"/>
  <c r="BY20" i="4"/>
  <c r="BZ20" i="4"/>
  <c r="CA20" i="4"/>
  <c r="BW21" i="4"/>
  <c r="BX21" i="4"/>
  <c r="BY21" i="4"/>
  <c r="BZ21" i="4"/>
  <c r="CA21" i="4"/>
  <c r="BW22" i="4"/>
  <c r="BX22" i="4"/>
  <c r="BY22" i="4"/>
  <c r="BZ22" i="4"/>
  <c r="CA22" i="4"/>
  <c r="BW23" i="4"/>
  <c r="BX23" i="4"/>
  <c r="BY23" i="4"/>
  <c r="BZ23" i="4"/>
  <c r="CA23" i="4"/>
  <c r="BW24" i="4"/>
  <c r="BX24" i="4"/>
  <c r="BY24" i="4"/>
  <c r="BZ24" i="4"/>
  <c r="CA24" i="4"/>
  <c r="BW25" i="4"/>
  <c r="BX25" i="4"/>
  <c r="BY25" i="4"/>
  <c r="BZ25" i="4"/>
  <c r="CA25" i="4"/>
  <c r="BX8" i="3"/>
  <c r="BY8" i="3"/>
  <c r="BZ8" i="3"/>
  <c r="CA8" i="3"/>
  <c r="CB8" i="3"/>
  <c r="BX9" i="3"/>
  <c r="BY9" i="3"/>
  <c r="BZ9" i="3"/>
  <c r="CA9" i="3"/>
  <c r="CB9" i="3"/>
  <c r="BX10" i="3"/>
  <c r="BY10" i="3"/>
  <c r="BZ10" i="3"/>
  <c r="CA10" i="3"/>
  <c r="CB10" i="3"/>
  <c r="BX11" i="3"/>
  <c r="BY11" i="3"/>
  <c r="BZ11" i="3"/>
  <c r="CA11" i="3"/>
  <c r="CB11" i="3"/>
  <c r="BX12" i="3"/>
  <c r="BY12" i="3"/>
  <c r="BZ12" i="3"/>
  <c r="CA12" i="3"/>
  <c r="CB12" i="3"/>
  <c r="BX13" i="3"/>
  <c r="BY13" i="3"/>
  <c r="BZ13" i="3"/>
  <c r="CA13" i="3"/>
  <c r="CB13" i="3"/>
  <c r="BX14" i="3"/>
  <c r="BY14" i="3"/>
  <c r="BZ14" i="3"/>
  <c r="CA14" i="3"/>
  <c r="CB14" i="3"/>
  <c r="BX15" i="3"/>
  <c r="BY15" i="3"/>
  <c r="BZ15" i="3"/>
  <c r="CA15" i="3"/>
  <c r="CB15" i="3"/>
  <c r="BX16" i="3"/>
  <c r="BY16" i="3"/>
  <c r="BZ16" i="3"/>
  <c r="CA16" i="3"/>
  <c r="CB16" i="3"/>
  <c r="BX17" i="3"/>
  <c r="BY17" i="3"/>
  <c r="BZ17" i="3"/>
  <c r="CA17" i="3"/>
  <c r="CB17" i="3"/>
  <c r="BX18" i="3"/>
  <c r="BY18" i="3"/>
  <c r="BZ18" i="3"/>
  <c r="CA18" i="3"/>
  <c r="CB18" i="3"/>
  <c r="BX19" i="3"/>
  <c r="BY19" i="3"/>
  <c r="BZ19" i="3"/>
  <c r="CA19" i="3"/>
  <c r="CB19" i="3"/>
  <c r="BX20" i="3"/>
  <c r="BY20" i="3"/>
  <c r="BZ20" i="3"/>
  <c r="CA20" i="3"/>
  <c r="CB20" i="3"/>
  <c r="BX21" i="3"/>
  <c r="BY21" i="3"/>
  <c r="BZ21" i="3"/>
  <c r="CA21" i="3"/>
  <c r="CB21" i="3"/>
  <c r="BX22" i="3"/>
  <c r="BY22" i="3"/>
  <c r="BZ22" i="3"/>
  <c r="CA22" i="3"/>
  <c r="CB22" i="3"/>
  <c r="BX23" i="3"/>
  <c r="BY23" i="3"/>
  <c r="BZ23" i="3"/>
  <c r="CA23" i="3"/>
  <c r="CB23" i="3"/>
  <c r="BX24" i="3"/>
  <c r="BY24" i="3"/>
  <c r="BZ24" i="3"/>
  <c r="CA24" i="3"/>
  <c r="CB24" i="3"/>
  <c r="BX25" i="3"/>
  <c r="BY25" i="3"/>
  <c r="BZ25" i="3"/>
  <c r="CA25" i="3"/>
  <c r="CB25" i="3"/>
  <c r="BX3" i="3"/>
  <c r="BY3" i="3"/>
  <c r="BZ3" i="3"/>
  <c r="CA3" i="3"/>
  <c r="CB3" i="3"/>
  <c r="BX4" i="3"/>
  <c r="BY4" i="3"/>
  <c r="BZ4" i="3"/>
  <c r="CA4" i="3"/>
  <c r="CB4" i="3"/>
  <c r="BX5" i="3"/>
  <c r="BY5" i="3"/>
  <c r="BZ5" i="3"/>
  <c r="CA5" i="3"/>
  <c r="CB5" i="3"/>
  <c r="BX6" i="3"/>
  <c r="BY6" i="3"/>
  <c r="BZ6" i="3"/>
  <c r="CA6" i="3"/>
  <c r="CB6" i="3"/>
  <c r="BX7" i="3"/>
  <c r="BY7" i="3"/>
  <c r="BZ7" i="3"/>
  <c r="CA7" i="3"/>
  <c r="CB7" i="3"/>
  <c r="BX2" i="3"/>
  <c r="CB2" i="3"/>
  <c r="CA2" i="3"/>
  <c r="BZ2" i="3"/>
  <c r="BY2" i="3"/>
  <c r="BL5" i="3"/>
  <c r="BL4" i="3"/>
  <c r="BL3" i="3"/>
  <c r="BL2" i="3"/>
  <c r="BW2" i="4"/>
  <c r="BY2" i="4"/>
  <c r="BZ2" i="4"/>
  <c r="CA2" i="4"/>
  <c r="BW3" i="4"/>
  <c r="BY3" i="4"/>
  <c r="BZ3" i="4"/>
  <c r="CA3" i="4"/>
  <c r="BW4" i="4"/>
  <c r="BY4" i="4"/>
  <c r="BZ4" i="4"/>
  <c r="CA4" i="4"/>
  <c r="BX2" i="4"/>
  <c r="BX3" i="4"/>
  <c r="BX4" i="4"/>
  <c r="BK5" i="4"/>
  <c r="BK4" i="4"/>
  <c r="BK3" i="4"/>
  <c r="BK2" i="4"/>
  <c r="Y125" i="3"/>
  <c r="Z125" i="3"/>
  <c r="Y126" i="3"/>
  <c r="Z126" i="3"/>
  <c r="Y127" i="3"/>
  <c r="Z127" i="3"/>
  <c r="Y128" i="3"/>
  <c r="Z128" i="3"/>
  <c r="Y129" i="3"/>
  <c r="Z129" i="3"/>
  <c r="Y130" i="3"/>
  <c r="Z130" i="3"/>
  <c r="Y131" i="3"/>
  <c r="Z131" i="3"/>
  <c r="Y132" i="3"/>
  <c r="Z132" i="3"/>
  <c r="Y133" i="3"/>
  <c r="Z133" i="3"/>
  <c r="Y134" i="3"/>
  <c r="Z134" i="3"/>
  <c r="Y135" i="3"/>
  <c r="Z135" i="3"/>
  <c r="Y136" i="3"/>
  <c r="Z136" i="3"/>
  <c r="Y137" i="3"/>
  <c r="Z137" i="3"/>
  <c r="Y138" i="3"/>
  <c r="Z138" i="3"/>
  <c r="Y139" i="3"/>
  <c r="Z139" i="3"/>
  <c r="Y140" i="3"/>
  <c r="Z140" i="3"/>
  <c r="Y141" i="3"/>
  <c r="Z141" i="3"/>
  <c r="Y142" i="3"/>
  <c r="Z142" i="3"/>
  <c r="Y143" i="3"/>
  <c r="Z143" i="3"/>
  <c r="Y144" i="3"/>
  <c r="Z144" i="3"/>
  <c r="Y145" i="3"/>
  <c r="Z145" i="3"/>
  <c r="Y146" i="3"/>
  <c r="Z146" i="3"/>
  <c r="Y147" i="3"/>
  <c r="Z147" i="3"/>
  <c r="AR3" i="3"/>
  <c r="AS3" i="3"/>
  <c r="AR2" i="3"/>
  <c r="AS2" i="3"/>
  <c r="AR4" i="3"/>
  <c r="AS4" i="3"/>
  <c r="AR5" i="3"/>
  <c r="AS5" i="3"/>
  <c r="AR6" i="3"/>
  <c r="AS6" i="3"/>
  <c r="AR7" i="3"/>
  <c r="AS7" i="3"/>
  <c r="AR8" i="3"/>
  <c r="AS8" i="3"/>
  <c r="AR9" i="3"/>
  <c r="AS9" i="3"/>
  <c r="AR10" i="3"/>
  <c r="AS10" i="3"/>
  <c r="AR11" i="3"/>
  <c r="AS11" i="3"/>
  <c r="AR12" i="3"/>
  <c r="AS12" i="3"/>
  <c r="AS13" i="3"/>
  <c r="AS14" i="3"/>
  <c r="AS15" i="3"/>
  <c r="AV1" i="3"/>
  <c r="AT3" i="3"/>
  <c r="AT2" i="3"/>
  <c r="AT4" i="3"/>
  <c r="AT5" i="3"/>
  <c r="AT6" i="3"/>
  <c r="AT7" i="3"/>
  <c r="AT8" i="3"/>
  <c r="AT9" i="3"/>
  <c r="AT10" i="3"/>
  <c r="AT11" i="3"/>
  <c r="AT12" i="3"/>
  <c r="AT13" i="3"/>
  <c r="AT14" i="3"/>
  <c r="AT15" i="3"/>
  <c r="AV2" i="3"/>
  <c r="BG1" i="3"/>
  <c r="BG2" i="3"/>
  <c r="H98" i="5"/>
  <c r="I98" i="5"/>
  <c r="H99" i="5"/>
  <c r="I99" i="5"/>
  <c r="Y131" i="4"/>
  <c r="Y132" i="4"/>
  <c r="Y133" i="4"/>
  <c r="Y134" i="4"/>
  <c r="Y135" i="4"/>
  <c r="Y136" i="4"/>
  <c r="Y137" i="4"/>
  <c r="Y138" i="4"/>
  <c r="Y139" i="4"/>
  <c r="Y140" i="4"/>
  <c r="Y141" i="4"/>
  <c r="Y142" i="4"/>
  <c r="Y143" i="4"/>
  <c r="Y144" i="4"/>
  <c r="Y145" i="4"/>
  <c r="Y146" i="4"/>
  <c r="Y147" i="4"/>
  <c r="W123" i="2"/>
  <c r="W124" i="2"/>
  <c r="W125" i="2"/>
  <c r="W126" i="2"/>
  <c r="W127" i="2"/>
  <c r="W128" i="2"/>
  <c r="W129" i="2"/>
  <c r="W130" i="2"/>
  <c r="W131" i="2"/>
  <c r="W132" i="2"/>
  <c r="W133" i="2"/>
  <c r="W134" i="2"/>
  <c r="W135" i="2"/>
  <c r="W136" i="2"/>
  <c r="W137" i="2"/>
  <c r="W138" i="2"/>
  <c r="W139" i="2"/>
  <c r="W140" i="2"/>
  <c r="AE126" i="2"/>
  <c r="AE127" i="2"/>
  <c r="AE128" i="2"/>
  <c r="AE129" i="2"/>
  <c r="AE130" i="2"/>
  <c r="AE131" i="2"/>
  <c r="AE132" i="2"/>
  <c r="AE133" i="2"/>
  <c r="AE134" i="2"/>
  <c r="AE135" i="2"/>
  <c r="AE136" i="2"/>
  <c r="AE137" i="2"/>
  <c r="AE138" i="2"/>
  <c r="AE139" i="2"/>
  <c r="AE140" i="2"/>
  <c r="AE120" i="2"/>
  <c r="AE121" i="2"/>
  <c r="AE122" i="2"/>
  <c r="AE123" i="2"/>
  <c r="AE124" i="2"/>
  <c r="AE125" i="2"/>
  <c r="W120" i="2"/>
  <c r="W121" i="2"/>
  <c r="W122" i="2"/>
  <c r="AZ2" i="3"/>
  <c r="AM3" i="3"/>
  <c r="Y3" i="2"/>
  <c r="Q3" i="2"/>
  <c r="AR13" i="3"/>
  <c r="AR14" i="3"/>
  <c r="AR15" i="3"/>
  <c r="AQ3" i="4"/>
  <c r="AQ4" i="4"/>
  <c r="AQ5" i="4"/>
  <c r="AQ6" i="4"/>
  <c r="AQ7" i="4"/>
  <c r="AQ8" i="4"/>
  <c r="AQ9" i="4"/>
  <c r="AQ10" i="4"/>
  <c r="AQ11" i="4"/>
  <c r="AQ12" i="4"/>
  <c r="AQ13" i="4"/>
  <c r="AQ14" i="4"/>
  <c r="AQ15" i="4"/>
  <c r="AQ16" i="4"/>
  <c r="AQ17" i="4"/>
  <c r="AQ18" i="4"/>
  <c r="AQ19" i="4"/>
  <c r="AQ20" i="4"/>
  <c r="AQ21" i="4"/>
  <c r="AQ2" i="4"/>
  <c r="H2" i="7"/>
  <c r="AE113" i="2"/>
  <c r="AE114" i="2"/>
  <c r="AE115" i="2"/>
  <c r="AE116" i="2"/>
  <c r="AE117" i="2"/>
  <c r="AE118" i="2"/>
  <c r="AE119" i="2"/>
  <c r="W102" i="2"/>
  <c r="W103" i="2"/>
  <c r="W104" i="2"/>
  <c r="W105" i="2"/>
  <c r="W106" i="2"/>
  <c r="W107" i="2"/>
  <c r="W108" i="2"/>
  <c r="W109" i="2"/>
  <c r="W110" i="2"/>
  <c r="W111" i="2"/>
  <c r="W112" i="2"/>
  <c r="W113" i="2"/>
  <c r="W114" i="2"/>
  <c r="W115" i="2"/>
  <c r="W116" i="2"/>
  <c r="W117" i="2"/>
  <c r="W118" i="2"/>
  <c r="W119"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C3" i="2"/>
  <c r="I92" i="5"/>
  <c r="I93" i="5"/>
  <c r="I94" i="5"/>
  <c r="I95" i="5"/>
  <c r="I96" i="5"/>
  <c r="I97" i="5"/>
  <c r="H92" i="5"/>
  <c r="H93" i="5"/>
  <c r="H94" i="5"/>
  <c r="H95" i="5"/>
  <c r="H96" i="5"/>
  <c r="H97" i="5"/>
  <c r="AS3" i="4"/>
  <c r="AS4" i="4"/>
  <c r="AS5" i="4"/>
  <c r="AS6" i="4"/>
  <c r="AS7" i="4"/>
  <c r="AS8" i="4"/>
  <c r="AS9" i="4"/>
  <c r="AS10" i="4"/>
  <c r="AS11" i="4"/>
  <c r="AS12" i="4"/>
  <c r="AS13" i="4"/>
  <c r="AS14" i="4"/>
  <c r="AS15" i="4"/>
  <c r="AS16" i="4"/>
  <c r="AS17" i="4"/>
  <c r="AS18" i="4"/>
  <c r="AS19" i="4"/>
  <c r="AS20" i="4"/>
  <c r="AS21" i="4"/>
  <c r="AS2" i="4"/>
  <c r="AR3" i="4"/>
  <c r="AR4" i="4"/>
  <c r="AR5" i="4"/>
  <c r="AR6" i="4"/>
  <c r="AR7" i="4"/>
  <c r="AR8" i="4"/>
  <c r="AR9" i="4"/>
  <c r="AR10" i="4"/>
  <c r="AR11" i="4"/>
  <c r="AR12" i="4"/>
  <c r="AR13" i="4"/>
  <c r="AR14" i="4"/>
  <c r="AR15" i="4"/>
  <c r="AR16" i="4"/>
  <c r="AR17" i="4"/>
  <c r="AR18" i="4"/>
  <c r="AR19" i="4"/>
  <c r="AR20" i="4"/>
  <c r="AR21" i="4"/>
  <c r="AR2" i="4"/>
  <c r="AU2" i="4"/>
  <c r="AU1" i="4"/>
  <c r="Y120" i="4"/>
  <c r="Y121" i="4"/>
  <c r="Y122" i="4"/>
  <c r="Y123" i="4"/>
  <c r="Y124" i="4"/>
  <c r="Y125" i="4"/>
  <c r="Y126" i="4"/>
  <c r="Y127" i="4"/>
  <c r="Y128" i="4"/>
  <c r="Y129" i="4"/>
  <c r="Y130" i="4"/>
  <c r="AC2" i="3"/>
  <c r="AL3" i="4"/>
  <c r="AL2" i="4"/>
  <c r="AB2" i="4"/>
  <c r="K3" i="2"/>
  <c r="Y119" i="4"/>
  <c r="Y43" i="4"/>
  <c r="Y48" i="4"/>
  <c r="Y44" i="4"/>
  <c r="Y45" i="4"/>
  <c r="Y46" i="4"/>
  <c r="Y47" i="4"/>
  <c r="Y49" i="4"/>
  <c r="Y50" i="4"/>
  <c r="Y51" i="4"/>
  <c r="Y52" i="4"/>
  <c r="Y53" i="4"/>
  <c r="Y54" i="4"/>
  <c r="Y59" i="4"/>
  <c r="Y55" i="4"/>
  <c r="Y61" i="4"/>
  <c r="Y56" i="4"/>
  <c r="Y57" i="4"/>
  <c r="Y58" i="4"/>
  <c r="Y60" i="4"/>
  <c r="Y63" i="4"/>
  <c r="Y64" i="4"/>
  <c r="Y69" i="4"/>
  <c r="Y65" i="4"/>
  <c r="Y66" i="4"/>
  <c r="Y67" i="4"/>
  <c r="Y68" i="4"/>
  <c r="Y70" i="4"/>
  <c r="Y71" i="4"/>
  <c r="Y72" i="4"/>
  <c r="Y73" i="4"/>
  <c r="Y74" i="4"/>
  <c r="Y75" i="4"/>
  <c r="Y80" i="4"/>
  <c r="Y76" i="4"/>
  <c r="Y77" i="4"/>
  <c r="Y78" i="4"/>
  <c r="Y79" i="4"/>
  <c r="Y81" i="4"/>
  <c r="Y82" i="4"/>
  <c r="Y83" i="4"/>
  <c r="Y84" i="4"/>
  <c r="Y85" i="4"/>
  <c r="Y86" i="4"/>
  <c r="Y91" i="4"/>
  <c r="Y87" i="4"/>
  <c r="Y88" i="4"/>
  <c r="Y89" i="4"/>
  <c r="Y90" i="4"/>
  <c r="Y92" i="4"/>
  <c r="Y93" i="4"/>
  <c r="Y94" i="4"/>
  <c r="Y95" i="4"/>
  <c r="Y96" i="4"/>
  <c r="Y97" i="4"/>
  <c r="Y102" i="4"/>
  <c r="Y98" i="4"/>
  <c r="Y99" i="4"/>
  <c r="Y100" i="4"/>
  <c r="Y101" i="4"/>
  <c r="Y103" i="4"/>
  <c r="Y104" i="4"/>
  <c r="Y105" i="4"/>
  <c r="Y106" i="4"/>
  <c r="Y107" i="4"/>
  <c r="Y108" i="4"/>
  <c r="Y113" i="4"/>
  <c r="Y109" i="4"/>
  <c r="Y110" i="4"/>
  <c r="Y116" i="4"/>
  <c r="Y62" i="4"/>
  <c r="Y117" i="4"/>
  <c r="Y118" i="4"/>
  <c r="Y115" i="4"/>
  <c r="Y114" i="4"/>
  <c r="Y112" i="4"/>
  <c r="Y111" i="4"/>
  <c r="G3" i="2"/>
  <c r="O3" i="2"/>
  <c r="Y124" i="3"/>
  <c r="Y123" i="3"/>
  <c r="Y122" i="3"/>
  <c r="Y121" i="3"/>
  <c r="Y120" i="3"/>
  <c r="Y119" i="3"/>
  <c r="Y118" i="3"/>
  <c r="Y117" i="3"/>
  <c r="Y116" i="3"/>
  <c r="Y115" i="3"/>
  <c r="H71" i="5"/>
  <c r="H41" i="5"/>
  <c r="H37" i="5"/>
  <c r="H36" i="5"/>
  <c r="H35" i="5"/>
  <c r="H34" i="5"/>
  <c r="H32" i="5"/>
  <c r="H31" i="5"/>
  <c r="H28" i="5"/>
  <c r="H27" i="5"/>
  <c r="H26" i="5"/>
  <c r="H25" i="5"/>
  <c r="H24" i="5"/>
  <c r="H23" i="5"/>
  <c r="Z121" i="3"/>
  <c r="Z122" i="3"/>
  <c r="Z123" i="3"/>
  <c r="Z124" i="3"/>
  <c r="Z120" i="3"/>
  <c r="I86" i="5"/>
  <c r="Z119" i="3"/>
  <c r="I85" i="5"/>
  <c r="Z118" i="3"/>
  <c r="I84" i="5"/>
  <c r="Z117" i="3"/>
  <c r="Z116" i="3"/>
  <c r="Z115" i="3"/>
  <c r="I74" i="5"/>
  <c r="I71" i="5"/>
  <c r="I69" i="5"/>
  <c r="AU2" i="3"/>
  <c r="Z44" i="3"/>
  <c r="AU1"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25" i="3"/>
  <c r="Y26" i="3"/>
  <c r="Y31" i="3"/>
  <c r="Y32" i="3"/>
  <c r="Y33" i="3"/>
  <c r="Y34" i="3"/>
  <c r="Y35" i="3"/>
  <c r="Y36" i="3"/>
  <c r="Y37" i="3"/>
  <c r="Y38" i="3"/>
  <c r="Y39" i="3"/>
  <c r="Y40" i="3"/>
  <c r="Y42" i="3"/>
  <c r="Y43" i="3"/>
  <c r="Y44" i="3"/>
  <c r="Y45" i="3"/>
  <c r="Y46" i="3"/>
  <c r="Y47" i="3"/>
  <c r="Y48" i="3"/>
  <c r="Y49" i="3"/>
  <c r="Y50" i="3"/>
  <c r="Y51" i="3"/>
  <c r="Y53" i="3"/>
  <c r="Y54" i="3"/>
  <c r="Y55" i="3"/>
  <c r="Y24" i="3"/>
  <c r="Y23" i="3"/>
  <c r="Y22" i="3"/>
  <c r="Y21" i="3"/>
  <c r="Y20" i="3"/>
  <c r="Y19" i="3"/>
  <c r="Y18" i="3"/>
  <c r="Y17" i="3"/>
  <c r="Y15" i="3"/>
  <c r="Y14" i="3"/>
  <c r="Y13" i="3"/>
  <c r="Y12" i="3"/>
  <c r="Y11" i="3"/>
  <c r="Y10" i="3"/>
  <c r="Y9" i="3"/>
  <c r="Y58" i="3"/>
  <c r="Y57" i="3"/>
  <c r="Y56" i="3"/>
  <c r="Y52" i="3"/>
  <c r="Y41" i="3"/>
  <c r="Y30" i="3"/>
  <c r="Y29" i="3"/>
  <c r="Y28" i="3"/>
  <c r="Y27" i="3"/>
  <c r="Y16" i="3"/>
  <c r="Y8" i="3"/>
  <c r="Y7" i="3"/>
  <c r="Y6" i="3"/>
  <c r="Y5" i="3"/>
  <c r="Y4" i="3"/>
  <c r="Y3" i="3"/>
  <c r="Y2" i="3"/>
  <c r="H33" i="5"/>
  <c r="H66" i="5"/>
  <c r="H65" i="5"/>
  <c r="H64" i="5"/>
  <c r="H62" i="5"/>
  <c r="H61" i="5"/>
  <c r="H59" i="5"/>
  <c r="H58" i="5"/>
  <c r="H57" i="5"/>
  <c r="H56" i="5"/>
  <c r="H55" i="5"/>
  <c r="H54" i="5"/>
  <c r="H53" i="5"/>
  <c r="H52" i="5"/>
  <c r="H51" i="5"/>
  <c r="H50" i="5"/>
  <c r="H49" i="5"/>
  <c r="H48" i="5"/>
  <c r="H47" i="5"/>
  <c r="H46" i="5"/>
  <c r="H45" i="5"/>
  <c r="H44" i="5"/>
  <c r="Z2" i="3"/>
  <c r="Z9" i="3"/>
  <c r="Z10" i="3"/>
  <c r="I2" i="5"/>
  <c r="Z11" i="3"/>
  <c r="I3" i="5"/>
  <c r="Z12" i="3"/>
  <c r="I4" i="5"/>
  <c r="Z13" i="3"/>
  <c r="I5" i="5"/>
  <c r="Z14" i="3"/>
  <c r="I6" i="5"/>
  <c r="Z15" i="3"/>
  <c r="I7" i="5"/>
  <c r="Z16" i="3"/>
  <c r="Z17" i="3"/>
  <c r="I8" i="5"/>
  <c r="Z18" i="3"/>
  <c r="I9" i="5"/>
  <c r="Z19" i="3"/>
  <c r="I10" i="5"/>
  <c r="Z20" i="3"/>
  <c r="I11" i="5"/>
  <c r="Z21" i="3"/>
  <c r="I12" i="5"/>
  <c r="Z22" i="3"/>
  <c r="I13" i="5"/>
  <c r="Z23" i="3"/>
  <c r="I14" i="5"/>
  <c r="Z24" i="3"/>
  <c r="I15" i="5"/>
  <c r="Z25" i="3"/>
  <c r="I16" i="5"/>
  <c r="Z26" i="3"/>
  <c r="I17" i="5"/>
  <c r="Z27" i="3"/>
  <c r="Z28" i="3"/>
  <c r="I18" i="5"/>
  <c r="Z29" i="3"/>
  <c r="I19" i="5"/>
  <c r="Z30" i="3"/>
  <c r="I20" i="5"/>
  <c r="Z31" i="3"/>
  <c r="I21" i="5"/>
  <c r="Z32" i="3"/>
  <c r="I22" i="5"/>
  <c r="Z33" i="3"/>
  <c r="Z34" i="3"/>
  <c r="Z38" i="3"/>
  <c r="Z35" i="3"/>
  <c r="Z39" i="3"/>
  <c r="Z36" i="3"/>
  <c r="Z40" i="3"/>
  <c r="Z37" i="3"/>
  <c r="Z41" i="3"/>
  <c r="Z42" i="3"/>
  <c r="Z45" i="3"/>
  <c r="Z46" i="3"/>
  <c r="Z47" i="3"/>
  <c r="Z43" i="3"/>
  <c r="Z48" i="3"/>
  <c r="Z49" i="3"/>
  <c r="Z50" i="3"/>
  <c r="Z51" i="3"/>
  <c r="I23" i="5"/>
  <c r="I24" i="5"/>
  <c r="I25" i="5"/>
  <c r="Z52" i="3"/>
  <c r="I26" i="5"/>
  <c r="Z53" i="3"/>
  <c r="I27" i="5"/>
  <c r="Z54" i="3"/>
  <c r="I28" i="5"/>
  <c r="Z55" i="3"/>
  <c r="I29" i="5"/>
  <c r="Z56" i="3"/>
  <c r="I30" i="5"/>
  <c r="Z57" i="3"/>
  <c r="I31" i="5"/>
  <c r="Z58" i="3"/>
  <c r="I32" i="5"/>
  <c r="Z59" i="3"/>
  <c r="I33" i="5"/>
  <c r="Z60" i="3"/>
  <c r="I34" i="5"/>
  <c r="Z61" i="3"/>
  <c r="Z64" i="3"/>
  <c r="I35" i="5"/>
  <c r="Z62" i="3"/>
  <c r="Z65" i="3"/>
  <c r="I36" i="5"/>
  <c r="Z63" i="3"/>
  <c r="Z66" i="3"/>
  <c r="I37" i="5"/>
  <c r="Z67" i="3"/>
  <c r="I38" i="5"/>
  <c r="Z68" i="3"/>
  <c r="I39" i="5"/>
  <c r="Z70" i="3"/>
  <c r="Z69" i="3"/>
  <c r="I40" i="5"/>
  <c r="Z71" i="3"/>
  <c r="I41" i="5"/>
  <c r="Z72" i="3"/>
  <c r="I42" i="5"/>
  <c r="Z73" i="3"/>
  <c r="I43" i="5"/>
  <c r="Z74" i="3"/>
  <c r="I44" i="5"/>
  <c r="Z75" i="3"/>
  <c r="I45" i="5"/>
  <c r="Z76" i="3"/>
  <c r="I46" i="5"/>
  <c r="Z77" i="3"/>
  <c r="I47" i="5"/>
  <c r="Z78" i="3"/>
  <c r="I48" i="5"/>
  <c r="Z79" i="3"/>
  <c r="I49" i="5"/>
  <c r="Z81" i="3"/>
  <c r="Z80" i="3"/>
  <c r="I50" i="5"/>
  <c r="Z82" i="3"/>
  <c r="I51" i="5"/>
  <c r="Z83" i="3"/>
  <c r="I52" i="5"/>
  <c r="Z84" i="3"/>
  <c r="I53" i="5"/>
  <c r="Z85" i="3"/>
  <c r="I54" i="5"/>
  <c r="Z86" i="3"/>
  <c r="I55" i="5"/>
  <c r="Z87" i="3"/>
  <c r="I56" i="5"/>
  <c r="Z88" i="3"/>
  <c r="I57" i="5"/>
  <c r="Z89" i="3"/>
  <c r="I58" i="5"/>
  <c r="Z90" i="3"/>
  <c r="I59" i="5"/>
  <c r="Z91" i="3"/>
  <c r="I60" i="5"/>
  <c r="Z92" i="3"/>
  <c r="Z93" i="3"/>
  <c r="I61" i="5"/>
  <c r="Z94" i="3"/>
  <c r="I62" i="5"/>
  <c r="Z95" i="3"/>
  <c r="I63" i="5"/>
  <c r="Z96" i="3"/>
  <c r="I64" i="5"/>
  <c r="Z97" i="3"/>
  <c r="I65" i="5"/>
  <c r="Z98" i="3"/>
  <c r="I66" i="5"/>
  <c r="Z99" i="3"/>
  <c r="I67" i="5"/>
  <c r="Z100" i="3"/>
  <c r="I68" i="5"/>
  <c r="Z101" i="3"/>
  <c r="I70" i="5"/>
  <c r="Z102" i="3"/>
  <c r="I72" i="5"/>
  <c r="Z103" i="3"/>
  <c r="I73" i="5"/>
  <c r="Z104" i="3"/>
  <c r="I75" i="5"/>
  <c r="Z105" i="3"/>
  <c r="I76" i="5"/>
  <c r="Z106" i="3"/>
  <c r="I77" i="5"/>
  <c r="Z111" i="3"/>
  <c r="Z107" i="3"/>
  <c r="I78" i="5"/>
  <c r="Z108" i="3"/>
  <c r="I79" i="5"/>
  <c r="Z109" i="3"/>
  <c r="I80" i="5"/>
  <c r="Z114" i="3"/>
  <c r="Z110" i="3"/>
  <c r="I81" i="5"/>
  <c r="Z112" i="3"/>
  <c r="I82" i="5"/>
  <c r="Z113" i="3"/>
  <c r="I83" i="5"/>
  <c r="Z5" i="3"/>
  <c r="Z6" i="3"/>
  <c r="Z7" i="3"/>
  <c r="Z8" i="3"/>
  <c r="Z4" i="3"/>
  <c r="Z3" i="3"/>
  <c r="AT1" i="4"/>
  <c r="X3" i="4"/>
  <c r="X4" i="4"/>
  <c r="X5" i="4"/>
  <c r="X6" i="4"/>
  <c r="X7" i="4"/>
  <c r="X8" i="4"/>
  <c r="X9" i="4"/>
  <c r="X10" i="4"/>
  <c r="X11" i="4"/>
  <c r="X12" i="4"/>
  <c r="X13" i="4"/>
  <c r="X14" i="4"/>
  <c r="X15" i="4"/>
  <c r="X16" i="4"/>
  <c r="X17" i="4"/>
  <c r="X18" i="4"/>
  <c r="X19" i="4"/>
  <c r="X20" i="4"/>
  <c r="X21" i="4"/>
  <c r="X22" i="4"/>
  <c r="X23" i="4"/>
  <c r="X24" i="4"/>
  <c r="X25" i="4"/>
  <c r="X26" i="4"/>
  <c r="X27" i="4"/>
  <c r="X28" i="4"/>
  <c r="X29" i="4"/>
  <c r="X30" i="4"/>
  <c r="X31" i="4"/>
  <c r="X32" i="4"/>
  <c r="X33" i="4"/>
  <c r="X34" i="4"/>
  <c r="X35" i="4"/>
  <c r="X36" i="4"/>
  <c r="X37" i="4"/>
  <c r="X2" i="4"/>
  <c r="X42" i="4"/>
  <c r="X41" i="4"/>
  <c r="X40" i="4"/>
  <c r="X39" i="4"/>
  <c r="X38" i="4"/>
  <c r="AT2" i="4"/>
  <c r="Y3" i="4"/>
  <c r="Y26" i="4"/>
  <c r="Y32" i="4"/>
  <c r="Y34" i="4"/>
  <c r="Y35" i="4"/>
  <c r="Y36" i="4"/>
  <c r="Y2" i="4"/>
  <c r="Y4" i="4"/>
  <c r="Y5" i="4"/>
  <c r="Y7" i="4"/>
  <c r="Y6" i="4"/>
  <c r="Y15" i="4"/>
  <c r="Y8" i="4"/>
  <c r="Y9" i="4"/>
  <c r="H2" i="5"/>
  <c r="Y10" i="4"/>
  <c r="H3" i="5"/>
  <c r="Y11" i="4"/>
  <c r="H4" i="5"/>
  <c r="Y12" i="4"/>
  <c r="H5" i="5"/>
  <c r="Y13" i="4"/>
  <c r="H6" i="5"/>
  <c r="Y14" i="4"/>
  <c r="H7" i="5"/>
  <c r="Y16" i="4"/>
  <c r="H8" i="5"/>
  <c r="Y17" i="4"/>
  <c r="H9" i="5"/>
  <c r="Y18" i="4"/>
  <c r="H10" i="5"/>
  <c r="Y39" i="4"/>
  <c r="Y42" i="4"/>
  <c r="Y41" i="4"/>
  <c r="Y40" i="4"/>
  <c r="Y38" i="4"/>
  <c r="Y37" i="4"/>
  <c r="Y33" i="4"/>
  <c r="Y31" i="4"/>
  <c r="H22" i="5"/>
  <c r="Y30" i="4"/>
  <c r="H21" i="5"/>
  <c r="Y29" i="4"/>
  <c r="H20" i="5"/>
  <c r="Y28" i="4"/>
  <c r="H19" i="5"/>
  <c r="Y27" i="4"/>
  <c r="H18" i="5"/>
  <c r="Y25" i="4"/>
  <c r="H17" i="5"/>
  <c r="Y24" i="4"/>
  <c r="H16" i="5"/>
  <c r="Y23" i="4"/>
  <c r="H15" i="5"/>
  <c r="Y22" i="4"/>
  <c r="H14" i="5"/>
  <c r="Y21" i="4"/>
  <c r="H13" i="5"/>
  <c r="Y20" i="4"/>
  <c r="H12" i="5"/>
  <c r="Y19" i="4"/>
  <c r="H11" i="5"/>
</calcChain>
</file>

<file path=xl/sharedStrings.xml><?xml version="1.0" encoding="utf-8"?>
<sst xmlns="http://schemas.openxmlformats.org/spreadsheetml/2006/main" count="912" uniqueCount="136">
  <si>
    <t>Row</t>
  </si>
  <si>
    <t>Identifier 1</t>
  </si>
  <si>
    <t>Amount</t>
  </si>
  <si>
    <t>Rt</t>
  </si>
  <si>
    <t>Sample Dilution</t>
  </si>
  <si>
    <t>Area All</t>
  </si>
  <si>
    <t>Area 46</t>
  </si>
  <si>
    <t>Area 44</t>
  </si>
  <si>
    <t>Area 45</t>
  </si>
  <si>
    <t>Amt%</t>
  </si>
  <si>
    <t>d 13C/12C</t>
  </si>
  <si>
    <t>Urea</t>
  </si>
  <si>
    <t>Caffeine</t>
  </si>
  <si>
    <t>Sucrose</t>
  </si>
  <si>
    <t>Spirulina</t>
  </si>
  <si>
    <t>Standards</t>
  </si>
  <si>
    <t>%N</t>
  </si>
  <si>
    <t>L-Glu</t>
  </si>
  <si>
    <t>Component Flash TCD</t>
  </si>
  <si>
    <t>rArea Flash TCD</t>
  </si>
  <si>
    <t>N2</t>
  </si>
  <si>
    <t>CO2</t>
  </si>
  <si>
    <t>mg N</t>
  </si>
  <si>
    <t>Slope</t>
  </si>
  <si>
    <t>r2</t>
  </si>
  <si>
    <t>%C</t>
  </si>
  <si>
    <t>mg C</t>
  </si>
  <si>
    <t>Calibrated 13C</t>
  </si>
  <si>
    <t>Offset</t>
  </si>
  <si>
    <t>Precision</t>
  </si>
  <si>
    <t>Area 28</t>
  </si>
  <si>
    <t>Area 29</t>
  </si>
  <si>
    <t>d 15N/14N</t>
  </si>
  <si>
    <t>Calibrated 15N</t>
  </si>
  <si>
    <t>Drift_corr d 13C/12C</t>
  </si>
  <si>
    <t>Drift_corr d 15N/14N</t>
  </si>
  <si>
    <t>Area 30</t>
  </si>
  <si>
    <t>AT% 15N/14N</t>
  </si>
  <si>
    <t>AT% 13C/12C</t>
  </si>
  <si>
    <t>Time Code</t>
  </si>
  <si>
    <t>Analysis</t>
  </si>
  <si>
    <t>Identifier 2</t>
  </si>
  <si>
    <t>Peak Nr. Flash TCD</t>
  </si>
  <si>
    <t>Rt Flash TCD</t>
  </si>
  <si>
    <t>Ampl. Flash TCD</t>
  </si>
  <si>
    <t>Amt% Flash TCD</t>
  </si>
  <si>
    <t>Conflo K Fac Flash TCD</t>
  </si>
  <si>
    <t>Peak Nr.</t>
  </si>
  <si>
    <t>Ampl. 28</t>
  </si>
  <si>
    <t>Ampl. 29</t>
  </si>
  <si>
    <t>Ampl. 30</t>
  </si>
  <si>
    <t>Ampl. 44</t>
  </si>
  <si>
    <t>Ampl. 45</t>
  </si>
  <si>
    <t>Ampl. 46</t>
  </si>
  <si>
    <t>Drift_corr offset</t>
  </si>
  <si>
    <t>Populate N</t>
  </si>
  <si>
    <t>Populate C</t>
  </si>
  <si>
    <t>QC</t>
  </si>
  <si>
    <t>To exclude references</t>
  </si>
  <si>
    <t>References</t>
  </si>
  <si>
    <t>TCD data</t>
  </si>
  <si>
    <t>Elemental analysis</t>
  </si>
  <si>
    <t>The Isodat output of the TCD data (csv format!) should be pasted in this sheet</t>
  </si>
  <si>
    <t>15N and 13C</t>
  </si>
  <si>
    <t>Sheet</t>
  </si>
  <si>
    <t>Description</t>
  </si>
  <si>
    <t>Quality control ("Extract QC" button): a reference (must be present in the "Ref" table) can be used as a QC and is extracted from the table. Precision and accuracy are then calculated either normalized raw or drift-corrected data.</t>
  </si>
  <si>
    <t>Summary</t>
  </si>
  <si>
    <t>The populate button triggers a macro that extracts and includes in the table all analyses that are not in the "Ref" table. A set of formulas display the elemental and isotopic data calculated in the other sheets.</t>
  </si>
  <si>
    <t>Data normalization ("Extract Ref" button): the isotope ratio offset is calculated for both raw and drift-corrected delta from 2 in-house reference standards usually analysed 3 times throughout the sequence. Offset = (R_measured / R_calibrated - 1) x 1000 = (delta_measured + 1000) / (delta_calibrated + 1000) - 1) x 1000. Then each analysis' offest, calculated from the regression Offset = f (delta_measured) obtained from references, is removed from the measured value.</t>
  </si>
  <si>
    <t>offset d 15N/14N</t>
  </si>
  <si>
    <t>offset Drift_corr d 15N/14N</t>
  </si>
  <si>
    <t>offset d 13C/12C</t>
  </si>
  <si>
    <t>offset Drift_corr d 13C/12C</t>
  </si>
  <si>
    <t>Drift correction ("Extract Drift" button): any trend in the data is calculated from a reference (e.g. caffeine) analyzed before and after every 10 unknown samples. The slope of the regresssion delta_ref = f (Analysis) is removed from the whole sequence.</t>
  </si>
  <si>
    <t xml:space="preserve">Linearity Check ("d15N or d13C Linearity Check"): Linearity should be minimal because the EA uses a "smart dilution" feature, where the TCD first determines how much N and C are present, and then dilutes the analyte gas with extra helium based on this quantification to tune the size of the gas pulse entering the ion source to an appropriate size. Nevertheless, it is a good idea to keep an eye on whether this is working effectively, so this macro extracts the signal from the TCD quantification and matches it with the delta value. The graphs show the information - all points in the first two plots should be within an envelope of acceptable precision around the origin of the y-axis. The third graph should be a series of linear trends with all plotting between a range of approximately 50-80 Vs for N and 50-130 Vs for C.  </t>
  </si>
  <si>
    <t>δ13C (‰ VPDB)</t>
  </si>
  <si>
    <t>δ15N (‰ AIR-N2)</t>
  </si>
  <si>
    <t>Initial Corrected δ13C (‰ VPDB)</t>
  </si>
  <si>
    <t>Initial Corrected δ15N (‰ AIR-N2)</t>
  </si>
  <si>
    <t>This sheet includes the names and isotope values of the reference standards used in this workbook. The data appear in a "table format" (named "Ref") that can be updated and where new rows and columns can be added. It also includes a formula used in the "Summary" worksheet macro to exclude references being populated in the summary table.</t>
  </si>
  <si>
    <t>This sheet consist of a series of macros triggered by buttons. If the sequence includes a subset of analyses used to calibrate the TCD (mg element = f (rArea Flash TCD)), then the calibration button can be clicked but each of these analyses must have data in the "Amount" column and the material analysed should be present in the "Ref" table. Otherwise, previous calibration data already present in the template can be used (so don't click the calibration buttons). The import buttons populate data from samples and calculate the elemental content (in mg) from the calibration curves.</t>
  </si>
  <si>
    <t>The Isodat output of the isotope data must be pasted in these sheets exactly in the same order as the headers in columns A to S. All graphs on this page are for quality control purposes.</t>
  </si>
  <si>
    <t>Mean</t>
  </si>
  <si>
    <t>offset</t>
  </si>
  <si>
    <t>Analytical Precision for Sequence</t>
  </si>
  <si>
    <t>Precision-Initial Correction</t>
  </si>
  <si>
    <t>offset Initial Corrected δ15N (‰ AIR-N2)</t>
  </si>
  <si>
    <t>offset δ15N (‰ AIR-N2)</t>
  </si>
  <si>
    <t>offset Initial Corrected δ13C (‰ VPDB)</t>
  </si>
  <si>
    <t>offset δ13C (‰ VPDB)</t>
  </si>
  <si>
    <t>mg N/
mg sample</t>
  </si>
  <si>
    <t>mg C/
mg sample</t>
  </si>
  <si>
    <t>BGD 28</t>
  </si>
  <si>
    <t>BGD 29</t>
  </si>
  <si>
    <t>TCD-15N match?</t>
  </si>
  <si>
    <t>BGD 44</t>
  </si>
  <si>
    <t>BGD 45</t>
  </si>
  <si>
    <t>BGD 46</t>
  </si>
  <si>
    <t>TCD-13C match?</t>
  </si>
  <si>
    <t>Dummy</t>
  </si>
  <si>
    <t>blank</t>
  </si>
  <si>
    <t>FS-I</t>
  </si>
  <si>
    <t>Raphi2_alpine_soils-81-A1</t>
  </si>
  <si>
    <t>Raphi2_alpine_soils-103-A2</t>
  </si>
  <si>
    <t>Raphi2_alpine_soils-104-A3</t>
  </si>
  <si>
    <t>Raphi2_alpine_soils-137-A4</t>
  </si>
  <si>
    <t>Raphi2_alpine_soils-95-A5</t>
  </si>
  <si>
    <t>Raphi2_alpine_soils-53-A6</t>
  </si>
  <si>
    <t>Raphi2_alpine_soils-89-A7</t>
  </si>
  <si>
    <t>Raphi2_alpine_soils-140-A8</t>
  </si>
  <si>
    <t>Raphi2_alpine_soils-102-A9</t>
  </si>
  <si>
    <t>Raphi2_alpine_soils-152-A10</t>
  </si>
  <si>
    <t>Raphi2_alpine_soils-86-A11</t>
  </si>
  <si>
    <t>Raphi2_alpine_soils-44-A12</t>
  </si>
  <si>
    <t>Raphi2_alpine_soils-108-B1</t>
  </si>
  <si>
    <t>Raphi2_alpine_soils-150-B2</t>
  </si>
  <si>
    <t>Raphi2_alpine_soils-80-B3</t>
  </si>
  <si>
    <t>Raphi2_alpine_soils-115-B4</t>
  </si>
  <si>
    <t>Raphi2_alpine_soils-93-B5</t>
  </si>
  <si>
    <t>Raphi2_alpine_soils-51-B6</t>
  </si>
  <si>
    <t>Raphi2_alpine_soils-91-B7</t>
  </si>
  <si>
    <t>Raphi2_alpine_soils-85-B8</t>
  </si>
  <si>
    <t>Raphi2_alpine_soils-154-B9</t>
  </si>
  <si>
    <t>AG_Herbarium_Isotopes_C_only-8000-A01</t>
  </si>
  <si>
    <t>AG_Herbarium_Isotopes_C_only-8002-A02</t>
  </si>
  <si>
    <t>AG_Herbarium_Isotopes_C_only-8003-A03</t>
  </si>
  <si>
    <t>AG_Herbarium_Isotopes_C_only-8004-A04</t>
  </si>
  <si>
    <t>AG_Herbarium_Isotopes_C_only-8006-A05</t>
  </si>
  <si>
    <t>AG_Herbarium_Isotopes_C_only-8007-A06</t>
  </si>
  <si>
    <t>AG_Herbarium_Isotopes_C_only-8008-A07</t>
  </si>
  <si>
    <t>AG_Herbarium_Isotopes_C_only-8009-A08</t>
  </si>
  <si>
    <t>AG_Herbarium_Isotopes_C_only-8010-A09</t>
  </si>
  <si>
    <t>AG_Herbarium_Isotopes_C_only-8011-A10</t>
  </si>
  <si>
    <t>AG_Herbarium_Isotopes_C_only-8031-A11</t>
  </si>
  <si>
    <t>AG_Herbarium_Isotopes_C_only-8032-A12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</si>
</sst>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
    <numFmt numFmtId="166" formatCode="0.0000E+00"/>
    <numFmt numFmtId="167" formatCode="dd/mm/yy;@"/>
  </numFmts>
  <fonts count="7" x14ac:knownFonts="1">
    <font>
      <sz val="12"/>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2"/>
      <color theme="0"/>
      <name val="Calibri"/>
      <family val="2"/>
      <scheme val="minor"/>
    </font>
    <font>
      <sz val="12"/>
      <color rgb="FF000000"/>
      <name val="Calibri"/>
      <family val="2"/>
    </font>
    <font>
      <sz val="12"/>
      <color rgb="FF000000"/>
      <name val="Helvetica"/>
      <family val="2"/>
    </font>
  </fonts>
  <fills count="9">
    <fill>
      <patternFill patternType="none"/>
    </fill>
    <fill>
      <patternFill patternType="gray125"/>
    </fill>
    <fill>
      <patternFill patternType="solid">
        <fgColor theme="2"/>
        <bgColor indexed="64"/>
      </patternFill>
    </fill>
    <fill>
      <patternFill patternType="solid">
        <fgColor theme="5"/>
        <bgColor theme="5"/>
      </patternFill>
    </fill>
    <fill>
      <patternFill patternType="solid">
        <fgColor theme="5" tint="0.79998168889431442"/>
        <bgColor theme="5" tint="0.79998168889431442"/>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s>
  <borders count="13">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theme="5" tint="0.39997558519241921"/>
      </left>
      <right/>
      <top style="thin">
        <color theme="0"/>
      </top>
      <bottom style="thin">
        <color theme="5" tint="0.39997558519241921"/>
      </bottom>
      <diagonal/>
    </border>
    <border>
      <left style="thin">
        <color theme="0"/>
      </left>
      <right style="thin">
        <color theme="5" tint="0.39997558519241921"/>
      </right>
      <top style="thin">
        <color theme="0"/>
      </top>
      <bottom style="thin">
        <color theme="5" tint="0.39997558519241921"/>
      </bottom>
      <diagonal/>
    </border>
    <border>
      <left style="thin">
        <color theme="5" tint="0.39997558519241921"/>
      </left>
      <right/>
      <top style="thin">
        <color theme="5" tint="0.39997558519241921"/>
      </top>
      <bottom/>
      <diagonal/>
    </border>
    <border>
      <left style="thin">
        <color theme="0"/>
      </left>
      <right style="thin">
        <color theme="5" tint="0.39997558519241921"/>
      </right>
      <top style="thin">
        <color theme="5" tint="0.39997558519241921"/>
      </top>
      <bottom/>
      <diagonal/>
    </border>
    <border>
      <left style="thin">
        <color theme="5" tint="0.39997558519241921"/>
      </left>
      <right/>
      <top style="thick">
        <color theme="0"/>
      </top>
      <bottom/>
      <diagonal/>
    </border>
    <border>
      <left style="thin">
        <color theme="0"/>
      </left>
      <right style="thin">
        <color theme="5" tint="0.39997558519241921"/>
      </right>
      <top style="thick">
        <color theme="0"/>
      </top>
      <bottom/>
      <diagonal/>
    </border>
    <border>
      <left style="thin">
        <color theme="5" tint="0.39997558519241921"/>
      </left>
      <right/>
      <top style="thin">
        <color theme="0"/>
      </top>
      <bottom/>
      <diagonal/>
    </border>
    <border>
      <left style="thin">
        <color theme="0"/>
      </left>
      <right style="thin">
        <color theme="5" tint="0.39997558519241921"/>
      </right>
      <top style="thin">
        <color theme="0"/>
      </top>
      <bottom/>
      <diagonal/>
    </border>
    <border>
      <left style="thin">
        <color indexed="64"/>
      </left>
      <right style="thin">
        <color indexed="64"/>
      </right>
      <top style="thin">
        <color indexed="64"/>
      </top>
      <bottom style="thin">
        <color indexed="64"/>
      </bottom>
      <diagonal/>
    </border>
  </borders>
  <cellStyleXfs count="7">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cellStyleXfs>
  <cellXfs count="57">
    <xf numFmtId="0" fontId="0" fillId="0" borderId="0" xfId="0"/>
    <xf numFmtId="0" fontId="0" fillId="0" borderId="0" xfId="0" quotePrefix="1" applyNumberFormat="1"/>
    <xf numFmtId="0" fontId="0" fillId="0" borderId="0" xfId="0" applyNumberFormat="1"/>
    <xf numFmtId="0" fontId="0" fillId="0" borderId="0" xfId="0" applyAlignment="1">
      <alignment horizontal="center"/>
    </xf>
    <xf numFmtId="164" fontId="0" fillId="0" borderId="0" xfId="0" applyNumberFormat="1"/>
    <xf numFmtId="2" fontId="0" fillId="0" borderId="0" xfId="0" applyNumberFormat="1"/>
    <xf numFmtId="165" fontId="0" fillId="0" borderId="0" xfId="0" quotePrefix="1" applyNumberFormat="1"/>
    <xf numFmtId="165" fontId="0" fillId="0" borderId="0" xfId="0" quotePrefix="1" applyNumberFormat="1" applyAlignment="1">
      <alignment horizontal="center"/>
    </xf>
    <xf numFmtId="0" fontId="0" fillId="0" borderId="0" xfId="0" applyAlignment="1">
      <alignment wrapText="1"/>
    </xf>
    <xf numFmtId="0" fontId="0" fillId="0" borderId="0" xfId="0" applyAlignment="1">
      <alignment horizontal="center" wrapText="1"/>
    </xf>
    <xf numFmtId="164" fontId="0" fillId="0" borderId="0" xfId="0" quotePrefix="1" applyNumberFormat="1" applyAlignment="1">
      <alignment horizontal="center"/>
    </xf>
    <xf numFmtId="2" fontId="0" fillId="0" borderId="0" xfId="0" applyNumberFormat="1" applyAlignment="1">
      <alignment horizontal="center"/>
    </xf>
    <xf numFmtId="2" fontId="0" fillId="0" borderId="0" xfId="0" quotePrefix="1" applyNumberFormat="1"/>
    <xf numFmtId="22" fontId="0" fillId="0" borderId="0" xfId="0" applyNumberFormat="1"/>
    <xf numFmtId="0" fontId="0" fillId="0" borderId="0" xfId="0" quotePrefix="1"/>
    <xf numFmtId="0" fontId="0" fillId="2" borderId="1" xfId="0" applyFill="1" applyBorder="1"/>
    <xf numFmtId="0" fontId="0" fillId="2" borderId="2" xfId="0" applyFill="1" applyBorder="1"/>
    <xf numFmtId="0" fontId="3" fillId="2" borderId="3" xfId="0" quotePrefix="1" applyNumberFormat="1" applyFont="1" applyFill="1" applyBorder="1"/>
    <xf numFmtId="0" fontId="3" fillId="2" borderId="3" xfId="0" applyFont="1" applyFill="1" applyBorder="1" applyAlignment="1">
      <alignment horizontal="center"/>
    </xf>
    <xf numFmtId="0" fontId="0" fillId="0" borderId="0" xfId="0" applyNumberFormat="1" applyAlignment="1">
      <alignment horizontal="center"/>
    </xf>
    <xf numFmtId="0" fontId="0" fillId="0" borderId="0" xfId="0" quotePrefix="1" applyNumberFormat="1" applyAlignment="1">
      <alignment horizontal="center"/>
    </xf>
    <xf numFmtId="0" fontId="3" fillId="2" borderId="1" xfId="0" applyFont="1" applyFill="1" applyBorder="1" applyAlignment="1">
      <alignment horizontal="center" vertical="center"/>
    </xf>
    <xf numFmtId="0" fontId="3" fillId="2" borderId="2" xfId="0" applyFont="1" applyFill="1" applyBorder="1" applyAlignment="1">
      <alignment horizontal="center" vertical="center" wrapText="1"/>
    </xf>
    <xf numFmtId="0" fontId="3" fillId="2" borderId="2" xfId="0" quotePrefix="1" applyNumberFormat="1" applyFont="1" applyFill="1" applyBorder="1" applyAlignment="1">
      <alignment horizontal="center" vertical="center" wrapText="1"/>
    </xf>
    <xf numFmtId="0" fontId="0" fillId="0" borderId="0" xfId="0" applyFill="1"/>
    <xf numFmtId="0" fontId="4" fillId="3" borderId="6" xfId="0" applyFont="1" applyFill="1" applyBorder="1" applyAlignment="1">
      <alignment horizontal="left" vertical="top" wrapText="1"/>
    </xf>
    <xf numFmtId="0" fontId="4" fillId="3" borderId="7" xfId="0" applyFont="1" applyFill="1" applyBorder="1" applyAlignment="1">
      <alignment horizontal="center" vertical="top" wrapText="1"/>
    </xf>
    <xf numFmtId="0" fontId="0" fillId="4" borderId="8" xfId="0" applyFont="1" applyFill="1" applyBorder="1" applyAlignment="1">
      <alignment horizontal="left" vertical="top" wrapText="1"/>
    </xf>
    <xf numFmtId="0" fontId="0" fillId="4" borderId="9" xfId="0" applyFont="1" applyFill="1" applyBorder="1" applyAlignment="1">
      <alignment horizontal="left" vertical="top" wrapText="1"/>
    </xf>
    <xf numFmtId="0" fontId="0" fillId="0" borderId="10" xfId="0" applyFont="1" applyBorder="1" applyAlignment="1">
      <alignment horizontal="left" vertical="top" wrapText="1"/>
    </xf>
    <xf numFmtId="0" fontId="0" fillId="0" borderId="11" xfId="0" applyFont="1" applyBorder="1" applyAlignment="1">
      <alignment horizontal="left" vertical="top" wrapText="1"/>
    </xf>
    <xf numFmtId="0" fontId="0" fillId="4" borderId="10" xfId="0" applyFont="1" applyFill="1" applyBorder="1" applyAlignment="1">
      <alignment horizontal="left" vertical="top" wrapText="1"/>
    </xf>
    <xf numFmtId="0" fontId="0" fillId="4" borderId="11" xfId="0" applyFont="1" applyFill="1" applyBorder="1" applyAlignment="1">
      <alignment horizontal="left" vertical="top" wrapText="1"/>
    </xf>
    <xf numFmtId="0" fontId="0" fillId="5" borderId="4" xfId="0" applyFont="1" applyFill="1" applyBorder="1" applyAlignment="1">
      <alignment horizontal="left" vertical="top" wrapText="1"/>
    </xf>
    <xf numFmtId="0" fontId="0" fillId="5" borderId="5" xfId="0" applyFont="1" applyFill="1" applyBorder="1" applyAlignment="1">
      <alignment horizontal="left" vertical="top" wrapText="1"/>
    </xf>
    <xf numFmtId="166" fontId="0" fillId="0" borderId="0" xfId="0" applyNumberFormat="1"/>
    <xf numFmtId="0" fontId="0" fillId="0" borderId="0" xfId="0" applyAlignment="1">
      <alignment horizontal="left"/>
    </xf>
    <xf numFmtId="2" fontId="3" fillId="0" borderId="0" xfId="0" applyNumberFormat="1" applyFont="1" applyAlignment="1">
      <alignment horizontal="center"/>
    </xf>
    <xf numFmtId="0" fontId="3" fillId="2" borderId="2" xfId="0" applyFont="1" applyFill="1" applyBorder="1" applyAlignment="1">
      <alignment horizontal="center" wrapText="1"/>
    </xf>
    <xf numFmtId="0" fontId="3" fillId="2" borderId="3" xfId="0" applyFont="1" applyFill="1" applyBorder="1" applyAlignment="1">
      <alignment horizontal="center" wrapText="1"/>
    </xf>
    <xf numFmtId="0" fontId="0" fillId="0" borderId="0" xfId="0" quotePrefix="1" applyNumberFormat="1" applyAlignment="1">
      <alignment horizontal="center" wrapText="1"/>
    </xf>
    <xf numFmtId="0" fontId="3" fillId="2" borderId="1" xfId="0" applyNumberFormat="1" applyFont="1" applyFill="1" applyBorder="1" applyAlignment="1">
      <alignment horizontal="center" wrapText="1"/>
    </xf>
    <xf numFmtId="0" fontId="0" fillId="0" borderId="0" xfId="0" applyNumberFormat="1" applyAlignment="1">
      <alignment horizontal="center" wrapText="1"/>
    </xf>
    <xf numFmtId="0" fontId="0" fillId="0" borderId="0" xfId="0" applyAlignment="1">
      <alignment horizontal="left" wrapText="1"/>
    </xf>
    <xf numFmtId="2" fontId="0" fillId="0" borderId="0" xfId="0" applyNumberFormat="1" applyAlignment="1">
      <alignment horizontal="left" wrapText="1"/>
    </xf>
    <xf numFmtId="2" fontId="0" fillId="0" borderId="0" xfId="0" applyNumberFormat="1" applyAlignment="1">
      <alignment horizontal="left"/>
    </xf>
    <xf numFmtId="0" fontId="3" fillId="6" borderId="12" xfId="0" applyFont="1" applyFill="1" applyBorder="1" applyAlignment="1">
      <alignment horizontal="center"/>
    </xf>
    <xf numFmtId="0" fontId="0" fillId="6" borderId="12" xfId="0" applyFill="1" applyBorder="1"/>
    <xf numFmtId="2" fontId="0" fillId="6" borderId="12" xfId="0" applyNumberFormat="1" applyFill="1" applyBorder="1"/>
    <xf numFmtId="0" fontId="3" fillId="7" borderId="12" xfId="0" applyFont="1" applyFill="1" applyBorder="1" applyAlignment="1">
      <alignment horizontal="center"/>
    </xf>
    <xf numFmtId="0" fontId="0" fillId="7" borderId="12" xfId="0" applyFill="1" applyBorder="1"/>
    <xf numFmtId="2" fontId="0" fillId="7" borderId="12" xfId="0" applyNumberFormat="1" applyFill="1" applyBorder="1"/>
    <xf numFmtId="2" fontId="3" fillId="0" borderId="12" xfId="0" applyNumberFormat="1" applyFont="1" applyBorder="1" applyAlignment="1">
      <alignment horizontal="center"/>
    </xf>
    <xf numFmtId="0" fontId="3" fillId="2" borderId="2" xfId="0" applyFont="1" applyFill="1" applyBorder="1" applyAlignment="1">
      <alignment vertical="center"/>
    </xf>
    <xf numFmtId="0" fontId="3" fillId="8" borderId="12" xfId="0" applyFont="1" applyFill="1" applyBorder="1"/>
    <xf numFmtId="167" fontId="3" fillId="0" borderId="12" xfId="0" applyNumberFormat="1" applyFont="1" applyBorder="1" applyAlignment="1">
      <alignment horizontal="right"/>
    </xf>
    <xf numFmtId="0" fontId="3" fillId="0" borderId="12" xfId="0" applyFont="1" applyBorder="1" applyAlignment="1">
      <alignment horizontal="right"/>
    </xf>
  </cellXfs>
  <cellStyles count="7">
    <cellStyle name="Followed Hyperlink" xfId="2" builtinId="9" hidden="1"/>
    <cellStyle name="Followed Hyperlink" xfId="4" builtinId="9" hidden="1"/>
    <cellStyle name="Followed Hyperlink" xfId="6" builtinId="9" hidden="1"/>
    <cellStyle name="Hyperlink" xfId="1" builtinId="8" hidden="1"/>
    <cellStyle name="Hyperlink" xfId="3" builtinId="8" hidden="1"/>
    <cellStyle name="Hyperlink" xfId="5" builtinId="8" hidden="1"/>
    <cellStyle name="Normal" xfId="0" builtinId="0"/>
  </cellStyles>
  <dxfs count="4">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9" defaultPivotStyle="PivotStyleMedium7"/>
  <colors>
    <mruColors>
      <color rgb="FFFFF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N</c:v>
          </c:tx>
          <c:spPr>
            <a:ln w="317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intercept val="0"/>
            <c:dispRSqr val="1"/>
            <c:dispEq val="1"/>
            <c:trendlineLbl>
              <c:layout>
                <c:manualLayout>
                  <c:x val="-1.7101268591426098E-2"/>
                  <c:y val="-7.744094488188979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CH"/>
                </a:p>
              </c:txPr>
            </c:trendlineLbl>
          </c:trendline>
          <c:xVal>
            <c:numRef>
              <c:f>'Elemental analysis'!$F$6:$F$14</c:f>
              <c:numCache>
                <c:formatCode>General</c:formatCode>
                <c:ptCount val="9"/>
                <c:pt idx="0">
                  <c:v>16171</c:v>
                </c:pt>
                <c:pt idx="1">
                  <c:v>37422</c:v>
                </c:pt>
                <c:pt idx="2">
                  <c:v>46585</c:v>
                </c:pt>
                <c:pt idx="3">
                  <c:v>68608</c:v>
                </c:pt>
                <c:pt idx="4">
                  <c:v>106771</c:v>
                </c:pt>
                <c:pt idx="5">
                  <c:v>122063</c:v>
                </c:pt>
                <c:pt idx="6">
                  <c:v>1074716</c:v>
                </c:pt>
                <c:pt idx="7">
                  <c:v>1463595</c:v>
                </c:pt>
                <c:pt idx="8">
                  <c:v>1835183</c:v>
                </c:pt>
              </c:numCache>
            </c:numRef>
          </c:xVal>
          <c:yVal>
            <c:numRef>
              <c:f>'Elemental analysis'!$G$6:$G$14</c:f>
              <c:numCache>
                <c:formatCode>0.000</c:formatCode>
                <c:ptCount val="9"/>
                <c:pt idx="0">
                  <c:v>1.52905E-2</c:v>
                </c:pt>
                <c:pt idx="1">
                  <c:v>3.2600500000000004E-2</c:v>
                </c:pt>
                <c:pt idx="2">
                  <c:v>4.1255499999999994E-2</c:v>
                </c:pt>
                <c:pt idx="3">
                  <c:v>6.0007999999999999E-2</c:v>
                </c:pt>
                <c:pt idx="4">
                  <c:v>8.9435000000000001E-2</c:v>
                </c:pt>
                <c:pt idx="5">
                  <c:v>0.10270600000000001</c:v>
                </c:pt>
                <c:pt idx="6">
                  <c:v>0.86463449999999997</c:v>
                </c:pt>
                <c:pt idx="7">
                  <c:v>1.1698675000000001</c:v>
                </c:pt>
                <c:pt idx="8">
                  <c:v>1.458656</c:v>
                </c:pt>
              </c:numCache>
            </c:numRef>
          </c:yVal>
          <c:smooth val="0"/>
          <c:extLst>
            <c:ext xmlns:c16="http://schemas.microsoft.com/office/drawing/2014/chart" uri="{C3380CC4-5D6E-409C-BE32-E72D297353CC}">
              <c16:uniqueId val="{00000001-B05A-C444-8D35-894CE5822D78}"/>
            </c:ext>
          </c:extLst>
        </c:ser>
        <c:ser>
          <c:idx val="1"/>
          <c:order val="1"/>
          <c:tx>
            <c:v>C</c:v>
          </c:tx>
          <c:spPr>
            <a:ln w="2540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intercept val="0"/>
            <c:dispRSqr val="1"/>
            <c:dispEq val="1"/>
            <c:trendlineLbl>
              <c:layout>
                <c:manualLayout>
                  <c:x val="3.59448818897638E-3"/>
                  <c:y val="-5.1011592300962402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CH"/>
                </a:p>
              </c:txPr>
            </c:trendlineLbl>
          </c:trendline>
          <c:xVal>
            <c:numRef>
              <c:f>'Elemental analysis'!$N$6:$N$14</c:f>
              <c:numCache>
                <c:formatCode>General</c:formatCode>
                <c:ptCount val="9"/>
                <c:pt idx="0">
                  <c:v>80818</c:v>
                </c:pt>
                <c:pt idx="1">
                  <c:v>181452</c:v>
                </c:pt>
                <c:pt idx="2">
                  <c:v>226576</c:v>
                </c:pt>
                <c:pt idx="3">
                  <c:v>328773</c:v>
                </c:pt>
                <c:pt idx="4">
                  <c:v>507290</c:v>
                </c:pt>
                <c:pt idx="5">
                  <c:v>578857</c:v>
                </c:pt>
                <c:pt idx="6">
                  <c:v>4868374</c:v>
                </c:pt>
                <c:pt idx="7">
                  <c:v>6571708</c:v>
                </c:pt>
                <c:pt idx="8">
                  <c:v>8172976</c:v>
                </c:pt>
              </c:numCache>
            </c:numRef>
          </c:xVal>
          <c:yVal>
            <c:numRef>
              <c:f>'Elemental analysis'!$O$6:$O$14</c:f>
              <c:numCache>
                <c:formatCode>0.000</c:formatCode>
                <c:ptCount val="9"/>
                <c:pt idx="0">
                  <c:v>2.6224399999999995E-2</c:v>
                </c:pt>
                <c:pt idx="1">
                  <c:v>5.5912400000000001E-2</c:v>
                </c:pt>
                <c:pt idx="2">
                  <c:v>7.0756399999999997E-2</c:v>
                </c:pt>
                <c:pt idx="3">
                  <c:v>0.10291839999999999</c:v>
                </c:pt>
                <c:pt idx="4">
                  <c:v>0.153388</c:v>
                </c:pt>
                <c:pt idx="5">
                  <c:v>0.17614879999999999</c:v>
                </c:pt>
                <c:pt idx="6">
                  <c:v>1.4829155999999997</c:v>
                </c:pt>
                <c:pt idx="7">
                  <c:v>2.0064139999999999</c:v>
                </c:pt>
                <c:pt idx="8">
                  <c:v>2.5017087999999998</c:v>
                </c:pt>
              </c:numCache>
            </c:numRef>
          </c:yVal>
          <c:smooth val="0"/>
          <c:extLst>
            <c:ext xmlns:c16="http://schemas.microsoft.com/office/drawing/2014/chart" uri="{C3380CC4-5D6E-409C-BE32-E72D297353CC}">
              <c16:uniqueId val="{00000003-B05A-C444-8D35-894CE5822D78}"/>
            </c:ext>
          </c:extLst>
        </c:ser>
        <c:dLbls>
          <c:showLegendKey val="0"/>
          <c:showVal val="0"/>
          <c:showCatName val="0"/>
          <c:showSerName val="0"/>
          <c:showPercent val="0"/>
          <c:showBubbleSize val="0"/>
        </c:dLbls>
        <c:axId val="166400040"/>
        <c:axId val="167065016"/>
      </c:scatterChart>
      <c:valAx>
        <c:axId val="16640004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TCD area</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CH"/>
          </a:p>
        </c:txPr>
        <c:crossAx val="167065016"/>
        <c:crosses val="autoZero"/>
        <c:crossBetween val="midCat"/>
      </c:valAx>
      <c:valAx>
        <c:axId val="1670650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Element weight (mg)</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CH"/>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CH"/>
          </a:p>
        </c:txPr>
        <c:crossAx val="166400040"/>
        <c:crosses val="autoZero"/>
        <c:crossBetween val="midCat"/>
      </c:valAx>
      <c:spPr>
        <a:noFill/>
        <a:ln>
          <a:noFill/>
        </a:ln>
        <a:effectLst/>
      </c:spPr>
    </c:plotArea>
    <c:legend>
      <c:legendPos val="r"/>
      <c:legendEntry>
        <c:idx val="2"/>
        <c:delete val="1"/>
      </c:legendEntry>
      <c:legendEntry>
        <c:idx val="3"/>
        <c:delete val="1"/>
      </c:legendEntry>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CH"/>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CH"/>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hr-HR"/>
              <a:t>15Ndrift</a:t>
            </a:r>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CH"/>
        </a:p>
      </c:txPr>
    </c:title>
    <c:autoTitleDeleted val="0"/>
    <c:plotArea>
      <c:layout/>
      <c:scatterChart>
        <c:scatterStyle val="lineMarker"/>
        <c:varyColors val="0"/>
        <c:ser>
          <c:idx val="0"/>
          <c:order val="0"/>
          <c:tx>
            <c:strRef>
              <c:f>'15N'!$AE$1</c:f>
              <c:strCache>
                <c:ptCount val="1"/>
                <c:pt idx="0">
                  <c:v>d 15N/14N</c:v>
                </c:pt>
              </c:strCache>
            </c:strRef>
          </c:tx>
          <c:spPr>
            <a:ln w="317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5.93804680664917E-2"/>
                  <c:y val="-0.39407152230971099"/>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CH"/>
                </a:p>
              </c:txPr>
            </c:trendlineLbl>
          </c:trendline>
          <c:xVal>
            <c:numRef>
              <c:f>'15N'!$AC$2:$AC$18</c:f>
              <c:numCache>
                <c:formatCode>General</c:formatCode>
                <c:ptCount val="17"/>
                <c:pt idx="0">
                  <c:v>27938</c:v>
                </c:pt>
                <c:pt idx="1">
                  <c:v>27949</c:v>
                </c:pt>
                <c:pt idx="2">
                  <c:v>27960</c:v>
                </c:pt>
                <c:pt idx="3">
                  <c:v>27966</c:v>
                </c:pt>
                <c:pt idx="4">
                  <c:v>27976</c:v>
                </c:pt>
                <c:pt idx="5">
                  <c:v>27988</c:v>
                </c:pt>
                <c:pt idx="6">
                  <c:v>27989</c:v>
                </c:pt>
              </c:numCache>
            </c:numRef>
          </c:xVal>
          <c:yVal>
            <c:numRef>
              <c:f>'15N'!$AE$2:$AE$18</c:f>
              <c:numCache>
                <c:formatCode>General</c:formatCode>
                <c:ptCount val="17"/>
                <c:pt idx="0">
                  <c:v>-1.254</c:v>
                </c:pt>
                <c:pt idx="1">
                  <c:v>-1.204</c:v>
                </c:pt>
                <c:pt idx="2">
                  <c:v>-1.2210000000000001</c:v>
                </c:pt>
                <c:pt idx="3">
                  <c:v>-1.1910000000000001</c:v>
                </c:pt>
                <c:pt idx="4">
                  <c:v>-1.175</c:v>
                </c:pt>
                <c:pt idx="5">
                  <c:v>-1.218</c:v>
                </c:pt>
                <c:pt idx="6">
                  <c:v>-1.1930000000000001</c:v>
                </c:pt>
              </c:numCache>
            </c:numRef>
          </c:yVal>
          <c:smooth val="0"/>
          <c:extLst>
            <c:ext xmlns:c16="http://schemas.microsoft.com/office/drawing/2014/chart" uri="{C3380CC4-5D6E-409C-BE32-E72D297353CC}">
              <c16:uniqueId val="{00000001-BEFA-FD40-9343-36F8FBB11C0C}"/>
            </c:ext>
          </c:extLst>
        </c:ser>
        <c:dLbls>
          <c:showLegendKey val="0"/>
          <c:showVal val="0"/>
          <c:showCatName val="0"/>
          <c:showSerName val="0"/>
          <c:showPercent val="0"/>
          <c:showBubbleSize val="0"/>
        </c:dLbls>
        <c:axId val="166927640"/>
        <c:axId val="167034352"/>
      </c:scatterChart>
      <c:valAx>
        <c:axId val="16692764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Analysis #</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CH"/>
          </a:p>
        </c:txPr>
        <c:crossAx val="167034352"/>
        <c:crosses val="autoZero"/>
        <c:crossBetween val="midCat"/>
      </c:valAx>
      <c:valAx>
        <c:axId val="1670343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d15N</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CH"/>
          </a:p>
        </c:txPr>
        <c:crossAx val="1669276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CH"/>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'15N'!$AQ$1</c:f>
              <c:strCache>
                <c:ptCount val="1"/>
                <c:pt idx="0">
                  <c:v>Calibrated 15N</c:v>
                </c:pt>
              </c:strCache>
            </c:strRef>
          </c:tx>
          <c:spPr>
            <a:ln w="317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0.27466699475065598"/>
                  <c:y val="-6.9444444444444397E-3"/>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CH"/>
                </a:p>
              </c:txPr>
            </c:trendlineLbl>
          </c:trendline>
          <c:xVal>
            <c:numRef>
              <c:f>'15N'!$AO$2:$AO$21</c:f>
              <c:numCache>
                <c:formatCode>General</c:formatCode>
                <c:ptCount val="20"/>
                <c:pt idx="0">
                  <c:v>-1.254</c:v>
                </c:pt>
                <c:pt idx="1">
                  <c:v>9.0950000000000006</c:v>
                </c:pt>
                <c:pt idx="2">
                  <c:v>-1.204</c:v>
                </c:pt>
                <c:pt idx="3">
                  <c:v>-1.2210000000000001</c:v>
                </c:pt>
                <c:pt idx="4">
                  <c:v>-1.1910000000000001</c:v>
                </c:pt>
                <c:pt idx="5">
                  <c:v>9.2119999999999997</c:v>
                </c:pt>
                <c:pt idx="6">
                  <c:v>-1.175</c:v>
                </c:pt>
                <c:pt idx="7">
                  <c:v>9.1720000000000006</c:v>
                </c:pt>
                <c:pt idx="8">
                  <c:v>-1.218</c:v>
                </c:pt>
                <c:pt idx="9">
                  <c:v>-1.1930000000000001</c:v>
                </c:pt>
              </c:numCache>
            </c:numRef>
          </c:xVal>
          <c:yVal>
            <c:numRef>
              <c:f>'15N'!$AQ$2:$AQ$21</c:f>
              <c:numCache>
                <c:formatCode>General</c:formatCode>
                <c:ptCount val="20"/>
                <c:pt idx="0">
                  <c:v>-1.8</c:v>
                </c:pt>
                <c:pt idx="1">
                  <c:v>8.6999999999999993</c:v>
                </c:pt>
                <c:pt idx="2">
                  <c:v>-1.8</c:v>
                </c:pt>
                <c:pt idx="3">
                  <c:v>-1.8</c:v>
                </c:pt>
                <c:pt idx="4">
                  <c:v>-1.8</c:v>
                </c:pt>
                <c:pt idx="5">
                  <c:v>8.6999999999999993</c:v>
                </c:pt>
                <c:pt idx="6">
                  <c:v>-1.8</c:v>
                </c:pt>
                <c:pt idx="7">
                  <c:v>8.6999999999999993</c:v>
                </c:pt>
                <c:pt idx="8">
                  <c:v>-1.8</c:v>
                </c:pt>
                <c:pt idx="9">
                  <c:v>-1.8</c:v>
                </c:pt>
                <c:pt idx="10">
                  <c:v>0</c:v>
                </c:pt>
                <c:pt idx="11">
                  <c:v>0</c:v>
                </c:pt>
                <c:pt idx="12">
                  <c:v>0</c:v>
                </c:pt>
                <c:pt idx="13">
                  <c:v>0</c:v>
                </c:pt>
                <c:pt idx="14">
                  <c:v>0</c:v>
                </c:pt>
                <c:pt idx="15">
                  <c:v>0</c:v>
                </c:pt>
                <c:pt idx="16">
                  <c:v>0</c:v>
                </c:pt>
                <c:pt idx="17">
                  <c:v>0</c:v>
                </c:pt>
                <c:pt idx="18">
                  <c:v>0</c:v>
                </c:pt>
                <c:pt idx="19">
                  <c:v>0</c:v>
                </c:pt>
              </c:numCache>
            </c:numRef>
          </c:yVal>
          <c:smooth val="0"/>
          <c:extLst>
            <c:ext xmlns:c16="http://schemas.microsoft.com/office/drawing/2014/chart" uri="{C3380CC4-5D6E-409C-BE32-E72D297353CC}">
              <c16:uniqueId val="{00000001-25E0-2D40-B3FE-B2EA525C68EB}"/>
            </c:ext>
          </c:extLst>
        </c:ser>
        <c:dLbls>
          <c:showLegendKey val="0"/>
          <c:showVal val="0"/>
          <c:showCatName val="0"/>
          <c:showSerName val="0"/>
          <c:showPercent val="0"/>
          <c:showBubbleSize val="0"/>
        </c:dLbls>
        <c:axId val="167463784"/>
        <c:axId val="165415800"/>
      </c:scatterChart>
      <c:valAx>
        <c:axId val="16746378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Measured 15N</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CH"/>
          </a:p>
        </c:txPr>
        <c:crossAx val="165415800"/>
        <c:crosses val="autoZero"/>
        <c:crossBetween val="midCat"/>
      </c:valAx>
      <c:valAx>
        <c:axId val="165415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Calibrated</a:t>
                </a:r>
                <a:r>
                  <a:rPr lang="en-US" baseline="0"/>
                  <a:t> 15N</a:t>
                </a:r>
                <a:endParaRPr lang="en-US"/>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CH"/>
          </a:p>
        </c:txPr>
        <c:crossAx val="16746378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CH"/>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2"/>
          <c:order val="0"/>
          <c:tx>
            <c:strRef>
              <c:f>'15N'!$Y$1</c:f>
              <c:strCache>
                <c:ptCount val="1"/>
                <c:pt idx="0">
                  <c:v>δ15N (‰ AIR-N2)</c:v>
                </c:pt>
              </c:strCache>
            </c:strRef>
          </c:tx>
          <c:spPr>
            <a:ln w="25400" cap="rnd">
              <a:noFill/>
              <a:round/>
            </a:ln>
            <a:effectLst/>
          </c:spPr>
          <c:marker>
            <c:symbol val="circle"/>
            <c:size val="7"/>
            <c:spPr>
              <a:noFill/>
              <a:ln w="9525">
                <a:solidFill>
                  <a:srgbClr val="FF0000"/>
                </a:solidFill>
              </a:ln>
              <a:effectLst/>
            </c:spPr>
          </c:marker>
          <c:xVal>
            <c:numRef>
              <c:f>'15N'!$B$2:$B$125</c:f>
              <c:numCache>
                <c:formatCode>General</c:formatCode>
                <c:ptCount val="124"/>
                <c:pt idx="0">
                  <c:v>27934</c:v>
                </c:pt>
                <c:pt idx="1">
                  <c:v>27935</c:v>
                </c:pt>
                <c:pt idx="2">
                  <c:v>27936</c:v>
                </c:pt>
                <c:pt idx="3">
                  <c:v>27938</c:v>
                </c:pt>
                <c:pt idx="4">
                  <c:v>27939</c:v>
                </c:pt>
                <c:pt idx="5">
                  <c:v>27941</c:v>
                </c:pt>
                <c:pt idx="6">
                  <c:v>27942</c:v>
                </c:pt>
                <c:pt idx="7">
                  <c:v>27943</c:v>
                </c:pt>
                <c:pt idx="8">
                  <c:v>27944</c:v>
                </c:pt>
                <c:pt idx="9">
                  <c:v>27945</c:v>
                </c:pt>
                <c:pt idx="10">
                  <c:v>27946</c:v>
                </c:pt>
                <c:pt idx="11">
                  <c:v>27947</c:v>
                </c:pt>
                <c:pt idx="12">
                  <c:v>27948</c:v>
                </c:pt>
                <c:pt idx="13">
                  <c:v>27949</c:v>
                </c:pt>
                <c:pt idx="14">
                  <c:v>27950</c:v>
                </c:pt>
                <c:pt idx="15">
                  <c:v>27951</c:v>
                </c:pt>
                <c:pt idx="16">
                  <c:v>27952</c:v>
                </c:pt>
                <c:pt idx="17">
                  <c:v>27953</c:v>
                </c:pt>
                <c:pt idx="18">
                  <c:v>27954</c:v>
                </c:pt>
                <c:pt idx="19">
                  <c:v>27955</c:v>
                </c:pt>
                <c:pt idx="20">
                  <c:v>27956</c:v>
                </c:pt>
                <c:pt idx="21">
                  <c:v>27957</c:v>
                </c:pt>
                <c:pt idx="22">
                  <c:v>27958</c:v>
                </c:pt>
                <c:pt idx="23">
                  <c:v>27959</c:v>
                </c:pt>
                <c:pt idx="24">
                  <c:v>27960</c:v>
                </c:pt>
                <c:pt idx="25">
                  <c:v>27961</c:v>
                </c:pt>
                <c:pt idx="26">
                  <c:v>27962</c:v>
                </c:pt>
                <c:pt idx="27">
                  <c:v>27963</c:v>
                </c:pt>
                <c:pt idx="28">
                  <c:v>27964</c:v>
                </c:pt>
                <c:pt idx="29">
                  <c:v>27965</c:v>
                </c:pt>
                <c:pt idx="30">
                  <c:v>27966</c:v>
                </c:pt>
                <c:pt idx="31">
                  <c:v>27967</c:v>
                </c:pt>
                <c:pt idx="32">
                  <c:v>27968</c:v>
                </c:pt>
                <c:pt idx="33">
                  <c:v>27970</c:v>
                </c:pt>
                <c:pt idx="34">
                  <c:v>27976</c:v>
                </c:pt>
                <c:pt idx="35">
                  <c:v>27978</c:v>
                </c:pt>
                <c:pt idx="36">
                  <c:v>27984</c:v>
                </c:pt>
                <c:pt idx="37">
                  <c:v>27985</c:v>
                </c:pt>
                <c:pt idx="38">
                  <c:v>27987</c:v>
                </c:pt>
                <c:pt idx="39">
                  <c:v>27988</c:v>
                </c:pt>
                <c:pt idx="40">
                  <c:v>27989</c:v>
                </c:pt>
              </c:numCache>
            </c:numRef>
          </c:xVal>
          <c:yVal>
            <c:numRef>
              <c:f>'15N'!$Y$2:$Y$125</c:f>
              <c:numCache>
                <c:formatCode>0.00</c:formatCode>
                <c:ptCount val="124"/>
                <c:pt idx="0">
                  <c:v>8.6355607663335832</c:v>
                </c:pt>
                <c:pt idx="1">
                  <c:v>8.5750042991844566</c:v>
                </c:pt>
                <c:pt idx="2">
                  <c:v>8.6005378351659374</c:v>
                </c:pt>
                <c:pt idx="3">
                  <c:v>-1.8236320310428482</c:v>
                </c:pt>
                <c:pt idx="4">
                  <c:v>-0.31469066332590501</c:v>
                </c:pt>
                <c:pt idx="5">
                  <c:v>8.6542694736333488</c:v>
                </c:pt>
                <c:pt idx="6">
                  <c:v>2.8139633218678455</c:v>
                </c:pt>
                <c:pt idx="7">
                  <c:v>2.2187300049711212</c:v>
                </c:pt>
                <c:pt idx="8">
                  <c:v>5.315768970603358</c:v>
                </c:pt>
                <c:pt idx="9">
                  <c:v>4.4865590262475052</c:v>
                </c:pt>
                <c:pt idx="10">
                  <c:v>5.17441188930718</c:v>
                </c:pt>
                <c:pt idx="11">
                  <c:v>6.5701969084415168</c:v>
                </c:pt>
                <c:pt idx="12">
                  <c:v>0.69071457034090145</c:v>
                </c:pt>
                <c:pt idx="13">
                  <c:v>-1.7818007021832045</c:v>
                </c:pt>
                <c:pt idx="14">
                  <c:v>3.7939198287696172</c:v>
                </c:pt>
                <c:pt idx="15">
                  <c:v>6.4393887776867587</c:v>
                </c:pt>
                <c:pt idx="16">
                  <c:v>5.3275998395648685</c:v>
                </c:pt>
                <c:pt idx="17">
                  <c:v>3.5039155954226544</c:v>
                </c:pt>
                <c:pt idx="18">
                  <c:v>1.3593115791320542</c:v>
                </c:pt>
                <c:pt idx="19">
                  <c:v>2.9817971397982319</c:v>
                </c:pt>
                <c:pt idx="20">
                  <c:v>3.1166961950120822</c:v>
                </c:pt>
                <c:pt idx="21">
                  <c:v>3.1564036386533871</c:v>
                </c:pt>
                <c:pt idx="22">
                  <c:v>1.7905347885035781</c:v>
                </c:pt>
                <c:pt idx="23">
                  <c:v>3.1750577418380317</c:v>
                </c:pt>
                <c:pt idx="24">
                  <c:v>-1.8078102395575115</c:v>
                </c:pt>
                <c:pt idx="25">
                  <c:v>3.3354875210628734</c:v>
                </c:pt>
                <c:pt idx="26">
                  <c:v>2.2136615774048778</c:v>
                </c:pt>
                <c:pt idx="27">
                  <c:v>2.9591963162660022</c:v>
                </c:pt>
                <c:pt idx="28">
                  <c:v>2.8216856433898556</c:v>
                </c:pt>
                <c:pt idx="29">
                  <c:v>2.7186061914036372</c:v>
                </c:pt>
                <c:pt idx="30">
                  <c:v>-1.7822316455362852</c:v>
                </c:pt>
                <c:pt idx="31">
                  <c:v>2.6643479493211544</c:v>
                </c:pt>
                <c:pt idx="32">
                  <c:v>-0.25687430127345579</c:v>
                </c:pt>
                <c:pt idx="33">
                  <c:v>8.7495738939455805</c:v>
                </c:pt>
                <c:pt idx="34">
                  <c:v>-1.7740273643086084</c:v>
                </c:pt>
                <c:pt idx="35">
                  <c:v>-1.518437890280893</c:v>
                </c:pt>
                <c:pt idx="36">
                  <c:v>2.8421468570470552</c:v>
                </c:pt>
                <c:pt idx="37">
                  <c:v>-0.29072074281168625</c:v>
                </c:pt>
                <c:pt idx="38">
                  <c:v>8.695463013534777</c:v>
                </c:pt>
                <c:pt idx="39">
                  <c:v>-1.827162856156292</c:v>
                </c:pt>
                <c:pt idx="40">
                  <c:v>-1.8026487625079426</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numCache>
            </c:numRef>
          </c:yVal>
          <c:smooth val="0"/>
          <c:extLst>
            <c:ext xmlns:c16="http://schemas.microsoft.com/office/drawing/2014/chart" uri="{C3380CC4-5D6E-409C-BE32-E72D297353CC}">
              <c16:uniqueId val="{00000000-1EE9-1F4B-AFF3-AD2EB716133C}"/>
            </c:ext>
          </c:extLst>
        </c:ser>
        <c:ser>
          <c:idx val="1"/>
          <c:order val="1"/>
          <c:tx>
            <c:strRef>
              <c:f>'15N'!$X$1</c:f>
              <c:strCache>
                <c:ptCount val="1"/>
                <c:pt idx="0">
                  <c:v>Initial Corrected δ15N (‰ AIR-N2)</c:v>
                </c:pt>
              </c:strCache>
            </c:strRef>
          </c:tx>
          <c:spPr>
            <a:ln w="25400" cap="rnd">
              <a:noFill/>
              <a:round/>
            </a:ln>
            <a:effectLst/>
          </c:spPr>
          <c:marker>
            <c:symbol val="circle"/>
            <c:size val="5"/>
            <c:spPr>
              <a:noFill/>
              <a:ln w="9525">
                <a:solidFill>
                  <a:srgbClr val="00B0F0"/>
                </a:solidFill>
              </a:ln>
              <a:effectLst/>
            </c:spPr>
          </c:marker>
          <c:xVal>
            <c:numRef>
              <c:f>'15N'!$B$2:$B$125</c:f>
              <c:numCache>
                <c:formatCode>General</c:formatCode>
                <c:ptCount val="124"/>
                <c:pt idx="0">
                  <c:v>27934</c:v>
                </c:pt>
                <c:pt idx="1">
                  <c:v>27935</c:v>
                </c:pt>
                <c:pt idx="2">
                  <c:v>27936</c:v>
                </c:pt>
                <c:pt idx="3">
                  <c:v>27938</c:v>
                </c:pt>
                <c:pt idx="4">
                  <c:v>27939</c:v>
                </c:pt>
                <c:pt idx="5">
                  <c:v>27941</c:v>
                </c:pt>
                <c:pt idx="6">
                  <c:v>27942</c:v>
                </c:pt>
                <c:pt idx="7">
                  <c:v>27943</c:v>
                </c:pt>
                <c:pt idx="8">
                  <c:v>27944</c:v>
                </c:pt>
                <c:pt idx="9">
                  <c:v>27945</c:v>
                </c:pt>
                <c:pt idx="10">
                  <c:v>27946</c:v>
                </c:pt>
                <c:pt idx="11">
                  <c:v>27947</c:v>
                </c:pt>
                <c:pt idx="12">
                  <c:v>27948</c:v>
                </c:pt>
                <c:pt idx="13">
                  <c:v>27949</c:v>
                </c:pt>
                <c:pt idx="14">
                  <c:v>27950</c:v>
                </c:pt>
                <c:pt idx="15">
                  <c:v>27951</c:v>
                </c:pt>
                <c:pt idx="16">
                  <c:v>27952</c:v>
                </c:pt>
                <c:pt idx="17">
                  <c:v>27953</c:v>
                </c:pt>
                <c:pt idx="18">
                  <c:v>27954</c:v>
                </c:pt>
                <c:pt idx="19">
                  <c:v>27955</c:v>
                </c:pt>
                <c:pt idx="20">
                  <c:v>27956</c:v>
                </c:pt>
                <c:pt idx="21">
                  <c:v>27957</c:v>
                </c:pt>
                <c:pt idx="22">
                  <c:v>27958</c:v>
                </c:pt>
                <c:pt idx="23">
                  <c:v>27959</c:v>
                </c:pt>
                <c:pt idx="24">
                  <c:v>27960</c:v>
                </c:pt>
                <c:pt idx="25">
                  <c:v>27961</c:v>
                </c:pt>
                <c:pt idx="26">
                  <c:v>27962</c:v>
                </c:pt>
                <c:pt idx="27">
                  <c:v>27963</c:v>
                </c:pt>
                <c:pt idx="28">
                  <c:v>27964</c:v>
                </c:pt>
                <c:pt idx="29">
                  <c:v>27965</c:v>
                </c:pt>
                <c:pt idx="30">
                  <c:v>27966</c:v>
                </c:pt>
                <c:pt idx="31">
                  <c:v>27967</c:v>
                </c:pt>
                <c:pt idx="32">
                  <c:v>27968</c:v>
                </c:pt>
                <c:pt idx="33">
                  <c:v>27970</c:v>
                </c:pt>
                <c:pt idx="34">
                  <c:v>27976</c:v>
                </c:pt>
                <c:pt idx="35">
                  <c:v>27978</c:v>
                </c:pt>
                <c:pt idx="36">
                  <c:v>27984</c:v>
                </c:pt>
                <c:pt idx="37">
                  <c:v>27985</c:v>
                </c:pt>
                <c:pt idx="38">
                  <c:v>27987</c:v>
                </c:pt>
                <c:pt idx="39">
                  <c:v>27988</c:v>
                </c:pt>
                <c:pt idx="40">
                  <c:v>27989</c:v>
                </c:pt>
              </c:numCache>
            </c:numRef>
          </c:xVal>
          <c:yVal>
            <c:numRef>
              <c:f>'15N'!$X$2:$X$125</c:f>
              <c:numCache>
                <c:formatCode>0.00</c:formatCode>
                <c:ptCount val="124"/>
                <c:pt idx="0">
                  <c:v>8.6098317605096781</c:v>
                </c:pt>
                <c:pt idx="1">
                  <c:v>8.5500736292490274</c:v>
                </c:pt>
                <c:pt idx="2">
                  <c:v>8.5764077095251423</c:v>
                </c:pt>
                <c:pt idx="3">
                  <c:v>-1.8464249265050512</c:v>
                </c:pt>
                <c:pt idx="4">
                  <c:v>-0.33664654306096509</c:v>
                </c:pt>
                <c:pt idx="5">
                  <c:v>8.6341401795068577</c:v>
                </c:pt>
                <c:pt idx="6">
                  <c:v>2.7944849239412406</c:v>
                </c:pt>
                <c:pt idx="7">
                  <c:v>2.2000363752965768</c:v>
                </c:pt>
                <c:pt idx="8">
                  <c:v>5.2979536087179895</c:v>
                </c:pt>
                <c:pt idx="9">
                  <c:v>4.4695223501876171</c:v>
                </c:pt>
                <c:pt idx="10">
                  <c:v>5.1581925581990618</c:v>
                </c:pt>
                <c:pt idx="11">
                  <c:v>6.5548131689076854</c:v>
                </c:pt>
                <c:pt idx="12">
                  <c:v>0.67598122265678739</c:v>
                </c:pt>
                <c:pt idx="13">
                  <c:v>-1.7957961645056457</c:v>
                </c:pt>
                <c:pt idx="14">
                  <c:v>3.7808644986897662</c:v>
                </c:pt>
                <c:pt idx="15">
                  <c:v>6.4272010542857743</c:v>
                </c:pt>
                <c:pt idx="16">
                  <c:v>5.3161833484791714</c:v>
                </c:pt>
                <c:pt idx="17">
                  <c:v>3.4932522303950009</c:v>
                </c:pt>
                <c:pt idx="18">
                  <c:v>1.3493934785459487</c:v>
                </c:pt>
                <c:pt idx="19">
                  <c:v>2.972720013749381</c:v>
                </c:pt>
                <c:pt idx="20">
                  <c:v>3.1084222848481886</c:v>
                </c:pt>
                <c:pt idx="21">
                  <c:v>3.1489305184639989</c:v>
                </c:pt>
                <c:pt idx="22">
                  <c:v>1.7838266023578626</c:v>
                </c:pt>
                <c:pt idx="23">
                  <c:v>3.1691846513045903</c:v>
                </c:pt>
                <c:pt idx="24">
                  <c:v>-1.8130099510792661</c:v>
                </c:pt>
                <c:pt idx="25">
                  <c:v>3.3312180988164073</c:v>
                </c:pt>
                <c:pt idx="26">
                  <c:v>2.210163190007961</c:v>
                </c:pt>
                <c:pt idx="27">
                  <c:v>2.9565167895640343</c:v>
                </c:pt>
                <c:pt idx="28">
                  <c:v>2.8198023578535185</c:v>
                </c:pt>
                <c:pt idx="29">
                  <c:v>2.7175200274031113</c:v>
                </c:pt>
                <c:pt idx="30">
                  <c:v>-1.7826326754455977</c:v>
                </c:pt>
                <c:pt idx="31">
                  <c:v>2.6648599239614441</c:v>
                </c:pt>
                <c:pt idx="32">
                  <c:v>-0.25563730502301496</c:v>
                </c:pt>
                <c:pt idx="33">
                  <c:v>8.7526439425752187</c:v>
                </c:pt>
                <c:pt idx="34">
                  <c:v>-1.7664314519429354</c:v>
                </c:pt>
                <c:pt idx="35">
                  <c:v>-1.5092361127406093</c:v>
                </c:pt>
                <c:pt idx="36">
                  <c:v>2.8562594920261972</c:v>
                </c:pt>
                <c:pt idx="37">
                  <c:v>-0.27588963056291504</c:v>
                </c:pt>
                <c:pt idx="38">
                  <c:v>8.7121297943835998</c:v>
                </c:pt>
                <c:pt idx="39">
                  <c:v>-1.8099722245979137</c:v>
                </c:pt>
                <c:pt idx="40">
                  <c:v>-1.7846578279027199</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numCache>
            </c:numRef>
          </c:yVal>
          <c:smooth val="0"/>
          <c:extLst>
            <c:ext xmlns:c16="http://schemas.microsoft.com/office/drawing/2014/chart" uri="{C3380CC4-5D6E-409C-BE32-E72D297353CC}">
              <c16:uniqueId val="{00000001-1EE9-1F4B-AFF3-AD2EB716133C}"/>
            </c:ext>
          </c:extLst>
        </c:ser>
        <c:ser>
          <c:idx val="0"/>
          <c:order val="2"/>
          <c:tx>
            <c:strRef>
              <c:f>'15N'!$S$1</c:f>
              <c:strCache>
                <c:ptCount val="1"/>
                <c:pt idx="0">
                  <c:v>Amt%</c:v>
                </c:pt>
              </c:strCache>
            </c:strRef>
          </c:tx>
          <c:spPr>
            <a:ln w="19050" cap="rnd">
              <a:noFill/>
              <a:round/>
            </a:ln>
            <a:effectLst/>
          </c:spPr>
          <c:marker>
            <c:symbol val="circle"/>
            <c:size val="3"/>
            <c:spPr>
              <a:solidFill>
                <a:schemeClr val="tx1"/>
              </a:solidFill>
              <a:ln w="9525">
                <a:noFill/>
              </a:ln>
              <a:effectLst/>
            </c:spPr>
          </c:marker>
          <c:xVal>
            <c:numRef>
              <c:f>'15N'!$B$2:$B$125</c:f>
              <c:numCache>
                <c:formatCode>General</c:formatCode>
                <c:ptCount val="124"/>
                <c:pt idx="0">
                  <c:v>27934</c:v>
                </c:pt>
                <c:pt idx="1">
                  <c:v>27935</c:v>
                </c:pt>
                <c:pt idx="2">
                  <c:v>27936</c:v>
                </c:pt>
                <c:pt idx="3">
                  <c:v>27938</c:v>
                </c:pt>
                <c:pt idx="4">
                  <c:v>27939</c:v>
                </c:pt>
                <c:pt idx="5">
                  <c:v>27941</c:v>
                </c:pt>
                <c:pt idx="6">
                  <c:v>27942</c:v>
                </c:pt>
                <c:pt idx="7">
                  <c:v>27943</c:v>
                </c:pt>
                <c:pt idx="8">
                  <c:v>27944</c:v>
                </c:pt>
                <c:pt idx="9">
                  <c:v>27945</c:v>
                </c:pt>
                <c:pt idx="10">
                  <c:v>27946</c:v>
                </c:pt>
                <c:pt idx="11">
                  <c:v>27947</c:v>
                </c:pt>
                <c:pt idx="12">
                  <c:v>27948</c:v>
                </c:pt>
                <c:pt idx="13">
                  <c:v>27949</c:v>
                </c:pt>
                <c:pt idx="14">
                  <c:v>27950</c:v>
                </c:pt>
                <c:pt idx="15">
                  <c:v>27951</c:v>
                </c:pt>
                <c:pt idx="16">
                  <c:v>27952</c:v>
                </c:pt>
                <c:pt idx="17">
                  <c:v>27953</c:v>
                </c:pt>
                <c:pt idx="18">
                  <c:v>27954</c:v>
                </c:pt>
                <c:pt idx="19">
                  <c:v>27955</c:v>
                </c:pt>
                <c:pt idx="20">
                  <c:v>27956</c:v>
                </c:pt>
                <c:pt idx="21">
                  <c:v>27957</c:v>
                </c:pt>
                <c:pt idx="22">
                  <c:v>27958</c:v>
                </c:pt>
                <c:pt idx="23">
                  <c:v>27959</c:v>
                </c:pt>
                <c:pt idx="24">
                  <c:v>27960</c:v>
                </c:pt>
                <c:pt idx="25">
                  <c:v>27961</c:v>
                </c:pt>
                <c:pt idx="26">
                  <c:v>27962</c:v>
                </c:pt>
                <c:pt idx="27">
                  <c:v>27963</c:v>
                </c:pt>
                <c:pt idx="28">
                  <c:v>27964</c:v>
                </c:pt>
                <c:pt idx="29">
                  <c:v>27965</c:v>
                </c:pt>
                <c:pt idx="30">
                  <c:v>27966</c:v>
                </c:pt>
                <c:pt idx="31">
                  <c:v>27967</c:v>
                </c:pt>
                <c:pt idx="32">
                  <c:v>27968</c:v>
                </c:pt>
                <c:pt idx="33">
                  <c:v>27970</c:v>
                </c:pt>
                <c:pt idx="34">
                  <c:v>27976</c:v>
                </c:pt>
                <c:pt idx="35">
                  <c:v>27978</c:v>
                </c:pt>
                <c:pt idx="36">
                  <c:v>27984</c:v>
                </c:pt>
                <c:pt idx="37">
                  <c:v>27985</c:v>
                </c:pt>
                <c:pt idx="38">
                  <c:v>27987</c:v>
                </c:pt>
                <c:pt idx="39">
                  <c:v>27988</c:v>
                </c:pt>
                <c:pt idx="40">
                  <c:v>27989</c:v>
                </c:pt>
              </c:numCache>
            </c:numRef>
          </c:xVal>
          <c:yVal>
            <c:numRef>
              <c:f>'15N'!$S$2:$S$125</c:f>
              <c:numCache>
                <c:formatCode>General</c:formatCode>
                <c:ptCount val="124"/>
              </c:numCache>
            </c:numRef>
          </c:yVal>
          <c:smooth val="0"/>
          <c:extLst>
            <c:ext xmlns:c16="http://schemas.microsoft.com/office/drawing/2014/chart" uri="{C3380CC4-5D6E-409C-BE32-E72D297353CC}">
              <c16:uniqueId val="{00000002-1EE9-1F4B-AFF3-AD2EB716133C}"/>
            </c:ext>
          </c:extLst>
        </c:ser>
        <c:dLbls>
          <c:showLegendKey val="0"/>
          <c:showVal val="0"/>
          <c:showCatName val="0"/>
          <c:showSerName val="0"/>
          <c:showPercent val="0"/>
          <c:showBubbleSize val="0"/>
        </c:dLbls>
        <c:axId val="165510056"/>
        <c:axId val="165510440"/>
      </c:scatterChart>
      <c:valAx>
        <c:axId val="1655100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Analysis Number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65510440"/>
        <c:crosses val="autoZero"/>
        <c:crossBetween val="midCat"/>
      </c:valAx>
      <c:valAx>
        <c:axId val="1655104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d15N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65510056"/>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H"/>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2"/>
          <c:order val="1"/>
          <c:tx>
            <c:strRef>
              <c:f>'15N'!$M$1</c:f>
              <c:strCache>
                <c:ptCount val="1"/>
                <c:pt idx="0">
                  <c:v>Ampl. 29</c:v>
                </c:pt>
              </c:strCache>
            </c:strRef>
          </c:tx>
          <c:spPr>
            <a:ln w="25400" cap="rnd">
              <a:noFill/>
              <a:round/>
            </a:ln>
            <a:effectLst/>
          </c:spPr>
          <c:marker>
            <c:symbol val="circle"/>
            <c:size val="7"/>
            <c:spPr>
              <a:noFill/>
              <a:ln w="9525">
                <a:solidFill>
                  <a:srgbClr val="FF0000"/>
                </a:solidFill>
              </a:ln>
              <a:effectLst/>
            </c:spPr>
          </c:marker>
          <c:xVal>
            <c:numRef>
              <c:f>'15N'!$B$2:$B$125</c:f>
              <c:numCache>
                <c:formatCode>General</c:formatCode>
                <c:ptCount val="124"/>
                <c:pt idx="0">
                  <c:v>27934</c:v>
                </c:pt>
                <c:pt idx="1">
                  <c:v>27935</c:v>
                </c:pt>
                <c:pt idx="2">
                  <c:v>27936</c:v>
                </c:pt>
                <c:pt idx="3">
                  <c:v>27938</c:v>
                </c:pt>
                <c:pt idx="4">
                  <c:v>27939</c:v>
                </c:pt>
                <c:pt idx="5">
                  <c:v>27941</c:v>
                </c:pt>
                <c:pt idx="6">
                  <c:v>27942</c:v>
                </c:pt>
                <c:pt idx="7">
                  <c:v>27943</c:v>
                </c:pt>
                <c:pt idx="8">
                  <c:v>27944</c:v>
                </c:pt>
                <c:pt idx="9">
                  <c:v>27945</c:v>
                </c:pt>
                <c:pt idx="10">
                  <c:v>27946</c:v>
                </c:pt>
                <c:pt idx="11">
                  <c:v>27947</c:v>
                </c:pt>
                <c:pt idx="12">
                  <c:v>27948</c:v>
                </c:pt>
                <c:pt idx="13">
                  <c:v>27949</c:v>
                </c:pt>
                <c:pt idx="14">
                  <c:v>27950</c:v>
                </c:pt>
                <c:pt idx="15">
                  <c:v>27951</c:v>
                </c:pt>
                <c:pt idx="16">
                  <c:v>27952</c:v>
                </c:pt>
                <c:pt idx="17">
                  <c:v>27953</c:v>
                </c:pt>
                <c:pt idx="18">
                  <c:v>27954</c:v>
                </c:pt>
                <c:pt idx="19">
                  <c:v>27955</c:v>
                </c:pt>
                <c:pt idx="20">
                  <c:v>27956</c:v>
                </c:pt>
                <c:pt idx="21">
                  <c:v>27957</c:v>
                </c:pt>
                <c:pt idx="22">
                  <c:v>27958</c:v>
                </c:pt>
                <c:pt idx="23">
                  <c:v>27959</c:v>
                </c:pt>
                <c:pt idx="24">
                  <c:v>27960</c:v>
                </c:pt>
                <c:pt idx="25">
                  <c:v>27961</c:v>
                </c:pt>
                <c:pt idx="26">
                  <c:v>27962</c:v>
                </c:pt>
                <c:pt idx="27">
                  <c:v>27963</c:v>
                </c:pt>
                <c:pt idx="28">
                  <c:v>27964</c:v>
                </c:pt>
                <c:pt idx="29">
                  <c:v>27965</c:v>
                </c:pt>
                <c:pt idx="30">
                  <c:v>27966</c:v>
                </c:pt>
                <c:pt idx="31">
                  <c:v>27967</c:v>
                </c:pt>
                <c:pt idx="32">
                  <c:v>27968</c:v>
                </c:pt>
                <c:pt idx="33">
                  <c:v>27970</c:v>
                </c:pt>
                <c:pt idx="34">
                  <c:v>27976</c:v>
                </c:pt>
                <c:pt idx="35">
                  <c:v>27978</c:v>
                </c:pt>
                <c:pt idx="36">
                  <c:v>27984</c:v>
                </c:pt>
                <c:pt idx="37">
                  <c:v>27985</c:v>
                </c:pt>
                <c:pt idx="38">
                  <c:v>27987</c:v>
                </c:pt>
                <c:pt idx="39">
                  <c:v>27988</c:v>
                </c:pt>
                <c:pt idx="40">
                  <c:v>27989</c:v>
                </c:pt>
              </c:numCache>
            </c:numRef>
          </c:xVal>
          <c:yVal>
            <c:numRef>
              <c:f>'15N'!$M$2:$M$125</c:f>
              <c:numCache>
                <c:formatCode>General</c:formatCode>
                <c:ptCount val="124"/>
                <c:pt idx="0">
                  <c:v>1330</c:v>
                </c:pt>
                <c:pt idx="1">
                  <c:v>1436</c:v>
                </c:pt>
                <c:pt idx="2">
                  <c:v>1364</c:v>
                </c:pt>
                <c:pt idx="3">
                  <c:v>2446</c:v>
                </c:pt>
                <c:pt idx="4">
                  <c:v>1960</c:v>
                </c:pt>
                <c:pt idx="5">
                  <c:v>1404</c:v>
                </c:pt>
                <c:pt idx="6">
                  <c:v>775</c:v>
                </c:pt>
                <c:pt idx="7">
                  <c:v>452</c:v>
                </c:pt>
                <c:pt idx="8">
                  <c:v>2086</c:v>
                </c:pt>
                <c:pt idx="9">
                  <c:v>1777</c:v>
                </c:pt>
                <c:pt idx="10">
                  <c:v>1195</c:v>
                </c:pt>
                <c:pt idx="11">
                  <c:v>1215</c:v>
                </c:pt>
                <c:pt idx="12">
                  <c:v>514</c:v>
                </c:pt>
                <c:pt idx="13">
                  <c:v>2431</c:v>
                </c:pt>
                <c:pt idx="14">
                  <c:v>794</c:v>
                </c:pt>
                <c:pt idx="15">
                  <c:v>1281</c:v>
                </c:pt>
                <c:pt idx="16">
                  <c:v>827</c:v>
                </c:pt>
                <c:pt idx="17">
                  <c:v>1600</c:v>
                </c:pt>
                <c:pt idx="18">
                  <c:v>1241</c:v>
                </c:pt>
                <c:pt idx="19">
                  <c:v>473</c:v>
                </c:pt>
                <c:pt idx="20">
                  <c:v>577</c:v>
                </c:pt>
                <c:pt idx="21">
                  <c:v>1591</c:v>
                </c:pt>
                <c:pt idx="22">
                  <c:v>514</c:v>
                </c:pt>
                <c:pt idx="23">
                  <c:v>1240</c:v>
                </c:pt>
                <c:pt idx="24">
                  <c:v>2474</c:v>
                </c:pt>
                <c:pt idx="25">
                  <c:v>2842</c:v>
                </c:pt>
                <c:pt idx="26">
                  <c:v>636</c:v>
                </c:pt>
                <c:pt idx="27">
                  <c:v>2883</c:v>
                </c:pt>
                <c:pt idx="28">
                  <c:v>900</c:v>
                </c:pt>
                <c:pt idx="29">
                  <c:v>1020</c:v>
                </c:pt>
                <c:pt idx="30">
                  <c:v>2464</c:v>
                </c:pt>
                <c:pt idx="31">
                  <c:v>744</c:v>
                </c:pt>
                <c:pt idx="32">
                  <c:v>2335</c:v>
                </c:pt>
                <c:pt idx="33">
                  <c:v>1273</c:v>
                </c:pt>
                <c:pt idx="34">
                  <c:v>2375</c:v>
                </c:pt>
                <c:pt idx="35">
                  <c:v>436</c:v>
                </c:pt>
                <c:pt idx="36">
                  <c:v>719</c:v>
                </c:pt>
                <c:pt idx="37">
                  <c:v>2070</c:v>
                </c:pt>
                <c:pt idx="38">
                  <c:v>1487</c:v>
                </c:pt>
                <c:pt idx="39">
                  <c:v>2290</c:v>
                </c:pt>
                <c:pt idx="40">
                  <c:v>2495</c:v>
                </c:pt>
              </c:numCache>
            </c:numRef>
          </c:yVal>
          <c:smooth val="0"/>
          <c:extLst>
            <c:ext xmlns:c16="http://schemas.microsoft.com/office/drawing/2014/chart" uri="{C3380CC4-5D6E-409C-BE32-E72D297353CC}">
              <c16:uniqueId val="{00000000-C992-0448-931F-066265FADC83}"/>
            </c:ext>
          </c:extLst>
        </c:ser>
        <c:dLbls>
          <c:showLegendKey val="0"/>
          <c:showVal val="0"/>
          <c:showCatName val="0"/>
          <c:showSerName val="0"/>
          <c:showPercent val="0"/>
          <c:showBubbleSize val="0"/>
        </c:dLbls>
        <c:axId val="165497728"/>
        <c:axId val="168246736"/>
      </c:scatterChart>
      <c:scatterChart>
        <c:scatterStyle val="lineMarker"/>
        <c:varyColors val="0"/>
        <c:ser>
          <c:idx val="1"/>
          <c:order val="0"/>
          <c:tx>
            <c:strRef>
              <c:f>'15N'!$H$1</c:f>
              <c:strCache>
                <c:ptCount val="1"/>
                <c:pt idx="0">
                  <c:v>Rt</c:v>
                </c:pt>
              </c:strCache>
            </c:strRef>
          </c:tx>
          <c:spPr>
            <a:ln w="25400" cap="rnd">
              <a:noFill/>
              <a:round/>
            </a:ln>
            <a:effectLst/>
          </c:spPr>
          <c:marker>
            <c:symbol val="circle"/>
            <c:size val="5"/>
            <c:spPr>
              <a:noFill/>
              <a:ln w="9525">
                <a:solidFill>
                  <a:srgbClr val="00B0F0"/>
                </a:solidFill>
              </a:ln>
              <a:effectLst/>
            </c:spPr>
          </c:marker>
          <c:xVal>
            <c:numRef>
              <c:f>'15N'!$B$2:$B$125</c:f>
              <c:numCache>
                <c:formatCode>General</c:formatCode>
                <c:ptCount val="124"/>
                <c:pt idx="0">
                  <c:v>27934</c:v>
                </c:pt>
                <c:pt idx="1">
                  <c:v>27935</c:v>
                </c:pt>
                <c:pt idx="2">
                  <c:v>27936</c:v>
                </c:pt>
                <c:pt idx="3">
                  <c:v>27938</c:v>
                </c:pt>
                <c:pt idx="4">
                  <c:v>27939</c:v>
                </c:pt>
                <c:pt idx="5">
                  <c:v>27941</c:v>
                </c:pt>
                <c:pt idx="6">
                  <c:v>27942</c:v>
                </c:pt>
                <c:pt idx="7">
                  <c:v>27943</c:v>
                </c:pt>
                <c:pt idx="8">
                  <c:v>27944</c:v>
                </c:pt>
                <c:pt idx="9">
                  <c:v>27945</c:v>
                </c:pt>
                <c:pt idx="10">
                  <c:v>27946</c:v>
                </c:pt>
                <c:pt idx="11">
                  <c:v>27947</c:v>
                </c:pt>
                <c:pt idx="12">
                  <c:v>27948</c:v>
                </c:pt>
                <c:pt idx="13">
                  <c:v>27949</c:v>
                </c:pt>
                <c:pt idx="14">
                  <c:v>27950</c:v>
                </c:pt>
                <c:pt idx="15">
                  <c:v>27951</c:v>
                </c:pt>
                <c:pt idx="16">
                  <c:v>27952</c:v>
                </c:pt>
                <c:pt idx="17">
                  <c:v>27953</c:v>
                </c:pt>
                <c:pt idx="18">
                  <c:v>27954</c:v>
                </c:pt>
                <c:pt idx="19">
                  <c:v>27955</c:v>
                </c:pt>
                <c:pt idx="20">
                  <c:v>27956</c:v>
                </c:pt>
                <c:pt idx="21">
                  <c:v>27957</c:v>
                </c:pt>
                <c:pt idx="22">
                  <c:v>27958</c:v>
                </c:pt>
                <c:pt idx="23">
                  <c:v>27959</c:v>
                </c:pt>
                <c:pt idx="24">
                  <c:v>27960</c:v>
                </c:pt>
                <c:pt idx="25">
                  <c:v>27961</c:v>
                </c:pt>
                <c:pt idx="26">
                  <c:v>27962</c:v>
                </c:pt>
                <c:pt idx="27">
                  <c:v>27963</c:v>
                </c:pt>
                <c:pt idx="28">
                  <c:v>27964</c:v>
                </c:pt>
                <c:pt idx="29">
                  <c:v>27965</c:v>
                </c:pt>
                <c:pt idx="30">
                  <c:v>27966</c:v>
                </c:pt>
                <c:pt idx="31">
                  <c:v>27967</c:v>
                </c:pt>
                <c:pt idx="32">
                  <c:v>27968</c:v>
                </c:pt>
                <c:pt idx="33">
                  <c:v>27970</c:v>
                </c:pt>
                <c:pt idx="34">
                  <c:v>27976</c:v>
                </c:pt>
                <c:pt idx="35">
                  <c:v>27978</c:v>
                </c:pt>
                <c:pt idx="36">
                  <c:v>27984</c:v>
                </c:pt>
                <c:pt idx="37">
                  <c:v>27985</c:v>
                </c:pt>
                <c:pt idx="38">
                  <c:v>27987</c:v>
                </c:pt>
                <c:pt idx="39">
                  <c:v>27988</c:v>
                </c:pt>
                <c:pt idx="40">
                  <c:v>27989</c:v>
                </c:pt>
              </c:numCache>
            </c:numRef>
          </c:xVal>
          <c:yVal>
            <c:numRef>
              <c:f>'15N'!$H$2:$H$125</c:f>
              <c:numCache>
                <c:formatCode>General</c:formatCode>
                <c:ptCount val="124"/>
                <c:pt idx="0">
                  <c:v>230.1</c:v>
                </c:pt>
                <c:pt idx="1">
                  <c:v>230.1</c:v>
                </c:pt>
                <c:pt idx="2">
                  <c:v>230.3</c:v>
                </c:pt>
                <c:pt idx="3">
                  <c:v>232</c:v>
                </c:pt>
                <c:pt idx="4">
                  <c:v>230.5</c:v>
                </c:pt>
                <c:pt idx="5">
                  <c:v>230.5</c:v>
                </c:pt>
                <c:pt idx="6">
                  <c:v>230.9</c:v>
                </c:pt>
                <c:pt idx="7">
                  <c:v>230.9</c:v>
                </c:pt>
                <c:pt idx="8">
                  <c:v>231.4</c:v>
                </c:pt>
                <c:pt idx="9">
                  <c:v>231.2</c:v>
                </c:pt>
                <c:pt idx="10">
                  <c:v>230.9</c:v>
                </c:pt>
                <c:pt idx="11">
                  <c:v>230.5</c:v>
                </c:pt>
                <c:pt idx="12">
                  <c:v>230.5</c:v>
                </c:pt>
                <c:pt idx="13">
                  <c:v>231.6</c:v>
                </c:pt>
                <c:pt idx="14">
                  <c:v>230.7</c:v>
                </c:pt>
                <c:pt idx="15">
                  <c:v>230.5</c:v>
                </c:pt>
                <c:pt idx="16">
                  <c:v>230.5</c:v>
                </c:pt>
                <c:pt idx="17">
                  <c:v>231.2</c:v>
                </c:pt>
                <c:pt idx="18">
                  <c:v>230.9</c:v>
                </c:pt>
                <c:pt idx="19">
                  <c:v>230.9</c:v>
                </c:pt>
                <c:pt idx="20">
                  <c:v>231.2</c:v>
                </c:pt>
                <c:pt idx="21">
                  <c:v>231.8</c:v>
                </c:pt>
                <c:pt idx="22">
                  <c:v>230.7</c:v>
                </c:pt>
                <c:pt idx="23">
                  <c:v>231.2</c:v>
                </c:pt>
                <c:pt idx="24">
                  <c:v>232.2</c:v>
                </c:pt>
                <c:pt idx="25">
                  <c:v>232</c:v>
                </c:pt>
                <c:pt idx="26">
                  <c:v>230.9</c:v>
                </c:pt>
                <c:pt idx="27">
                  <c:v>231.4</c:v>
                </c:pt>
                <c:pt idx="28">
                  <c:v>230.9</c:v>
                </c:pt>
                <c:pt idx="29">
                  <c:v>231.6</c:v>
                </c:pt>
                <c:pt idx="30">
                  <c:v>232.2</c:v>
                </c:pt>
                <c:pt idx="31">
                  <c:v>231.4</c:v>
                </c:pt>
                <c:pt idx="32">
                  <c:v>231.2</c:v>
                </c:pt>
                <c:pt idx="33">
                  <c:v>230.5</c:v>
                </c:pt>
                <c:pt idx="34">
                  <c:v>232.2</c:v>
                </c:pt>
                <c:pt idx="35">
                  <c:v>230.9</c:v>
                </c:pt>
                <c:pt idx="36">
                  <c:v>230.9</c:v>
                </c:pt>
                <c:pt idx="37">
                  <c:v>232</c:v>
                </c:pt>
                <c:pt idx="38">
                  <c:v>230.7</c:v>
                </c:pt>
                <c:pt idx="39">
                  <c:v>232.2</c:v>
                </c:pt>
                <c:pt idx="40">
                  <c:v>232.2</c:v>
                </c:pt>
              </c:numCache>
            </c:numRef>
          </c:yVal>
          <c:smooth val="0"/>
          <c:extLst>
            <c:ext xmlns:c16="http://schemas.microsoft.com/office/drawing/2014/chart" uri="{C3380CC4-5D6E-409C-BE32-E72D297353CC}">
              <c16:uniqueId val="{00000001-C992-0448-931F-066265FADC83}"/>
            </c:ext>
          </c:extLst>
        </c:ser>
        <c:dLbls>
          <c:showLegendKey val="0"/>
          <c:showVal val="0"/>
          <c:showCatName val="0"/>
          <c:showSerName val="0"/>
          <c:showPercent val="0"/>
          <c:showBubbleSize val="0"/>
        </c:dLbls>
        <c:axId val="122151312"/>
        <c:axId val="168311752"/>
      </c:scatterChart>
      <c:valAx>
        <c:axId val="16549772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Analysis Number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68246736"/>
        <c:crosses val="autoZero"/>
        <c:crossBetween val="midCat"/>
      </c:valAx>
      <c:valAx>
        <c:axId val="1682467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area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65497728"/>
        <c:crosses val="autoZero"/>
        <c:crossBetween val="midCat"/>
      </c:valAx>
      <c:valAx>
        <c:axId val="168311752"/>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retention time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22151312"/>
        <c:crosses val="max"/>
        <c:crossBetween val="midCat"/>
      </c:valAx>
      <c:valAx>
        <c:axId val="122151312"/>
        <c:scaling>
          <c:orientation val="minMax"/>
        </c:scaling>
        <c:delete val="1"/>
        <c:axPos val="b"/>
        <c:numFmt formatCode="General" sourceLinked="1"/>
        <c:majorTickMark val="out"/>
        <c:minorTickMark val="none"/>
        <c:tickLblPos val="nextTo"/>
        <c:crossAx val="1683117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H"/>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xVal>
            <c:numRef>
              <c:f>'15N'!$I$2:$I$125</c:f>
              <c:numCache>
                <c:formatCode>General</c:formatCode>
                <c:ptCount val="124"/>
                <c:pt idx="0">
                  <c:v>0</c:v>
                </c:pt>
                <c:pt idx="1">
                  <c:v>0</c:v>
                </c:pt>
                <c:pt idx="2">
                  <c:v>0</c:v>
                </c:pt>
                <c:pt idx="3">
                  <c:v>57</c:v>
                </c:pt>
                <c:pt idx="4">
                  <c:v>50</c:v>
                </c:pt>
                <c:pt idx="5">
                  <c:v>0</c:v>
                </c:pt>
                <c:pt idx="6">
                  <c:v>0</c:v>
                </c:pt>
                <c:pt idx="7">
                  <c:v>0</c:v>
                </c:pt>
                <c:pt idx="8">
                  <c:v>0</c:v>
                </c:pt>
                <c:pt idx="9">
                  <c:v>0</c:v>
                </c:pt>
                <c:pt idx="10">
                  <c:v>0</c:v>
                </c:pt>
                <c:pt idx="11">
                  <c:v>0</c:v>
                </c:pt>
                <c:pt idx="12">
                  <c:v>0</c:v>
                </c:pt>
                <c:pt idx="13">
                  <c:v>57</c:v>
                </c:pt>
                <c:pt idx="14">
                  <c:v>0</c:v>
                </c:pt>
                <c:pt idx="15">
                  <c:v>0</c:v>
                </c:pt>
                <c:pt idx="16">
                  <c:v>0</c:v>
                </c:pt>
                <c:pt idx="17">
                  <c:v>0</c:v>
                </c:pt>
                <c:pt idx="18">
                  <c:v>0</c:v>
                </c:pt>
                <c:pt idx="19">
                  <c:v>0</c:v>
                </c:pt>
                <c:pt idx="20">
                  <c:v>0</c:v>
                </c:pt>
                <c:pt idx="21">
                  <c:v>0</c:v>
                </c:pt>
                <c:pt idx="22">
                  <c:v>0</c:v>
                </c:pt>
                <c:pt idx="23">
                  <c:v>0</c:v>
                </c:pt>
                <c:pt idx="24">
                  <c:v>57</c:v>
                </c:pt>
                <c:pt idx="25">
                  <c:v>0</c:v>
                </c:pt>
                <c:pt idx="26">
                  <c:v>0</c:v>
                </c:pt>
                <c:pt idx="27">
                  <c:v>0</c:v>
                </c:pt>
                <c:pt idx="28">
                  <c:v>0</c:v>
                </c:pt>
                <c:pt idx="29">
                  <c:v>0</c:v>
                </c:pt>
                <c:pt idx="30">
                  <c:v>57</c:v>
                </c:pt>
                <c:pt idx="31">
                  <c:v>0</c:v>
                </c:pt>
                <c:pt idx="32">
                  <c:v>50</c:v>
                </c:pt>
                <c:pt idx="33">
                  <c:v>0</c:v>
                </c:pt>
                <c:pt idx="34">
                  <c:v>57</c:v>
                </c:pt>
                <c:pt idx="35">
                  <c:v>0</c:v>
                </c:pt>
                <c:pt idx="36">
                  <c:v>0</c:v>
                </c:pt>
                <c:pt idx="37">
                  <c:v>57</c:v>
                </c:pt>
                <c:pt idx="38">
                  <c:v>0</c:v>
                </c:pt>
                <c:pt idx="39">
                  <c:v>57</c:v>
                </c:pt>
                <c:pt idx="40">
                  <c:v>57</c:v>
                </c:pt>
              </c:numCache>
            </c:numRef>
          </c:xVal>
          <c:yVal>
            <c:numRef>
              <c:f>'15N'!$M$2:$M$125</c:f>
              <c:numCache>
                <c:formatCode>General</c:formatCode>
                <c:ptCount val="124"/>
                <c:pt idx="0">
                  <c:v>1330</c:v>
                </c:pt>
                <c:pt idx="1">
                  <c:v>1436</c:v>
                </c:pt>
                <c:pt idx="2">
                  <c:v>1364</c:v>
                </c:pt>
                <c:pt idx="3">
                  <c:v>2446</c:v>
                </c:pt>
                <c:pt idx="4">
                  <c:v>1960</c:v>
                </c:pt>
                <c:pt idx="5">
                  <c:v>1404</c:v>
                </c:pt>
                <c:pt idx="6">
                  <c:v>775</c:v>
                </c:pt>
                <c:pt idx="7">
                  <c:v>452</c:v>
                </c:pt>
                <c:pt idx="8">
                  <c:v>2086</c:v>
                </c:pt>
                <c:pt idx="9">
                  <c:v>1777</c:v>
                </c:pt>
                <c:pt idx="10">
                  <c:v>1195</c:v>
                </c:pt>
                <c:pt idx="11">
                  <c:v>1215</c:v>
                </c:pt>
                <c:pt idx="12">
                  <c:v>514</c:v>
                </c:pt>
                <c:pt idx="13">
                  <c:v>2431</c:v>
                </c:pt>
                <c:pt idx="14">
                  <c:v>794</c:v>
                </c:pt>
                <c:pt idx="15">
                  <c:v>1281</c:v>
                </c:pt>
                <c:pt idx="16">
                  <c:v>827</c:v>
                </c:pt>
                <c:pt idx="17">
                  <c:v>1600</c:v>
                </c:pt>
                <c:pt idx="18">
                  <c:v>1241</c:v>
                </c:pt>
                <c:pt idx="19">
                  <c:v>473</c:v>
                </c:pt>
                <c:pt idx="20">
                  <c:v>577</c:v>
                </c:pt>
                <c:pt idx="21">
                  <c:v>1591</c:v>
                </c:pt>
                <c:pt idx="22">
                  <c:v>514</c:v>
                </c:pt>
                <c:pt idx="23">
                  <c:v>1240</c:v>
                </c:pt>
                <c:pt idx="24">
                  <c:v>2474</c:v>
                </c:pt>
                <c:pt idx="25">
                  <c:v>2842</c:v>
                </c:pt>
                <c:pt idx="26">
                  <c:v>636</c:v>
                </c:pt>
                <c:pt idx="27">
                  <c:v>2883</c:v>
                </c:pt>
                <c:pt idx="28">
                  <c:v>900</c:v>
                </c:pt>
                <c:pt idx="29">
                  <c:v>1020</c:v>
                </c:pt>
                <c:pt idx="30">
                  <c:v>2464</c:v>
                </c:pt>
                <c:pt idx="31">
                  <c:v>744</c:v>
                </c:pt>
                <c:pt idx="32">
                  <c:v>2335</c:v>
                </c:pt>
                <c:pt idx="33">
                  <c:v>1273</c:v>
                </c:pt>
                <c:pt idx="34">
                  <c:v>2375</c:v>
                </c:pt>
                <c:pt idx="35">
                  <c:v>436</c:v>
                </c:pt>
                <c:pt idx="36">
                  <c:v>719</c:v>
                </c:pt>
                <c:pt idx="37">
                  <c:v>2070</c:v>
                </c:pt>
                <c:pt idx="38">
                  <c:v>1487</c:v>
                </c:pt>
                <c:pt idx="39">
                  <c:v>2290</c:v>
                </c:pt>
                <c:pt idx="40">
                  <c:v>2495</c:v>
                </c:pt>
              </c:numCache>
            </c:numRef>
          </c:yVal>
          <c:smooth val="0"/>
          <c:extLst>
            <c:ext xmlns:c16="http://schemas.microsoft.com/office/drawing/2014/chart" uri="{C3380CC4-5D6E-409C-BE32-E72D297353CC}">
              <c16:uniqueId val="{00000000-3273-924A-8848-B3920A5DABCC}"/>
            </c:ext>
          </c:extLst>
        </c:ser>
        <c:dLbls>
          <c:showLegendKey val="0"/>
          <c:showVal val="0"/>
          <c:showCatName val="0"/>
          <c:showSerName val="0"/>
          <c:showPercent val="0"/>
          <c:showBubbleSize val="0"/>
        </c:dLbls>
        <c:axId val="122152096"/>
        <c:axId val="122152488"/>
      </c:scatterChart>
      <c:valAx>
        <c:axId val="12215209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sample dilution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22152488"/>
        <c:crosses val="autoZero"/>
        <c:crossBetween val="midCat"/>
      </c:valAx>
      <c:valAx>
        <c:axId val="1221524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area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221520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H"/>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
          <c:order val="0"/>
          <c:tx>
            <c:strRef>
              <c:f>'15N'!$BZ$1</c:f>
              <c:strCache>
                <c:ptCount val="1"/>
                <c:pt idx="0">
                  <c:v>offset Initial Corrected δ15N (‰ AIR-N2)</c:v>
                </c:pt>
              </c:strCache>
            </c:strRef>
          </c:tx>
          <c:spPr>
            <a:ln w="25400" cap="rnd">
              <a:noFill/>
              <a:round/>
            </a:ln>
            <a:effectLst/>
          </c:spPr>
          <c:marker>
            <c:symbol val="circle"/>
            <c:size val="5"/>
            <c:spPr>
              <a:noFill/>
              <a:ln w="9525">
                <a:solidFill>
                  <a:srgbClr val="00B0F0"/>
                </a:solidFill>
              </a:ln>
              <a:effectLst/>
            </c:spPr>
          </c:marker>
          <c:xVal>
            <c:numRef>
              <c:f>'15N'!$BO$2:$BO$25</c:f>
              <c:numCache>
                <c:formatCode>General</c:formatCode>
                <c:ptCount val="24"/>
                <c:pt idx="0">
                  <c:v>75.471000000000004</c:v>
                </c:pt>
                <c:pt idx="1">
                  <c:v>61.204000000000001</c:v>
                </c:pt>
                <c:pt idx="2">
                  <c:v>42.521999999999998</c:v>
                </c:pt>
                <c:pt idx="3">
                  <c:v>74.369</c:v>
                </c:pt>
                <c:pt idx="4">
                  <c:v>75.308999999999997</c:v>
                </c:pt>
                <c:pt idx="5">
                  <c:v>75.033000000000001</c:v>
                </c:pt>
                <c:pt idx="6">
                  <c:v>72.082999999999998</c:v>
                </c:pt>
                <c:pt idx="7">
                  <c:v>38.296999999999997</c:v>
                </c:pt>
                <c:pt idx="8">
                  <c:v>72.649000000000001</c:v>
                </c:pt>
                <c:pt idx="9">
                  <c:v>64.206000000000003</c:v>
                </c:pt>
                <c:pt idx="10">
                  <c:v>44.683</c:v>
                </c:pt>
                <c:pt idx="11">
                  <c:v>69.968000000000004</c:v>
                </c:pt>
                <c:pt idx="12">
                  <c:v>76.076999999999998</c:v>
                </c:pt>
              </c:numCache>
            </c:numRef>
          </c:xVal>
          <c:yVal>
            <c:numRef>
              <c:f>'15N'!$BZ$2:$BZ$25</c:f>
              <c:numCache>
                <c:formatCode>General</c:formatCode>
                <c:ptCount val="24"/>
                <c:pt idx="0">
                  <c:v>-4.6508642060794081E-2</c:v>
                </c:pt>
                <c:pt idx="1">
                  <c:v>6.3378808462299929E-2</c:v>
                </c:pt>
                <c:pt idx="2">
                  <c:v>-6.5291781989884612E-2</c:v>
                </c:pt>
                <c:pt idx="3">
                  <c:v>4.2114160432316083E-3</c:v>
                </c:pt>
                <c:pt idx="4">
                  <c:v>-1.3033411219498525E-2</c:v>
                </c:pt>
                <c:pt idx="5">
                  <c:v>1.7398642110144635E-2</c:v>
                </c:pt>
                <c:pt idx="6">
                  <c:v>0.14442046316220924</c:v>
                </c:pt>
                <c:pt idx="7">
                  <c:v>5.218989052768741E-2</c:v>
                </c:pt>
                <c:pt idx="8">
                  <c:v>3.3629080401720302E-2</c:v>
                </c:pt>
                <c:pt idx="9">
                  <c:v>0.12416003345050441</c:v>
                </c:pt>
                <c:pt idx="10">
                  <c:v>1.2025175357921469E-2</c:v>
                </c:pt>
                <c:pt idx="11">
                  <c:v>-9.9902069704560503E-3</c:v>
                </c:pt>
                <c:pt idx="12">
                  <c:v>1.5369837805367936E-2</c:v>
                </c:pt>
                <c:pt idx="13">
                  <c:v>0</c:v>
                </c:pt>
                <c:pt idx="14">
                  <c:v>0</c:v>
                </c:pt>
                <c:pt idx="15">
                  <c:v>0</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1-CFEE-EB48-8D3D-8464EB7FBF63}"/>
            </c:ext>
          </c:extLst>
        </c:ser>
        <c:ser>
          <c:idx val="2"/>
          <c:order val="1"/>
          <c:tx>
            <c:strRef>
              <c:f>'15N'!$CA$1</c:f>
              <c:strCache>
                <c:ptCount val="1"/>
                <c:pt idx="0">
                  <c:v>offset δ15N (‰ AIR-N2)</c:v>
                </c:pt>
              </c:strCache>
            </c:strRef>
          </c:tx>
          <c:spPr>
            <a:ln w="25400" cap="rnd">
              <a:noFill/>
              <a:round/>
            </a:ln>
            <a:effectLst/>
          </c:spPr>
          <c:marker>
            <c:symbol val="circle"/>
            <c:size val="7"/>
            <c:spPr>
              <a:noFill/>
              <a:ln w="9525">
                <a:solidFill>
                  <a:srgbClr val="FF0000"/>
                </a:solidFill>
              </a:ln>
              <a:effectLst/>
            </c:spPr>
          </c:marker>
          <c:xVal>
            <c:numRef>
              <c:f>'15N'!$BO$2:$BO$25</c:f>
              <c:numCache>
                <c:formatCode>General</c:formatCode>
                <c:ptCount val="24"/>
                <c:pt idx="0">
                  <c:v>75.471000000000004</c:v>
                </c:pt>
                <c:pt idx="1">
                  <c:v>61.204000000000001</c:v>
                </c:pt>
                <c:pt idx="2">
                  <c:v>42.521999999999998</c:v>
                </c:pt>
                <c:pt idx="3">
                  <c:v>74.369</c:v>
                </c:pt>
                <c:pt idx="4">
                  <c:v>75.308999999999997</c:v>
                </c:pt>
                <c:pt idx="5">
                  <c:v>75.033000000000001</c:v>
                </c:pt>
                <c:pt idx="6">
                  <c:v>72.082999999999998</c:v>
                </c:pt>
                <c:pt idx="7">
                  <c:v>38.296999999999997</c:v>
                </c:pt>
                <c:pt idx="8">
                  <c:v>72.649000000000001</c:v>
                </c:pt>
                <c:pt idx="9">
                  <c:v>64.206000000000003</c:v>
                </c:pt>
                <c:pt idx="10">
                  <c:v>44.683</c:v>
                </c:pt>
                <c:pt idx="11">
                  <c:v>69.968000000000004</c:v>
                </c:pt>
                <c:pt idx="12">
                  <c:v>76.076999999999998</c:v>
                </c:pt>
              </c:numCache>
            </c:numRef>
          </c:xVal>
          <c:yVal>
            <c:numRef>
              <c:f>'15N'!$CA$2:$CA$25</c:f>
              <c:numCache>
                <c:formatCode>General</c:formatCode>
                <c:ptCount val="24"/>
                <c:pt idx="0">
                  <c:v>-2.3674645404647698E-2</c:v>
                </c:pt>
                <c:pt idx="1">
                  <c:v>8.5343474063748204E-2</c:v>
                </c:pt>
                <c:pt idx="2">
                  <c:v>-4.5336102276860579E-2</c:v>
                </c:pt>
                <c:pt idx="3">
                  <c:v>1.8232115624794432E-2</c:v>
                </c:pt>
                <c:pt idx="4">
                  <c:v>-7.824323339566952E-3</c:v>
                </c:pt>
                <c:pt idx="5">
                  <c:v>1.780039517496057E-2</c:v>
                </c:pt>
                <c:pt idx="6">
                  <c:v>0.14318297191517892</c:v>
                </c:pt>
                <c:pt idx="7">
                  <c:v>4.9146320953319389E-2</c:v>
                </c:pt>
                <c:pt idx="8">
                  <c:v>2.6019470738658512E-2</c:v>
                </c:pt>
                <c:pt idx="9">
                  <c:v>0.10932298638288707</c:v>
                </c:pt>
                <c:pt idx="10">
                  <c:v>-4.4978551256846799E-3</c:v>
                </c:pt>
                <c:pt idx="11">
                  <c:v>-2.7211837463791966E-2</c:v>
                </c:pt>
                <c:pt idx="12">
                  <c:v>-2.6535388779613811E-3</c:v>
                </c:pt>
                <c:pt idx="13">
                  <c:v>0</c:v>
                </c:pt>
                <c:pt idx="14">
                  <c:v>0</c:v>
                </c:pt>
                <c:pt idx="15">
                  <c:v>0</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0-CFEE-EB48-8D3D-8464EB7FBF63}"/>
            </c:ext>
          </c:extLst>
        </c:ser>
        <c:ser>
          <c:idx val="3"/>
          <c:order val="3"/>
          <c:tx>
            <c:strRef>
              <c:f>'15N'!$BY$1</c:f>
              <c:strCache>
                <c:ptCount val="1"/>
                <c:pt idx="0">
                  <c:v>offset Drift_corr d 15N/14N</c:v>
                </c:pt>
              </c:strCache>
            </c:strRef>
          </c:tx>
          <c:spPr>
            <a:ln w="25400" cap="rnd">
              <a:noFill/>
              <a:round/>
            </a:ln>
            <a:effectLst/>
          </c:spPr>
          <c:marker>
            <c:symbol val="circle"/>
            <c:size val="5"/>
            <c:spPr>
              <a:solidFill>
                <a:schemeClr val="accent4"/>
              </a:solidFill>
              <a:ln w="9525">
                <a:solidFill>
                  <a:schemeClr val="accent4"/>
                </a:solidFill>
              </a:ln>
              <a:effectLst/>
            </c:spPr>
          </c:marker>
          <c:xVal>
            <c:numRef>
              <c:f>'15N'!$BO$2:$BO$25</c:f>
              <c:numCache>
                <c:formatCode>General</c:formatCode>
                <c:ptCount val="24"/>
                <c:pt idx="0">
                  <c:v>75.471000000000004</c:v>
                </c:pt>
                <c:pt idx="1">
                  <c:v>61.204000000000001</c:v>
                </c:pt>
                <c:pt idx="2">
                  <c:v>42.521999999999998</c:v>
                </c:pt>
                <c:pt idx="3">
                  <c:v>74.369</c:v>
                </c:pt>
                <c:pt idx="4">
                  <c:v>75.308999999999997</c:v>
                </c:pt>
                <c:pt idx="5">
                  <c:v>75.033000000000001</c:v>
                </c:pt>
                <c:pt idx="6">
                  <c:v>72.082999999999998</c:v>
                </c:pt>
                <c:pt idx="7">
                  <c:v>38.296999999999997</c:v>
                </c:pt>
                <c:pt idx="8">
                  <c:v>72.649000000000001</c:v>
                </c:pt>
                <c:pt idx="9">
                  <c:v>64.206000000000003</c:v>
                </c:pt>
                <c:pt idx="10">
                  <c:v>44.683</c:v>
                </c:pt>
                <c:pt idx="11">
                  <c:v>69.968000000000004</c:v>
                </c:pt>
                <c:pt idx="12">
                  <c:v>76.076999999999998</c:v>
                </c:pt>
              </c:numCache>
            </c:numRef>
          </c:xVal>
          <c:yVal>
            <c:numRef>
              <c:f>'15N'!$BY$2:$BY$25</c:f>
              <c:numCache>
                <c:formatCode>General</c:formatCode>
                <c:ptCount val="24"/>
                <c:pt idx="0">
                  <c:v>0.54302874534428724</c:v>
                </c:pt>
                <c:pt idx="1">
                  <c:v>0.63251455814650193</c:v>
                </c:pt>
                <c:pt idx="2">
                  <c:v>0.38532970136251343</c:v>
                </c:pt>
                <c:pt idx="3">
                  <c:v>0.58441608848802673</c:v>
                </c:pt>
                <c:pt idx="4">
                  <c:v>0.55868261416036624</c:v>
                </c:pt>
                <c:pt idx="5">
                  <c:v>0.58398971927298149</c:v>
                </c:pt>
                <c:pt idx="6">
                  <c:v>0.68963490918316772</c:v>
                </c:pt>
                <c:pt idx="7">
                  <c:v>0.47861561679440889</c:v>
                </c:pt>
                <c:pt idx="8">
                  <c:v>0.59210691743527555</c:v>
                </c:pt>
                <c:pt idx="9">
                  <c:v>0.65619593184162994</c:v>
                </c:pt>
                <c:pt idx="10">
                  <c:v>0.42565080887291273</c:v>
                </c:pt>
                <c:pt idx="11">
                  <c:v>0.53953539333861933</c:v>
                </c:pt>
                <c:pt idx="12">
                  <c:v>0.56378930910749858</c:v>
                </c:pt>
                <c:pt idx="13">
                  <c:v>0</c:v>
                </c:pt>
                <c:pt idx="14">
                  <c:v>0</c:v>
                </c:pt>
                <c:pt idx="15">
                  <c:v>0</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3-CFEE-EB48-8D3D-8464EB7FBF63}"/>
            </c:ext>
          </c:extLst>
        </c:ser>
        <c:dLbls>
          <c:showLegendKey val="0"/>
          <c:showVal val="0"/>
          <c:showCatName val="0"/>
          <c:showSerName val="0"/>
          <c:showPercent val="0"/>
          <c:showBubbleSize val="0"/>
        </c:dLbls>
        <c:axId val="168394688"/>
        <c:axId val="168395080"/>
      </c:scatterChart>
      <c:scatterChart>
        <c:scatterStyle val="lineMarker"/>
        <c:varyColors val="0"/>
        <c:ser>
          <c:idx val="0"/>
          <c:order val="2"/>
          <c:tx>
            <c:strRef>
              <c:f>'15N'!$BX$1</c:f>
              <c:strCache>
                <c:ptCount val="1"/>
                <c:pt idx="0">
                  <c:v>offset d 15N/14N</c:v>
                </c:pt>
              </c:strCache>
            </c:strRef>
          </c:tx>
          <c:spPr>
            <a:ln w="25400" cap="rnd">
              <a:noFill/>
              <a:round/>
            </a:ln>
            <a:effectLst/>
          </c:spPr>
          <c:marker>
            <c:symbol val="circle"/>
            <c:size val="5"/>
            <c:spPr>
              <a:solidFill>
                <a:schemeClr val="accent1"/>
              </a:solidFill>
              <a:ln w="9525">
                <a:solidFill>
                  <a:schemeClr val="accent1"/>
                </a:solidFill>
              </a:ln>
              <a:effectLst/>
            </c:spPr>
          </c:marker>
          <c:xVal>
            <c:numRef>
              <c:f>'15N'!$BO$2:$BO$25</c:f>
              <c:numCache>
                <c:formatCode>General</c:formatCode>
                <c:ptCount val="24"/>
                <c:pt idx="0">
                  <c:v>75.471000000000004</c:v>
                </c:pt>
                <c:pt idx="1">
                  <c:v>61.204000000000001</c:v>
                </c:pt>
                <c:pt idx="2">
                  <c:v>42.521999999999998</c:v>
                </c:pt>
                <c:pt idx="3">
                  <c:v>74.369</c:v>
                </c:pt>
                <c:pt idx="4">
                  <c:v>75.308999999999997</c:v>
                </c:pt>
                <c:pt idx="5">
                  <c:v>75.033000000000001</c:v>
                </c:pt>
                <c:pt idx="6">
                  <c:v>72.082999999999998</c:v>
                </c:pt>
                <c:pt idx="7">
                  <c:v>38.296999999999997</c:v>
                </c:pt>
                <c:pt idx="8">
                  <c:v>72.649000000000001</c:v>
                </c:pt>
                <c:pt idx="9">
                  <c:v>64.206000000000003</c:v>
                </c:pt>
                <c:pt idx="10">
                  <c:v>44.683</c:v>
                </c:pt>
                <c:pt idx="11">
                  <c:v>69.968000000000004</c:v>
                </c:pt>
                <c:pt idx="12">
                  <c:v>76.076999999999998</c:v>
                </c:pt>
              </c:numCache>
            </c:numRef>
          </c:xVal>
          <c:yVal>
            <c:numRef>
              <c:f>'15N'!$BX$2:$BX$25</c:f>
              <c:numCache>
                <c:formatCode>General</c:formatCode>
                <c:ptCount val="24"/>
                <c:pt idx="0">
                  <c:v>0.54698457222990271</c:v>
                </c:pt>
                <c:pt idx="1">
                  <c:v>0.63725490196064882</c:v>
                </c:pt>
                <c:pt idx="2">
                  <c:v>0.39159313968473164</c:v>
                </c:pt>
                <c:pt idx="3">
                  <c:v>0.59707473452208504</c:v>
                </c:pt>
                <c:pt idx="4">
                  <c:v>0.58004407934286739</c:v>
                </c:pt>
                <c:pt idx="5">
                  <c:v>0.61009817671808797</c:v>
                </c:pt>
                <c:pt idx="6">
                  <c:v>0.71728691476580231</c:v>
                </c:pt>
                <c:pt idx="7">
                  <c:v>0.50758401903427952</c:v>
                </c:pt>
                <c:pt idx="8">
                  <c:v>0.62612702865161296</c:v>
                </c:pt>
                <c:pt idx="9">
                  <c:v>0.69727891156468047</c:v>
                </c:pt>
                <c:pt idx="10">
                  <c:v>0.46792901754733052</c:v>
                </c:pt>
                <c:pt idx="11">
                  <c:v>0.58304948908038945</c:v>
                </c:pt>
                <c:pt idx="12">
                  <c:v>0.60809457022648061</c:v>
                </c:pt>
                <c:pt idx="13">
                  <c:v>0</c:v>
                </c:pt>
                <c:pt idx="14">
                  <c:v>0</c:v>
                </c:pt>
                <c:pt idx="15">
                  <c:v>0</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2-CFEE-EB48-8D3D-8464EB7FBF63}"/>
            </c:ext>
          </c:extLst>
        </c:ser>
        <c:dLbls>
          <c:showLegendKey val="0"/>
          <c:showVal val="0"/>
          <c:showCatName val="0"/>
          <c:showSerName val="0"/>
          <c:showPercent val="0"/>
          <c:showBubbleSize val="0"/>
        </c:dLbls>
        <c:axId val="168467640"/>
        <c:axId val="168395472"/>
      </c:scatterChart>
      <c:valAx>
        <c:axId val="16839468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area</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68395080"/>
        <c:crosses val="autoZero"/>
        <c:crossBetween val="midCat"/>
      </c:valAx>
      <c:valAx>
        <c:axId val="168395080"/>
        <c:scaling>
          <c:orientation val="minMax"/>
          <c:max val="1"/>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d15N offset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68394688"/>
        <c:crosses val="autoZero"/>
        <c:crossBetween val="midCat"/>
      </c:valAx>
      <c:valAx>
        <c:axId val="168395472"/>
        <c:scaling>
          <c:orientation val="minMax"/>
        </c:scaling>
        <c:delete val="1"/>
        <c:axPos val="r"/>
        <c:numFmt formatCode="General" sourceLinked="1"/>
        <c:majorTickMark val="out"/>
        <c:minorTickMark val="none"/>
        <c:tickLblPos val="nextTo"/>
        <c:crossAx val="168467640"/>
        <c:crosses val="max"/>
        <c:crossBetween val="midCat"/>
      </c:valAx>
      <c:valAx>
        <c:axId val="168467640"/>
        <c:scaling>
          <c:orientation val="minMax"/>
        </c:scaling>
        <c:delete val="1"/>
        <c:axPos val="b"/>
        <c:numFmt formatCode="General" sourceLinked="1"/>
        <c:majorTickMark val="out"/>
        <c:minorTickMark val="none"/>
        <c:tickLblPos val="nextTo"/>
        <c:crossAx val="1683954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H"/>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
          <c:order val="0"/>
          <c:tx>
            <c:strRef>
              <c:f>'15N'!$BZ$1</c:f>
              <c:strCache>
                <c:ptCount val="1"/>
                <c:pt idx="0">
                  <c:v>offset Initial Corrected δ15N (‰ AIR-N2)</c:v>
                </c:pt>
              </c:strCache>
            </c:strRef>
          </c:tx>
          <c:spPr>
            <a:ln w="25400" cap="rnd">
              <a:noFill/>
              <a:round/>
            </a:ln>
            <a:effectLst/>
          </c:spPr>
          <c:marker>
            <c:symbol val="circle"/>
            <c:size val="5"/>
            <c:spPr>
              <a:noFill/>
              <a:ln w="9525">
                <a:solidFill>
                  <a:srgbClr val="00B0F0"/>
                </a:solidFill>
              </a:ln>
              <a:effectLst/>
            </c:spPr>
          </c:marker>
          <c:xVal>
            <c:numRef>
              <c:f>'15N'!$BU$2:$BU$25</c:f>
              <c:numCache>
                <c:formatCode>General</c:formatCode>
                <c:ptCount val="24"/>
                <c:pt idx="0">
                  <c:v>275185</c:v>
                </c:pt>
                <c:pt idx="1">
                  <c:v>182663</c:v>
                </c:pt>
                <c:pt idx="2">
                  <c:v>45814</c:v>
                </c:pt>
                <c:pt idx="3">
                  <c:v>270683</c:v>
                </c:pt>
                <c:pt idx="4">
                  <c:v>273397</c:v>
                </c:pt>
                <c:pt idx="5">
                  <c:v>271891</c:v>
                </c:pt>
                <c:pt idx="6">
                  <c:v>213863</c:v>
                </c:pt>
                <c:pt idx="7">
                  <c:v>41136</c:v>
                </c:pt>
                <c:pt idx="8">
                  <c:v>262885</c:v>
                </c:pt>
                <c:pt idx="9">
                  <c:v>230992</c:v>
                </c:pt>
                <c:pt idx="10">
                  <c:v>47709</c:v>
                </c:pt>
                <c:pt idx="11">
                  <c:v>253442</c:v>
                </c:pt>
                <c:pt idx="12">
                  <c:v>275410</c:v>
                </c:pt>
              </c:numCache>
            </c:numRef>
          </c:xVal>
          <c:yVal>
            <c:numRef>
              <c:f>'15N'!$BZ$2:$BZ$25</c:f>
              <c:numCache>
                <c:formatCode>General</c:formatCode>
                <c:ptCount val="24"/>
                <c:pt idx="0">
                  <c:v>-4.6508642060794081E-2</c:v>
                </c:pt>
                <c:pt idx="1">
                  <c:v>6.3378808462299929E-2</c:v>
                </c:pt>
                <c:pt idx="2">
                  <c:v>-6.5291781989884612E-2</c:v>
                </c:pt>
                <c:pt idx="3">
                  <c:v>4.2114160432316083E-3</c:v>
                </c:pt>
                <c:pt idx="4">
                  <c:v>-1.3033411219498525E-2</c:v>
                </c:pt>
                <c:pt idx="5">
                  <c:v>1.7398642110144635E-2</c:v>
                </c:pt>
                <c:pt idx="6">
                  <c:v>0.14442046316220924</c:v>
                </c:pt>
                <c:pt idx="7">
                  <c:v>5.218989052768741E-2</c:v>
                </c:pt>
                <c:pt idx="8">
                  <c:v>3.3629080401720302E-2</c:v>
                </c:pt>
                <c:pt idx="9">
                  <c:v>0.12416003345050441</c:v>
                </c:pt>
                <c:pt idx="10">
                  <c:v>1.2025175357921469E-2</c:v>
                </c:pt>
                <c:pt idx="11">
                  <c:v>-9.9902069704560503E-3</c:v>
                </c:pt>
                <c:pt idx="12">
                  <c:v>1.5369837805367936E-2</c:v>
                </c:pt>
                <c:pt idx="13">
                  <c:v>0</c:v>
                </c:pt>
                <c:pt idx="14">
                  <c:v>0</c:v>
                </c:pt>
                <c:pt idx="15">
                  <c:v>0</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1-CFEE-EB48-8D3D-8464EB7FBF63}"/>
            </c:ext>
          </c:extLst>
        </c:ser>
        <c:ser>
          <c:idx val="2"/>
          <c:order val="1"/>
          <c:tx>
            <c:strRef>
              <c:f>'15N'!$CA$1</c:f>
              <c:strCache>
                <c:ptCount val="1"/>
                <c:pt idx="0">
                  <c:v>offset δ15N (‰ AIR-N2)</c:v>
                </c:pt>
              </c:strCache>
            </c:strRef>
          </c:tx>
          <c:spPr>
            <a:ln w="25400" cap="rnd">
              <a:noFill/>
              <a:round/>
            </a:ln>
            <a:effectLst/>
          </c:spPr>
          <c:marker>
            <c:symbol val="circle"/>
            <c:size val="7"/>
            <c:spPr>
              <a:noFill/>
              <a:ln w="9525">
                <a:solidFill>
                  <a:srgbClr val="FF0000"/>
                </a:solidFill>
              </a:ln>
              <a:effectLst/>
            </c:spPr>
          </c:marker>
          <c:xVal>
            <c:numRef>
              <c:f>'15N'!$BU$2:$BU$25</c:f>
              <c:numCache>
                <c:formatCode>General</c:formatCode>
                <c:ptCount val="24"/>
                <c:pt idx="0">
                  <c:v>275185</c:v>
                </c:pt>
                <c:pt idx="1">
                  <c:v>182663</c:v>
                </c:pt>
                <c:pt idx="2">
                  <c:v>45814</c:v>
                </c:pt>
                <c:pt idx="3">
                  <c:v>270683</c:v>
                </c:pt>
                <c:pt idx="4">
                  <c:v>273397</c:v>
                </c:pt>
                <c:pt idx="5">
                  <c:v>271891</c:v>
                </c:pt>
                <c:pt idx="6">
                  <c:v>213863</c:v>
                </c:pt>
                <c:pt idx="7">
                  <c:v>41136</c:v>
                </c:pt>
                <c:pt idx="8">
                  <c:v>262885</c:v>
                </c:pt>
                <c:pt idx="9">
                  <c:v>230992</c:v>
                </c:pt>
                <c:pt idx="10">
                  <c:v>47709</c:v>
                </c:pt>
                <c:pt idx="11">
                  <c:v>253442</c:v>
                </c:pt>
                <c:pt idx="12">
                  <c:v>275410</c:v>
                </c:pt>
              </c:numCache>
            </c:numRef>
          </c:xVal>
          <c:yVal>
            <c:numRef>
              <c:f>'15N'!$CA$2:$CA$25</c:f>
              <c:numCache>
                <c:formatCode>General</c:formatCode>
                <c:ptCount val="24"/>
                <c:pt idx="0">
                  <c:v>-2.3674645404647698E-2</c:v>
                </c:pt>
                <c:pt idx="1">
                  <c:v>8.5343474063748204E-2</c:v>
                </c:pt>
                <c:pt idx="2">
                  <c:v>-4.5336102276860579E-2</c:v>
                </c:pt>
                <c:pt idx="3">
                  <c:v>1.8232115624794432E-2</c:v>
                </c:pt>
                <c:pt idx="4">
                  <c:v>-7.824323339566952E-3</c:v>
                </c:pt>
                <c:pt idx="5">
                  <c:v>1.780039517496057E-2</c:v>
                </c:pt>
                <c:pt idx="6">
                  <c:v>0.14318297191517892</c:v>
                </c:pt>
                <c:pt idx="7">
                  <c:v>4.9146320953319389E-2</c:v>
                </c:pt>
                <c:pt idx="8">
                  <c:v>2.6019470738658512E-2</c:v>
                </c:pt>
                <c:pt idx="9">
                  <c:v>0.10932298638288707</c:v>
                </c:pt>
                <c:pt idx="10">
                  <c:v>-4.4978551256846799E-3</c:v>
                </c:pt>
                <c:pt idx="11">
                  <c:v>-2.7211837463791966E-2</c:v>
                </c:pt>
                <c:pt idx="12">
                  <c:v>-2.6535388779613811E-3</c:v>
                </c:pt>
                <c:pt idx="13">
                  <c:v>0</c:v>
                </c:pt>
                <c:pt idx="14">
                  <c:v>0</c:v>
                </c:pt>
                <c:pt idx="15">
                  <c:v>0</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0-CFEE-EB48-8D3D-8464EB7FBF63}"/>
            </c:ext>
          </c:extLst>
        </c:ser>
        <c:ser>
          <c:idx val="3"/>
          <c:order val="3"/>
          <c:tx>
            <c:strRef>
              <c:f>'15N'!$BY$1</c:f>
              <c:strCache>
                <c:ptCount val="1"/>
                <c:pt idx="0">
                  <c:v>offset Drift_corr d 15N/14N</c:v>
                </c:pt>
              </c:strCache>
            </c:strRef>
          </c:tx>
          <c:spPr>
            <a:ln w="25400" cap="rnd">
              <a:noFill/>
              <a:round/>
            </a:ln>
            <a:effectLst/>
          </c:spPr>
          <c:marker>
            <c:symbol val="circle"/>
            <c:size val="5"/>
            <c:spPr>
              <a:solidFill>
                <a:schemeClr val="accent4"/>
              </a:solidFill>
              <a:ln w="9525">
                <a:solidFill>
                  <a:schemeClr val="accent4"/>
                </a:solidFill>
              </a:ln>
              <a:effectLst/>
            </c:spPr>
          </c:marker>
          <c:xVal>
            <c:numRef>
              <c:f>'15N'!$BU$2:$BU$25</c:f>
              <c:numCache>
                <c:formatCode>General</c:formatCode>
                <c:ptCount val="24"/>
                <c:pt idx="0">
                  <c:v>275185</c:v>
                </c:pt>
                <c:pt idx="1">
                  <c:v>182663</c:v>
                </c:pt>
                <c:pt idx="2">
                  <c:v>45814</c:v>
                </c:pt>
                <c:pt idx="3">
                  <c:v>270683</c:v>
                </c:pt>
                <c:pt idx="4">
                  <c:v>273397</c:v>
                </c:pt>
                <c:pt idx="5">
                  <c:v>271891</c:v>
                </c:pt>
                <c:pt idx="6">
                  <c:v>213863</c:v>
                </c:pt>
                <c:pt idx="7">
                  <c:v>41136</c:v>
                </c:pt>
                <c:pt idx="8">
                  <c:v>262885</c:v>
                </c:pt>
                <c:pt idx="9">
                  <c:v>230992</c:v>
                </c:pt>
                <c:pt idx="10">
                  <c:v>47709</c:v>
                </c:pt>
                <c:pt idx="11">
                  <c:v>253442</c:v>
                </c:pt>
                <c:pt idx="12">
                  <c:v>275410</c:v>
                </c:pt>
              </c:numCache>
            </c:numRef>
          </c:xVal>
          <c:yVal>
            <c:numRef>
              <c:f>'15N'!$BY$2:$BY$25</c:f>
              <c:numCache>
                <c:formatCode>General</c:formatCode>
                <c:ptCount val="24"/>
                <c:pt idx="0">
                  <c:v>0.54302874534428724</c:v>
                </c:pt>
                <c:pt idx="1">
                  <c:v>0.63251455814650193</c:v>
                </c:pt>
                <c:pt idx="2">
                  <c:v>0.38532970136251343</c:v>
                </c:pt>
                <c:pt idx="3">
                  <c:v>0.58441608848802673</c:v>
                </c:pt>
                <c:pt idx="4">
                  <c:v>0.55868261416036624</c:v>
                </c:pt>
                <c:pt idx="5">
                  <c:v>0.58398971927298149</c:v>
                </c:pt>
                <c:pt idx="6">
                  <c:v>0.68963490918316772</c:v>
                </c:pt>
                <c:pt idx="7">
                  <c:v>0.47861561679440889</c:v>
                </c:pt>
                <c:pt idx="8">
                  <c:v>0.59210691743527555</c:v>
                </c:pt>
                <c:pt idx="9">
                  <c:v>0.65619593184162994</c:v>
                </c:pt>
                <c:pt idx="10">
                  <c:v>0.42565080887291273</c:v>
                </c:pt>
                <c:pt idx="11">
                  <c:v>0.53953539333861933</c:v>
                </c:pt>
                <c:pt idx="12">
                  <c:v>0.56378930910749858</c:v>
                </c:pt>
                <c:pt idx="13">
                  <c:v>0</c:v>
                </c:pt>
                <c:pt idx="14">
                  <c:v>0</c:v>
                </c:pt>
                <c:pt idx="15">
                  <c:v>0</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3-CFEE-EB48-8D3D-8464EB7FBF63}"/>
            </c:ext>
          </c:extLst>
        </c:ser>
        <c:dLbls>
          <c:showLegendKey val="0"/>
          <c:showVal val="0"/>
          <c:showCatName val="0"/>
          <c:showSerName val="0"/>
          <c:showPercent val="0"/>
          <c:showBubbleSize val="0"/>
        </c:dLbls>
        <c:axId val="168468816"/>
        <c:axId val="168469208"/>
      </c:scatterChart>
      <c:scatterChart>
        <c:scatterStyle val="lineMarker"/>
        <c:varyColors val="0"/>
        <c:ser>
          <c:idx val="0"/>
          <c:order val="2"/>
          <c:tx>
            <c:strRef>
              <c:f>'15N'!$BX$1</c:f>
              <c:strCache>
                <c:ptCount val="1"/>
                <c:pt idx="0">
                  <c:v>offset d 15N/14N</c:v>
                </c:pt>
              </c:strCache>
            </c:strRef>
          </c:tx>
          <c:spPr>
            <a:ln w="25400" cap="rnd">
              <a:noFill/>
              <a:round/>
            </a:ln>
            <a:effectLst/>
          </c:spPr>
          <c:marker>
            <c:symbol val="circle"/>
            <c:size val="5"/>
            <c:spPr>
              <a:solidFill>
                <a:schemeClr val="accent1"/>
              </a:solidFill>
              <a:ln w="9525">
                <a:solidFill>
                  <a:schemeClr val="accent1"/>
                </a:solidFill>
              </a:ln>
              <a:effectLst/>
            </c:spPr>
          </c:marker>
          <c:xVal>
            <c:numRef>
              <c:f>'15N'!$BU$2:$BU$25</c:f>
              <c:numCache>
                <c:formatCode>General</c:formatCode>
                <c:ptCount val="24"/>
                <c:pt idx="0">
                  <c:v>275185</c:v>
                </c:pt>
                <c:pt idx="1">
                  <c:v>182663</c:v>
                </c:pt>
                <c:pt idx="2">
                  <c:v>45814</c:v>
                </c:pt>
                <c:pt idx="3">
                  <c:v>270683</c:v>
                </c:pt>
                <c:pt idx="4">
                  <c:v>273397</c:v>
                </c:pt>
                <c:pt idx="5">
                  <c:v>271891</c:v>
                </c:pt>
                <c:pt idx="6">
                  <c:v>213863</c:v>
                </c:pt>
                <c:pt idx="7">
                  <c:v>41136</c:v>
                </c:pt>
                <c:pt idx="8">
                  <c:v>262885</c:v>
                </c:pt>
                <c:pt idx="9">
                  <c:v>230992</c:v>
                </c:pt>
                <c:pt idx="10">
                  <c:v>47709</c:v>
                </c:pt>
                <c:pt idx="11">
                  <c:v>253442</c:v>
                </c:pt>
                <c:pt idx="12">
                  <c:v>275410</c:v>
                </c:pt>
              </c:numCache>
            </c:numRef>
          </c:xVal>
          <c:yVal>
            <c:numRef>
              <c:f>'15N'!$BX$2:$BX$25</c:f>
              <c:numCache>
                <c:formatCode>General</c:formatCode>
                <c:ptCount val="24"/>
                <c:pt idx="0">
                  <c:v>0.54698457222990271</c:v>
                </c:pt>
                <c:pt idx="1">
                  <c:v>0.63725490196064882</c:v>
                </c:pt>
                <c:pt idx="2">
                  <c:v>0.39159313968473164</c:v>
                </c:pt>
                <c:pt idx="3">
                  <c:v>0.59707473452208504</c:v>
                </c:pt>
                <c:pt idx="4">
                  <c:v>0.58004407934286739</c:v>
                </c:pt>
                <c:pt idx="5">
                  <c:v>0.61009817671808797</c:v>
                </c:pt>
                <c:pt idx="6">
                  <c:v>0.71728691476580231</c:v>
                </c:pt>
                <c:pt idx="7">
                  <c:v>0.50758401903427952</c:v>
                </c:pt>
                <c:pt idx="8">
                  <c:v>0.62612702865161296</c:v>
                </c:pt>
                <c:pt idx="9">
                  <c:v>0.69727891156468047</c:v>
                </c:pt>
                <c:pt idx="10">
                  <c:v>0.46792901754733052</c:v>
                </c:pt>
                <c:pt idx="11">
                  <c:v>0.58304948908038945</c:v>
                </c:pt>
                <c:pt idx="12">
                  <c:v>0.60809457022648061</c:v>
                </c:pt>
                <c:pt idx="13">
                  <c:v>0</c:v>
                </c:pt>
                <c:pt idx="14">
                  <c:v>0</c:v>
                </c:pt>
                <c:pt idx="15">
                  <c:v>0</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2-CFEE-EB48-8D3D-8464EB7FBF63}"/>
            </c:ext>
          </c:extLst>
        </c:ser>
        <c:dLbls>
          <c:showLegendKey val="0"/>
          <c:showVal val="0"/>
          <c:showCatName val="0"/>
          <c:showSerName val="0"/>
          <c:showPercent val="0"/>
          <c:showBubbleSize val="0"/>
        </c:dLbls>
        <c:axId val="168469992"/>
        <c:axId val="168469600"/>
      </c:scatterChart>
      <c:valAx>
        <c:axId val="16846881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rArea Flash TCD (raw area</a:t>
                </a:r>
                <a:r>
                  <a:rPr lang="en-US" baseline="0"/>
                  <a:t> signal)</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68469208"/>
        <c:crosses val="autoZero"/>
        <c:crossBetween val="midCat"/>
      </c:valAx>
      <c:valAx>
        <c:axId val="168469208"/>
        <c:scaling>
          <c:orientation val="minMax"/>
          <c:max val="1"/>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d15N offset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68468816"/>
        <c:crosses val="autoZero"/>
        <c:crossBetween val="midCat"/>
      </c:valAx>
      <c:valAx>
        <c:axId val="168469600"/>
        <c:scaling>
          <c:orientation val="minMax"/>
        </c:scaling>
        <c:delete val="1"/>
        <c:axPos val="r"/>
        <c:numFmt formatCode="General" sourceLinked="1"/>
        <c:majorTickMark val="out"/>
        <c:minorTickMark val="none"/>
        <c:tickLblPos val="nextTo"/>
        <c:crossAx val="168469992"/>
        <c:crosses val="max"/>
        <c:crossBetween val="midCat"/>
      </c:valAx>
      <c:valAx>
        <c:axId val="168469992"/>
        <c:scaling>
          <c:orientation val="minMax"/>
        </c:scaling>
        <c:delete val="1"/>
        <c:axPos val="b"/>
        <c:numFmt formatCode="General" sourceLinked="1"/>
        <c:majorTickMark val="out"/>
        <c:minorTickMark val="none"/>
        <c:tickLblPos val="nextTo"/>
        <c:crossAx val="1684696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H"/>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xVal>
            <c:numRef>
              <c:f>'15N'!$BO$2:$BO$25</c:f>
              <c:numCache>
                <c:formatCode>General</c:formatCode>
                <c:ptCount val="24"/>
                <c:pt idx="0">
                  <c:v>75.471000000000004</c:v>
                </c:pt>
                <c:pt idx="1">
                  <c:v>61.204000000000001</c:v>
                </c:pt>
                <c:pt idx="2">
                  <c:v>42.521999999999998</c:v>
                </c:pt>
                <c:pt idx="3">
                  <c:v>74.369</c:v>
                </c:pt>
                <c:pt idx="4">
                  <c:v>75.308999999999997</c:v>
                </c:pt>
                <c:pt idx="5">
                  <c:v>75.033000000000001</c:v>
                </c:pt>
                <c:pt idx="6">
                  <c:v>72.082999999999998</c:v>
                </c:pt>
                <c:pt idx="7">
                  <c:v>38.296999999999997</c:v>
                </c:pt>
                <c:pt idx="8">
                  <c:v>72.649000000000001</c:v>
                </c:pt>
                <c:pt idx="9">
                  <c:v>64.206000000000003</c:v>
                </c:pt>
                <c:pt idx="10">
                  <c:v>44.683</c:v>
                </c:pt>
                <c:pt idx="11">
                  <c:v>69.968000000000004</c:v>
                </c:pt>
                <c:pt idx="12">
                  <c:v>76.076999999999998</c:v>
                </c:pt>
              </c:numCache>
            </c:numRef>
          </c:xVal>
          <c:yVal>
            <c:numRef>
              <c:f>'15N'!$BU$2:$BU$25</c:f>
              <c:numCache>
                <c:formatCode>General</c:formatCode>
                <c:ptCount val="24"/>
                <c:pt idx="0">
                  <c:v>275185</c:v>
                </c:pt>
                <c:pt idx="1">
                  <c:v>182663</c:v>
                </c:pt>
                <c:pt idx="2">
                  <c:v>45814</c:v>
                </c:pt>
                <c:pt idx="3">
                  <c:v>270683</c:v>
                </c:pt>
                <c:pt idx="4">
                  <c:v>273397</c:v>
                </c:pt>
                <c:pt idx="5">
                  <c:v>271891</c:v>
                </c:pt>
                <c:pt idx="6">
                  <c:v>213863</c:v>
                </c:pt>
                <c:pt idx="7">
                  <c:v>41136</c:v>
                </c:pt>
                <c:pt idx="8">
                  <c:v>262885</c:v>
                </c:pt>
                <c:pt idx="9">
                  <c:v>230992</c:v>
                </c:pt>
                <c:pt idx="10">
                  <c:v>47709</c:v>
                </c:pt>
                <c:pt idx="11">
                  <c:v>253442</c:v>
                </c:pt>
                <c:pt idx="12">
                  <c:v>275410</c:v>
                </c:pt>
              </c:numCache>
            </c:numRef>
          </c:yVal>
          <c:smooth val="0"/>
          <c:extLst>
            <c:ext xmlns:c16="http://schemas.microsoft.com/office/drawing/2014/chart" uri="{C3380CC4-5D6E-409C-BE32-E72D297353CC}">
              <c16:uniqueId val="{00000000-29F2-C845-98F8-772CB60F31E8}"/>
            </c:ext>
          </c:extLst>
        </c:ser>
        <c:dLbls>
          <c:showLegendKey val="0"/>
          <c:showVal val="0"/>
          <c:showCatName val="0"/>
          <c:showSerName val="0"/>
          <c:showPercent val="0"/>
          <c:showBubbleSize val="0"/>
        </c:dLbls>
        <c:axId val="122150136"/>
        <c:axId val="122149744"/>
      </c:scatterChart>
      <c:valAx>
        <c:axId val="12215013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Area All</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22149744"/>
        <c:crosses val="autoZero"/>
        <c:crossBetween val="midCat"/>
      </c:valAx>
      <c:valAx>
        <c:axId val="1221497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rArea Flash TCD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2215013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H"/>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
          <c:order val="0"/>
          <c:tx>
            <c:strRef>
              <c:f>'15N'!$J$1</c:f>
              <c:strCache>
                <c:ptCount val="1"/>
                <c:pt idx="0">
                  <c:v>BGD 28</c:v>
                </c:pt>
              </c:strCache>
            </c:strRef>
          </c:tx>
          <c:spPr>
            <a:ln w="25400" cap="rnd">
              <a:noFill/>
              <a:round/>
            </a:ln>
            <a:effectLst/>
          </c:spPr>
          <c:marker>
            <c:symbol val="circle"/>
            <c:size val="5"/>
            <c:spPr>
              <a:noFill/>
              <a:ln w="9525">
                <a:solidFill>
                  <a:srgbClr val="00B0F0"/>
                </a:solidFill>
              </a:ln>
              <a:effectLst/>
            </c:spPr>
          </c:marker>
          <c:xVal>
            <c:numRef>
              <c:f>'15N'!$B$2:$B$125</c:f>
              <c:numCache>
                <c:formatCode>General</c:formatCode>
                <c:ptCount val="124"/>
                <c:pt idx="0">
                  <c:v>27934</c:v>
                </c:pt>
                <c:pt idx="1">
                  <c:v>27935</c:v>
                </c:pt>
                <c:pt idx="2">
                  <c:v>27936</c:v>
                </c:pt>
                <c:pt idx="3">
                  <c:v>27938</c:v>
                </c:pt>
                <c:pt idx="4">
                  <c:v>27939</c:v>
                </c:pt>
                <c:pt idx="5">
                  <c:v>27941</c:v>
                </c:pt>
                <c:pt idx="6">
                  <c:v>27942</c:v>
                </c:pt>
                <c:pt idx="7">
                  <c:v>27943</c:v>
                </c:pt>
                <c:pt idx="8">
                  <c:v>27944</c:v>
                </c:pt>
                <c:pt idx="9">
                  <c:v>27945</c:v>
                </c:pt>
                <c:pt idx="10">
                  <c:v>27946</c:v>
                </c:pt>
                <c:pt idx="11">
                  <c:v>27947</c:v>
                </c:pt>
                <c:pt idx="12">
                  <c:v>27948</c:v>
                </c:pt>
                <c:pt idx="13">
                  <c:v>27949</c:v>
                </c:pt>
                <c:pt idx="14">
                  <c:v>27950</c:v>
                </c:pt>
                <c:pt idx="15">
                  <c:v>27951</c:v>
                </c:pt>
                <c:pt idx="16">
                  <c:v>27952</c:v>
                </c:pt>
                <c:pt idx="17">
                  <c:v>27953</c:v>
                </c:pt>
                <c:pt idx="18">
                  <c:v>27954</c:v>
                </c:pt>
                <c:pt idx="19">
                  <c:v>27955</c:v>
                </c:pt>
                <c:pt idx="20">
                  <c:v>27956</c:v>
                </c:pt>
                <c:pt idx="21">
                  <c:v>27957</c:v>
                </c:pt>
                <c:pt idx="22">
                  <c:v>27958</c:v>
                </c:pt>
                <c:pt idx="23">
                  <c:v>27959</c:v>
                </c:pt>
                <c:pt idx="24">
                  <c:v>27960</c:v>
                </c:pt>
                <c:pt idx="25">
                  <c:v>27961</c:v>
                </c:pt>
                <c:pt idx="26">
                  <c:v>27962</c:v>
                </c:pt>
                <c:pt idx="27">
                  <c:v>27963</c:v>
                </c:pt>
                <c:pt idx="28">
                  <c:v>27964</c:v>
                </c:pt>
                <c:pt idx="29">
                  <c:v>27965</c:v>
                </c:pt>
                <c:pt idx="30">
                  <c:v>27966</c:v>
                </c:pt>
                <c:pt idx="31">
                  <c:v>27967</c:v>
                </c:pt>
                <c:pt idx="32">
                  <c:v>27968</c:v>
                </c:pt>
                <c:pt idx="33">
                  <c:v>27970</c:v>
                </c:pt>
                <c:pt idx="34">
                  <c:v>27976</c:v>
                </c:pt>
                <c:pt idx="35">
                  <c:v>27978</c:v>
                </c:pt>
                <c:pt idx="36">
                  <c:v>27984</c:v>
                </c:pt>
                <c:pt idx="37">
                  <c:v>27985</c:v>
                </c:pt>
                <c:pt idx="38">
                  <c:v>27987</c:v>
                </c:pt>
                <c:pt idx="39">
                  <c:v>27988</c:v>
                </c:pt>
                <c:pt idx="40">
                  <c:v>27989</c:v>
                </c:pt>
              </c:numCache>
            </c:numRef>
          </c:xVal>
          <c:yVal>
            <c:numRef>
              <c:f>'15N'!$J$2:$J$125</c:f>
              <c:numCache>
                <c:formatCode>General</c:formatCode>
                <c:ptCount val="124"/>
                <c:pt idx="0">
                  <c:v>27</c:v>
                </c:pt>
                <c:pt idx="1">
                  <c:v>26.7</c:v>
                </c:pt>
                <c:pt idx="2">
                  <c:v>26.8</c:v>
                </c:pt>
                <c:pt idx="3">
                  <c:v>11.5</c:v>
                </c:pt>
                <c:pt idx="4">
                  <c:v>13.6</c:v>
                </c:pt>
                <c:pt idx="5">
                  <c:v>27.1</c:v>
                </c:pt>
                <c:pt idx="6">
                  <c:v>27.3</c:v>
                </c:pt>
                <c:pt idx="7">
                  <c:v>28.4</c:v>
                </c:pt>
                <c:pt idx="8">
                  <c:v>27.6</c:v>
                </c:pt>
                <c:pt idx="9">
                  <c:v>29</c:v>
                </c:pt>
                <c:pt idx="10">
                  <c:v>29.2</c:v>
                </c:pt>
                <c:pt idx="11">
                  <c:v>29.1</c:v>
                </c:pt>
                <c:pt idx="12">
                  <c:v>29.3</c:v>
                </c:pt>
                <c:pt idx="13">
                  <c:v>12.2</c:v>
                </c:pt>
                <c:pt idx="14">
                  <c:v>28.9</c:v>
                </c:pt>
                <c:pt idx="15">
                  <c:v>29.2</c:v>
                </c:pt>
                <c:pt idx="16">
                  <c:v>29.3</c:v>
                </c:pt>
                <c:pt idx="17">
                  <c:v>29.3</c:v>
                </c:pt>
                <c:pt idx="18">
                  <c:v>29.4</c:v>
                </c:pt>
                <c:pt idx="19">
                  <c:v>29.5</c:v>
                </c:pt>
                <c:pt idx="20">
                  <c:v>28.2</c:v>
                </c:pt>
                <c:pt idx="21">
                  <c:v>28</c:v>
                </c:pt>
                <c:pt idx="22">
                  <c:v>29.3</c:v>
                </c:pt>
                <c:pt idx="23">
                  <c:v>28.3</c:v>
                </c:pt>
                <c:pt idx="24">
                  <c:v>12.6</c:v>
                </c:pt>
                <c:pt idx="25">
                  <c:v>29.5</c:v>
                </c:pt>
                <c:pt idx="26">
                  <c:v>30.2</c:v>
                </c:pt>
                <c:pt idx="27">
                  <c:v>28.5</c:v>
                </c:pt>
                <c:pt idx="28">
                  <c:v>29.8</c:v>
                </c:pt>
                <c:pt idx="29">
                  <c:v>29.6</c:v>
                </c:pt>
                <c:pt idx="30">
                  <c:v>12.7</c:v>
                </c:pt>
                <c:pt idx="31">
                  <c:v>29.6</c:v>
                </c:pt>
                <c:pt idx="32">
                  <c:v>14.2</c:v>
                </c:pt>
                <c:pt idx="33">
                  <c:v>28</c:v>
                </c:pt>
                <c:pt idx="34">
                  <c:v>12.2</c:v>
                </c:pt>
                <c:pt idx="35">
                  <c:v>28.2</c:v>
                </c:pt>
                <c:pt idx="36">
                  <c:v>27.6</c:v>
                </c:pt>
                <c:pt idx="37">
                  <c:v>12.3</c:v>
                </c:pt>
                <c:pt idx="38">
                  <c:v>27.6</c:v>
                </c:pt>
                <c:pt idx="39">
                  <c:v>12.1</c:v>
                </c:pt>
                <c:pt idx="40">
                  <c:v>12.5</c:v>
                </c:pt>
              </c:numCache>
            </c:numRef>
          </c:yVal>
          <c:smooth val="0"/>
          <c:extLst>
            <c:ext xmlns:c16="http://schemas.microsoft.com/office/drawing/2014/chart" uri="{C3380CC4-5D6E-409C-BE32-E72D297353CC}">
              <c16:uniqueId val="{00000001-D94E-4FE2-8545-EF0A5F045A53}"/>
            </c:ext>
          </c:extLst>
        </c:ser>
        <c:ser>
          <c:idx val="2"/>
          <c:order val="1"/>
          <c:tx>
            <c:strRef>
              <c:f>'15N'!$K$1</c:f>
              <c:strCache>
                <c:ptCount val="1"/>
                <c:pt idx="0">
                  <c:v>BGD 29</c:v>
                </c:pt>
              </c:strCache>
            </c:strRef>
          </c:tx>
          <c:spPr>
            <a:ln w="25400" cap="rnd">
              <a:noFill/>
              <a:round/>
            </a:ln>
            <a:effectLst/>
          </c:spPr>
          <c:marker>
            <c:symbol val="circle"/>
            <c:size val="7"/>
            <c:spPr>
              <a:noFill/>
              <a:ln w="9525">
                <a:solidFill>
                  <a:srgbClr val="FF0000"/>
                </a:solidFill>
              </a:ln>
              <a:effectLst/>
            </c:spPr>
          </c:marker>
          <c:xVal>
            <c:numRef>
              <c:f>'15N'!$B$2:$B$125</c:f>
              <c:numCache>
                <c:formatCode>General</c:formatCode>
                <c:ptCount val="124"/>
                <c:pt idx="0">
                  <c:v>27934</c:v>
                </c:pt>
                <c:pt idx="1">
                  <c:v>27935</c:v>
                </c:pt>
                <c:pt idx="2">
                  <c:v>27936</c:v>
                </c:pt>
                <c:pt idx="3">
                  <c:v>27938</c:v>
                </c:pt>
                <c:pt idx="4">
                  <c:v>27939</c:v>
                </c:pt>
                <c:pt idx="5">
                  <c:v>27941</c:v>
                </c:pt>
                <c:pt idx="6">
                  <c:v>27942</c:v>
                </c:pt>
                <c:pt idx="7">
                  <c:v>27943</c:v>
                </c:pt>
                <c:pt idx="8">
                  <c:v>27944</c:v>
                </c:pt>
                <c:pt idx="9">
                  <c:v>27945</c:v>
                </c:pt>
                <c:pt idx="10">
                  <c:v>27946</c:v>
                </c:pt>
                <c:pt idx="11">
                  <c:v>27947</c:v>
                </c:pt>
                <c:pt idx="12">
                  <c:v>27948</c:v>
                </c:pt>
                <c:pt idx="13">
                  <c:v>27949</c:v>
                </c:pt>
                <c:pt idx="14">
                  <c:v>27950</c:v>
                </c:pt>
                <c:pt idx="15">
                  <c:v>27951</c:v>
                </c:pt>
                <c:pt idx="16">
                  <c:v>27952</c:v>
                </c:pt>
                <c:pt idx="17">
                  <c:v>27953</c:v>
                </c:pt>
                <c:pt idx="18">
                  <c:v>27954</c:v>
                </c:pt>
                <c:pt idx="19">
                  <c:v>27955</c:v>
                </c:pt>
                <c:pt idx="20">
                  <c:v>27956</c:v>
                </c:pt>
                <c:pt idx="21">
                  <c:v>27957</c:v>
                </c:pt>
                <c:pt idx="22">
                  <c:v>27958</c:v>
                </c:pt>
                <c:pt idx="23">
                  <c:v>27959</c:v>
                </c:pt>
                <c:pt idx="24">
                  <c:v>27960</c:v>
                </c:pt>
                <c:pt idx="25">
                  <c:v>27961</c:v>
                </c:pt>
                <c:pt idx="26">
                  <c:v>27962</c:v>
                </c:pt>
                <c:pt idx="27">
                  <c:v>27963</c:v>
                </c:pt>
                <c:pt idx="28">
                  <c:v>27964</c:v>
                </c:pt>
                <c:pt idx="29">
                  <c:v>27965</c:v>
                </c:pt>
                <c:pt idx="30">
                  <c:v>27966</c:v>
                </c:pt>
                <c:pt idx="31">
                  <c:v>27967</c:v>
                </c:pt>
                <c:pt idx="32">
                  <c:v>27968</c:v>
                </c:pt>
                <c:pt idx="33">
                  <c:v>27970</c:v>
                </c:pt>
                <c:pt idx="34">
                  <c:v>27976</c:v>
                </c:pt>
                <c:pt idx="35">
                  <c:v>27978</c:v>
                </c:pt>
                <c:pt idx="36">
                  <c:v>27984</c:v>
                </c:pt>
                <c:pt idx="37">
                  <c:v>27985</c:v>
                </c:pt>
                <c:pt idx="38">
                  <c:v>27987</c:v>
                </c:pt>
                <c:pt idx="39">
                  <c:v>27988</c:v>
                </c:pt>
                <c:pt idx="40">
                  <c:v>27989</c:v>
                </c:pt>
              </c:numCache>
            </c:numRef>
          </c:xVal>
          <c:yVal>
            <c:numRef>
              <c:f>'15N'!$K$2:$K$125</c:f>
              <c:numCache>
                <c:formatCode>General</c:formatCode>
                <c:ptCount val="124"/>
                <c:pt idx="0">
                  <c:v>22</c:v>
                </c:pt>
                <c:pt idx="1">
                  <c:v>21.8</c:v>
                </c:pt>
                <c:pt idx="2">
                  <c:v>21.9</c:v>
                </c:pt>
                <c:pt idx="3">
                  <c:v>10.4</c:v>
                </c:pt>
                <c:pt idx="4">
                  <c:v>12.1</c:v>
                </c:pt>
                <c:pt idx="5">
                  <c:v>22.1</c:v>
                </c:pt>
                <c:pt idx="6">
                  <c:v>22.3</c:v>
                </c:pt>
                <c:pt idx="7">
                  <c:v>23.1</c:v>
                </c:pt>
                <c:pt idx="8">
                  <c:v>22.5</c:v>
                </c:pt>
                <c:pt idx="9">
                  <c:v>23.7</c:v>
                </c:pt>
                <c:pt idx="10">
                  <c:v>23.9</c:v>
                </c:pt>
                <c:pt idx="11">
                  <c:v>23.8</c:v>
                </c:pt>
                <c:pt idx="12">
                  <c:v>23.9</c:v>
                </c:pt>
                <c:pt idx="13">
                  <c:v>11.1</c:v>
                </c:pt>
                <c:pt idx="14">
                  <c:v>23.6</c:v>
                </c:pt>
                <c:pt idx="15">
                  <c:v>23.7</c:v>
                </c:pt>
                <c:pt idx="16">
                  <c:v>23.9</c:v>
                </c:pt>
                <c:pt idx="17">
                  <c:v>23.8</c:v>
                </c:pt>
                <c:pt idx="18">
                  <c:v>24</c:v>
                </c:pt>
                <c:pt idx="19">
                  <c:v>24.1</c:v>
                </c:pt>
                <c:pt idx="20">
                  <c:v>23</c:v>
                </c:pt>
                <c:pt idx="21">
                  <c:v>22.9</c:v>
                </c:pt>
                <c:pt idx="22">
                  <c:v>23.9</c:v>
                </c:pt>
                <c:pt idx="23">
                  <c:v>23</c:v>
                </c:pt>
                <c:pt idx="24">
                  <c:v>11.4</c:v>
                </c:pt>
                <c:pt idx="25">
                  <c:v>24</c:v>
                </c:pt>
                <c:pt idx="26">
                  <c:v>24.7</c:v>
                </c:pt>
                <c:pt idx="27">
                  <c:v>23.3</c:v>
                </c:pt>
                <c:pt idx="28">
                  <c:v>24.5</c:v>
                </c:pt>
                <c:pt idx="29">
                  <c:v>24.1</c:v>
                </c:pt>
                <c:pt idx="30">
                  <c:v>11.5</c:v>
                </c:pt>
                <c:pt idx="31">
                  <c:v>24.1</c:v>
                </c:pt>
                <c:pt idx="32">
                  <c:v>12.6</c:v>
                </c:pt>
                <c:pt idx="33">
                  <c:v>22.8</c:v>
                </c:pt>
                <c:pt idx="34">
                  <c:v>10.9</c:v>
                </c:pt>
                <c:pt idx="35">
                  <c:v>22.8</c:v>
                </c:pt>
                <c:pt idx="36">
                  <c:v>22.4</c:v>
                </c:pt>
                <c:pt idx="37">
                  <c:v>11.1</c:v>
                </c:pt>
                <c:pt idx="38">
                  <c:v>22.4</c:v>
                </c:pt>
                <c:pt idx="39">
                  <c:v>10.9</c:v>
                </c:pt>
                <c:pt idx="40">
                  <c:v>11.3</c:v>
                </c:pt>
              </c:numCache>
            </c:numRef>
          </c:yVal>
          <c:smooth val="0"/>
          <c:extLst>
            <c:ext xmlns:c16="http://schemas.microsoft.com/office/drawing/2014/chart" uri="{C3380CC4-5D6E-409C-BE32-E72D297353CC}">
              <c16:uniqueId val="{00000000-D94E-4FE2-8545-EF0A5F045A53}"/>
            </c:ext>
          </c:extLst>
        </c:ser>
        <c:dLbls>
          <c:showLegendKey val="0"/>
          <c:showVal val="0"/>
          <c:showCatName val="0"/>
          <c:showSerName val="0"/>
          <c:showPercent val="0"/>
          <c:showBubbleSize val="0"/>
        </c:dLbls>
        <c:axId val="165497728"/>
        <c:axId val="168246736"/>
      </c:scatterChart>
      <c:valAx>
        <c:axId val="16549772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Analysis Number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68246736"/>
        <c:crosses val="autoZero"/>
        <c:crossBetween val="midCat"/>
      </c:valAx>
      <c:valAx>
        <c:axId val="1682467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BGD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654977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H"/>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hr-HR"/>
              <a:t>13C drift</a:t>
            </a:r>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CH"/>
        </a:p>
      </c:txPr>
    </c:title>
    <c:autoTitleDeleted val="0"/>
    <c:plotArea>
      <c:layout/>
      <c:scatterChart>
        <c:scatterStyle val="lineMarker"/>
        <c:varyColors val="0"/>
        <c:ser>
          <c:idx val="0"/>
          <c:order val="0"/>
          <c:tx>
            <c:strRef>
              <c:f>'13C'!$AF$1</c:f>
              <c:strCache>
                <c:ptCount val="1"/>
                <c:pt idx="0">
                  <c:v>d 13C/12C</c:v>
                </c:pt>
              </c:strCache>
            </c:strRef>
          </c:tx>
          <c:spPr>
            <a:ln w="317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4.4786198600174999E-2"/>
                  <c:y val="-0.40371254374453203"/>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CH"/>
                </a:p>
              </c:txPr>
            </c:trendlineLbl>
          </c:trendline>
          <c:xVal>
            <c:numRef>
              <c:f>'13C'!$AD$2:$AD$18</c:f>
              <c:numCache>
                <c:formatCode>General</c:formatCode>
                <c:ptCount val="17"/>
                <c:pt idx="0">
                  <c:v>27938</c:v>
                </c:pt>
                <c:pt idx="1">
                  <c:v>27949</c:v>
                </c:pt>
                <c:pt idx="2">
                  <c:v>27960</c:v>
                </c:pt>
                <c:pt idx="3">
                  <c:v>27966</c:v>
                </c:pt>
                <c:pt idx="4">
                  <c:v>27976</c:v>
                </c:pt>
                <c:pt idx="5">
                  <c:v>27988</c:v>
                </c:pt>
                <c:pt idx="6">
                  <c:v>27989</c:v>
                </c:pt>
              </c:numCache>
            </c:numRef>
          </c:xVal>
          <c:yVal>
            <c:numRef>
              <c:f>'13C'!$AF$2:$AF$18</c:f>
              <c:numCache>
                <c:formatCode>General</c:formatCode>
                <c:ptCount val="17"/>
                <c:pt idx="0">
                  <c:v>-31.888000000000002</c:v>
                </c:pt>
                <c:pt idx="1">
                  <c:v>-31.847999999999999</c:v>
                </c:pt>
                <c:pt idx="2">
                  <c:v>-31.835999999999999</c:v>
                </c:pt>
                <c:pt idx="3">
                  <c:v>-31.844999999999999</c:v>
                </c:pt>
                <c:pt idx="4">
                  <c:v>-31.81</c:v>
                </c:pt>
                <c:pt idx="5">
                  <c:v>-31.834</c:v>
                </c:pt>
                <c:pt idx="6">
                  <c:v>-31.855</c:v>
                </c:pt>
              </c:numCache>
            </c:numRef>
          </c:yVal>
          <c:smooth val="0"/>
          <c:extLst>
            <c:ext xmlns:c16="http://schemas.microsoft.com/office/drawing/2014/chart" uri="{C3380CC4-5D6E-409C-BE32-E72D297353CC}">
              <c16:uniqueId val="{00000001-5C80-9C4E-B0D3-929ED80DC50B}"/>
            </c:ext>
          </c:extLst>
        </c:ser>
        <c:dLbls>
          <c:showLegendKey val="0"/>
          <c:showVal val="0"/>
          <c:showCatName val="0"/>
          <c:showSerName val="0"/>
          <c:showPercent val="0"/>
          <c:showBubbleSize val="0"/>
        </c:dLbls>
        <c:axId val="122149352"/>
        <c:axId val="122153272"/>
      </c:scatterChart>
      <c:valAx>
        <c:axId val="1221493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Analysis #</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CH"/>
          </a:p>
        </c:txPr>
        <c:crossAx val="122153272"/>
        <c:crosses val="autoZero"/>
        <c:crossBetween val="midCat"/>
      </c:valAx>
      <c:valAx>
        <c:axId val="1221532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d13C</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CH"/>
          </a:p>
        </c:txPr>
        <c:crossAx val="12214935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CH"/>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CH"/>
        </a:p>
      </c:txPr>
    </c:title>
    <c:autoTitleDeleted val="0"/>
    <c:plotArea>
      <c:layout/>
      <c:scatterChart>
        <c:scatterStyle val="lineMarker"/>
        <c:varyColors val="0"/>
        <c:ser>
          <c:idx val="0"/>
          <c:order val="0"/>
          <c:spPr>
            <a:ln w="317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trendlineLbl>
          </c:trendline>
          <c:xVal>
            <c:numRef>
              <c:f>'13C'!$AQ$2:$AQ$5</c:f>
              <c:numCache>
                <c:formatCode>0.00</c:formatCode>
                <c:ptCount val="4"/>
                <c:pt idx="0">
                  <c:v>-60.718290577938333</c:v>
                </c:pt>
                <c:pt idx="1">
                  <c:v>-31.226994980049291</c:v>
                </c:pt>
                <c:pt idx="2">
                  <c:v>-60.855718239156005</c:v>
                </c:pt>
                <c:pt idx="3">
                  <c:v>-31.114422641266952</c:v>
                </c:pt>
              </c:numCache>
            </c:numRef>
          </c:xVal>
          <c:yVal>
            <c:numRef>
              <c:f>'13C'!$AR$2:$AR$5</c:f>
              <c:numCache>
                <c:formatCode>0.00</c:formatCode>
                <c:ptCount val="4"/>
                <c:pt idx="0">
                  <c:v>-41.61</c:v>
                </c:pt>
                <c:pt idx="1">
                  <c:v>-11.38</c:v>
                </c:pt>
                <c:pt idx="2">
                  <c:v>-41.61</c:v>
                </c:pt>
                <c:pt idx="3">
                  <c:v>-11.38</c:v>
                </c:pt>
              </c:numCache>
            </c:numRef>
          </c:yVal>
          <c:smooth val="0"/>
          <c:extLst>
            <c:ext xmlns:c16="http://schemas.microsoft.com/office/drawing/2014/chart" uri="{C3380CC4-5D6E-409C-BE32-E72D297353CC}">
              <c16:uniqueId val="{00000001-BE46-C349-BCC0-84B158530378}"/>
            </c:ext>
          </c:extLst>
        </c:ser>
        <c:dLbls>
          <c:showLegendKey val="0"/>
          <c:showVal val="0"/>
          <c:showCatName val="0"/>
          <c:showSerName val="0"/>
          <c:showPercent val="0"/>
          <c:showBubbleSize val="0"/>
        </c:dLbls>
        <c:axId val="168470384"/>
        <c:axId val="168470776"/>
      </c:scatterChart>
      <c:valAx>
        <c:axId val="16847038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68470776"/>
        <c:crosses val="autoZero"/>
        <c:crossBetween val="midCat"/>
      </c:valAx>
      <c:valAx>
        <c:axId val="168470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6847038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H"/>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2"/>
          <c:order val="0"/>
          <c:tx>
            <c:strRef>
              <c:f>'13C'!$Z$1</c:f>
              <c:strCache>
                <c:ptCount val="1"/>
                <c:pt idx="0">
                  <c:v>δ13C (‰ VPDB)</c:v>
                </c:pt>
              </c:strCache>
            </c:strRef>
          </c:tx>
          <c:spPr>
            <a:ln w="25400" cap="rnd">
              <a:noFill/>
              <a:round/>
            </a:ln>
            <a:effectLst/>
          </c:spPr>
          <c:marker>
            <c:symbol val="circle"/>
            <c:size val="7"/>
            <c:spPr>
              <a:noFill/>
              <a:ln w="9525">
                <a:solidFill>
                  <a:srgbClr val="FF0000"/>
                </a:solidFill>
              </a:ln>
              <a:effectLst/>
            </c:spPr>
          </c:marker>
          <c:xVal>
            <c:numRef>
              <c:f>'13C'!$B$2:$B$125</c:f>
              <c:numCache>
                <c:formatCode>General</c:formatCode>
                <c:ptCount val="124"/>
                <c:pt idx="0">
                  <c:v>27934</c:v>
                </c:pt>
                <c:pt idx="1">
                  <c:v>27935</c:v>
                </c:pt>
                <c:pt idx="2">
                  <c:v>27936</c:v>
                </c:pt>
                <c:pt idx="3">
                  <c:v>27938</c:v>
                </c:pt>
                <c:pt idx="4">
                  <c:v>27939</c:v>
                </c:pt>
                <c:pt idx="5">
                  <c:v>27940</c:v>
                </c:pt>
                <c:pt idx="6">
                  <c:v>27941</c:v>
                </c:pt>
                <c:pt idx="7">
                  <c:v>27942</c:v>
                </c:pt>
                <c:pt idx="8">
                  <c:v>27943</c:v>
                </c:pt>
                <c:pt idx="9">
                  <c:v>27944</c:v>
                </c:pt>
                <c:pt idx="10">
                  <c:v>27945</c:v>
                </c:pt>
                <c:pt idx="11">
                  <c:v>27946</c:v>
                </c:pt>
                <c:pt idx="12">
                  <c:v>27947</c:v>
                </c:pt>
                <c:pt idx="13">
                  <c:v>27948</c:v>
                </c:pt>
                <c:pt idx="14">
                  <c:v>27949</c:v>
                </c:pt>
                <c:pt idx="15">
                  <c:v>27950</c:v>
                </c:pt>
                <c:pt idx="16">
                  <c:v>27951</c:v>
                </c:pt>
                <c:pt idx="17">
                  <c:v>27952</c:v>
                </c:pt>
                <c:pt idx="18">
                  <c:v>27953</c:v>
                </c:pt>
                <c:pt idx="19">
                  <c:v>27954</c:v>
                </c:pt>
                <c:pt idx="20">
                  <c:v>27955</c:v>
                </c:pt>
                <c:pt idx="21">
                  <c:v>27956</c:v>
                </c:pt>
                <c:pt idx="22">
                  <c:v>27957</c:v>
                </c:pt>
                <c:pt idx="23">
                  <c:v>27958</c:v>
                </c:pt>
                <c:pt idx="24">
                  <c:v>27959</c:v>
                </c:pt>
                <c:pt idx="25">
                  <c:v>27960</c:v>
                </c:pt>
                <c:pt idx="26">
                  <c:v>27961</c:v>
                </c:pt>
                <c:pt idx="27">
                  <c:v>27962</c:v>
                </c:pt>
                <c:pt idx="28">
                  <c:v>27963</c:v>
                </c:pt>
                <c:pt idx="29">
                  <c:v>27964</c:v>
                </c:pt>
                <c:pt idx="30">
                  <c:v>27965</c:v>
                </c:pt>
                <c:pt idx="31">
                  <c:v>27966</c:v>
                </c:pt>
                <c:pt idx="32">
                  <c:v>27967</c:v>
                </c:pt>
                <c:pt idx="33">
                  <c:v>27968</c:v>
                </c:pt>
                <c:pt idx="34">
                  <c:v>27969</c:v>
                </c:pt>
                <c:pt idx="35">
                  <c:v>27970</c:v>
                </c:pt>
                <c:pt idx="36">
                  <c:v>27971</c:v>
                </c:pt>
                <c:pt idx="37">
                  <c:v>27972</c:v>
                </c:pt>
                <c:pt idx="38">
                  <c:v>27973</c:v>
                </c:pt>
                <c:pt idx="39">
                  <c:v>27974</c:v>
                </c:pt>
                <c:pt idx="40">
                  <c:v>27975</c:v>
                </c:pt>
                <c:pt idx="41">
                  <c:v>27976</c:v>
                </c:pt>
                <c:pt idx="42">
                  <c:v>27977</c:v>
                </c:pt>
                <c:pt idx="43">
                  <c:v>27978</c:v>
                </c:pt>
                <c:pt idx="44">
                  <c:v>27979</c:v>
                </c:pt>
                <c:pt idx="45">
                  <c:v>27980</c:v>
                </c:pt>
                <c:pt idx="46">
                  <c:v>27981</c:v>
                </c:pt>
                <c:pt idx="47">
                  <c:v>27982</c:v>
                </c:pt>
                <c:pt idx="48">
                  <c:v>27983</c:v>
                </c:pt>
                <c:pt idx="49">
                  <c:v>27984</c:v>
                </c:pt>
                <c:pt idx="50">
                  <c:v>27985</c:v>
                </c:pt>
                <c:pt idx="51">
                  <c:v>27986</c:v>
                </c:pt>
                <c:pt idx="52">
                  <c:v>27987</c:v>
                </c:pt>
                <c:pt idx="53">
                  <c:v>27988</c:v>
                </c:pt>
                <c:pt idx="54">
                  <c:v>27989</c:v>
                </c:pt>
              </c:numCache>
            </c:numRef>
          </c:xVal>
          <c:yVal>
            <c:numRef>
              <c:f>'13C'!$Z$2:$Z$125</c:f>
              <c:numCache>
                <c:formatCode>0.00</c:formatCode>
                <c:ptCount val="124"/>
                <c:pt idx="0">
                  <c:v>-29.276040739786026</c:v>
                </c:pt>
                <c:pt idx="1">
                  <c:v>-29.342959781863669</c:v>
                </c:pt>
                <c:pt idx="2">
                  <c:v>-29.250994945088109</c:v>
                </c:pt>
                <c:pt idx="3">
                  <c:v>-32.17652057196301</c:v>
                </c:pt>
                <c:pt idx="4">
                  <c:v>-41.496666036958459</c:v>
                </c:pt>
                <c:pt idx="5">
                  <c:v>-11.4605176087058</c:v>
                </c:pt>
                <c:pt idx="6">
                  <c:v>-29.281062707121009</c:v>
                </c:pt>
                <c:pt idx="7">
                  <c:v>-30.871642271064275</c:v>
                </c:pt>
                <c:pt idx="8">
                  <c:v>-24.043458133952413</c:v>
                </c:pt>
                <c:pt idx="9">
                  <c:v>-24.451561968088527</c:v>
                </c:pt>
                <c:pt idx="10">
                  <c:v>-24.315804852481506</c:v>
                </c:pt>
                <c:pt idx="11">
                  <c:v>-24.564009703693728</c:v>
                </c:pt>
                <c:pt idx="12">
                  <c:v>-25.652452568471745</c:v>
                </c:pt>
                <c:pt idx="13">
                  <c:v>-24.004269642228564</c:v>
                </c:pt>
                <c:pt idx="14">
                  <c:v>-32.143672408620546</c:v>
                </c:pt>
                <c:pt idx="15">
                  <c:v>-24.896862981250365</c:v>
                </c:pt>
                <c:pt idx="16">
                  <c:v>-24.929152923700826</c:v>
                </c:pt>
                <c:pt idx="17">
                  <c:v>-24.878946900039409</c:v>
                </c:pt>
                <c:pt idx="18">
                  <c:v>-25.693422035287313</c:v>
                </c:pt>
                <c:pt idx="19">
                  <c:v>-25.694139449030445</c:v>
                </c:pt>
                <c:pt idx="20">
                  <c:v>-24.255760179794606</c:v>
                </c:pt>
                <c:pt idx="21">
                  <c:v>-25.42669784075531</c:v>
                </c:pt>
                <c:pt idx="22">
                  <c:v>-25.520096114375065</c:v>
                </c:pt>
                <c:pt idx="23">
                  <c:v>-23.959502016526699</c:v>
                </c:pt>
                <c:pt idx="24">
                  <c:v>-24.496950999488377</c:v>
                </c:pt>
                <c:pt idx="25">
                  <c:v>-32.139342186900876</c:v>
                </c:pt>
                <c:pt idx="26">
                  <c:v>-24.649118991562432</c:v>
                </c:pt>
                <c:pt idx="27">
                  <c:v>-24.613171568510666</c:v>
                </c:pt>
                <c:pt idx="28">
                  <c:v>-24.321588965262208</c:v>
                </c:pt>
                <c:pt idx="29">
                  <c:v>-24.643123482559872</c:v>
                </c:pt>
                <c:pt idx="30">
                  <c:v>-26.731708200642743</c:v>
                </c:pt>
                <c:pt idx="31">
                  <c:v>-32.152813259728873</c:v>
                </c:pt>
                <c:pt idx="32">
                  <c:v>-30.853930737057226</c:v>
                </c:pt>
                <c:pt idx="33">
                  <c:v>-41.636641024195342</c:v>
                </c:pt>
                <c:pt idx="34">
                  <c:v>-11.345872320878129</c:v>
                </c:pt>
                <c:pt idx="35">
                  <c:v>-29.287609192210198</c:v>
                </c:pt>
                <c:pt idx="36">
                  <c:v>-31.13688608673101</c:v>
                </c:pt>
                <c:pt idx="37">
                  <c:v>-29.419410326420575</c:v>
                </c:pt>
                <c:pt idx="38">
                  <c:v>-30.728886771961925</c:v>
                </c:pt>
                <c:pt idx="39">
                  <c:v>-28.983914680608109</c:v>
                </c:pt>
                <c:pt idx="40">
                  <c:v>-29.110924290653656</c:v>
                </c:pt>
                <c:pt idx="41">
                  <c:v>-32.124340156252742</c:v>
                </c:pt>
                <c:pt idx="42">
                  <c:v>-28.993196345840488</c:v>
                </c:pt>
                <c:pt idx="43">
                  <c:v>-29.477694683300115</c:v>
                </c:pt>
                <c:pt idx="44">
                  <c:v>-26.256957875770809</c:v>
                </c:pt>
                <c:pt idx="45">
                  <c:v>-26.91866587806544</c:v>
                </c:pt>
                <c:pt idx="46">
                  <c:v>-31.004526764384764</c:v>
                </c:pt>
                <c:pt idx="47">
                  <c:v>-27.727754116655547</c:v>
                </c:pt>
                <c:pt idx="48">
                  <c:v>-28.607421362470859</c:v>
                </c:pt>
                <c:pt idx="49">
                  <c:v>-30.879367425053829</c:v>
                </c:pt>
                <c:pt idx="50">
                  <c:v>-41.695690490889774</c:v>
                </c:pt>
                <c:pt idx="51">
                  <c:v>-11.334644138071326</c:v>
                </c:pt>
                <c:pt idx="52">
                  <c:v>-29.26008443311332</c:v>
                </c:pt>
                <c:pt idx="53">
                  <c:v>-32.157393288312164</c:v>
                </c:pt>
                <c:pt idx="54">
                  <c:v>-32.179499177093589</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numCache>
            </c:numRef>
          </c:yVal>
          <c:smooth val="0"/>
          <c:extLst>
            <c:ext xmlns:c16="http://schemas.microsoft.com/office/drawing/2014/chart" uri="{C3380CC4-5D6E-409C-BE32-E72D297353CC}">
              <c16:uniqueId val="{00000000-35E7-EC48-A860-6E7CEB490DA8}"/>
            </c:ext>
          </c:extLst>
        </c:ser>
        <c:ser>
          <c:idx val="1"/>
          <c:order val="1"/>
          <c:tx>
            <c:strRef>
              <c:f>'13C'!$Y$1</c:f>
              <c:strCache>
                <c:ptCount val="1"/>
                <c:pt idx="0">
                  <c:v>Initial Corrected δ13C (‰ VPDB)</c:v>
                </c:pt>
              </c:strCache>
            </c:strRef>
          </c:tx>
          <c:spPr>
            <a:ln w="25400" cap="rnd">
              <a:noFill/>
              <a:round/>
            </a:ln>
            <a:effectLst/>
          </c:spPr>
          <c:marker>
            <c:symbol val="circle"/>
            <c:size val="5"/>
            <c:spPr>
              <a:noFill/>
              <a:ln w="9525">
                <a:solidFill>
                  <a:srgbClr val="00B0F0"/>
                </a:solidFill>
              </a:ln>
              <a:effectLst/>
            </c:spPr>
          </c:marker>
          <c:xVal>
            <c:numRef>
              <c:f>'13C'!$B$2:$B$125</c:f>
              <c:numCache>
                <c:formatCode>General</c:formatCode>
                <c:ptCount val="124"/>
                <c:pt idx="0">
                  <c:v>27934</c:v>
                </c:pt>
                <c:pt idx="1">
                  <c:v>27935</c:v>
                </c:pt>
                <c:pt idx="2">
                  <c:v>27936</c:v>
                </c:pt>
                <c:pt idx="3">
                  <c:v>27938</c:v>
                </c:pt>
                <c:pt idx="4">
                  <c:v>27939</c:v>
                </c:pt>
                <c:pt idx="5">
                  <c:v>27940</c:v>
                </c:pt>
                <c:pt idx="6">
                  <c:v>27941</c:v>
                </c:pt>
                <c:pt idx="7">
                  <c:v>27942</c:v>
                </c:pt>
                <c:pt idx="8">
                  <c:v>27943</c:v>
                </c:pt>
                <c:pt idx="9">
                  <c:v>27944</c:v>
                </c:pt>
                <c:pt idx="10">
                  <c:v>27945</c:v>
                </c:pt>
                <c:pt idx="11">
                  <c:v>27946</c:v>
                </c:pt>
                <c:pt idx="12">
                  <c:v>27947</c:v>
                </c:pt>
                <c:pt idx="13">
                  <c:v>27948</c:v>
                </c:pt>
                <c:pt idx="14">
                  <c:v>27949</c:v>
                </c:pt>
                <c:pt idx="15">
                  <c:v>27950</c:v>
                </c:pt>
                <c:pt idx="16">
                  <c:v>27951</c:v>
                </c:pt>
                <c:pt idx="17">
                  <c:v>27952</c:v>
                </c:pt>
                <c:pt idx="18">
                  <c:v>27953</c:v>
                </c:pt>
                <c:pt idx="19">
                  <c:v>27954</c:v>
                </c:pt>
                <c:pt idx="20">
                  <c:v>27955</c:v>
                </c:pt>
                <c:pt idx="21">
                  <c:v>27956</c:v>
                </c:pt>
                <c:pt idx="22">
                  <c:v>27957</c:v>
                </c:pt>
                <c:pt idx="23">
                  <c:v>27958</c:v>
                </c:pt>
                <c:pt idx="24">
                  <c:v>27959</c:v>
                </c:pt>
                <c:pt idx="25">
                  <c:v>27960</c:v>
                </c:pt>
                <c:pt idx="26">
                  <c:v>27961</c:v>
                </c:pt>
                <c:pt idx="27">
                  <c:v>27962</c:v>
                </c:pt>
                <c:pt idx="28">
                  <c:v>27963</c:v>
                </c:pt>
                <c:pt idx="29">
                  <c:v>27964</c:v>
                </c:pt>
                <c:pt idx="30">
                  <c:v>27965</c:v>
                </c:pt>
                <c:pt idx="31">
                  <c:v>27966</c:v>
                </c:pt>
                <c:pt idx="32">
                  <c:v>27967</c:v>
                </c:pt>
                <c:pt idx="33">
                  <c:v>27968</c:v>
                </c:pt>
                <c:pt idx="34">
                  <c:v>27969</c:v>
                </c:pt>
                <c:pt idx="35">
                  <c:v>27970</c:v>
                </c:pt>
                <c:pt idx="36">
                  <c:v>27971</c:v>
                </c:pt>
                <c:pt idx="37">
                  <c:v>27972</c:v>
                </c:pt>
                <c:pt idx="38">
                  <c:v>27973</c:v>
                </c:pt>
                <c:pt idx="39">
                  <c:v>27974</c:v>
                </c:pt>
                <c:pt idx="40">
                  <c:v>27975</c:v>
                </c:pt>
                <c:pt idx="41">
                  <c:v>27976</c:v>
                </c:pt>
                <c:pt idx="42">
                  <c:v>27977</c:v>
                </c:pt>
                <c:pt idx="43">
                  <c:v>27978</c:v>
                </c:pt>
                <c:pt idx="44">
                  <c:v>27979</c:v>
                </c:pt>
                <c:pt idx="45">
                  <c:v>27980</c:v>
                </c:pt>
                <c:pt idx="46">
                  <c:v>27981</c:v>
                </c:pt>
                <c:pt idx="47">
                  <c:v>27982</c:v>
                </c:pt>
                <c:pt idx="48">
                  <c:v>27983</c:v>
                </c:pt>
                <c:pt idx="49">
                  <c:v>27984</c:v>
                </c:pt>
                <c:pt idx="50">
                  <c:v>27985</c:v>
                </c:pt>
                <c:pt idx="51">
                  <c:v>27986</c:v>
                </c:pt>
                <c:pt idx="52">
                  <c:v>27987</c:v>
                </c:pt>
                <c:pt idx="53">
                  <c:v>27988</c:v>
                </c:pt>
                <c:pt idx="54">
                  <c:v>27989</c:v>
                </c:pt>
              </c:numCache>
            </c:numRef>
          </c:xVal>
          <c:yVal>
            <c:numRef>
              <c:f>'13C'!$Y$2:$Y$125</c:f>
              <c:numCache>
                <c:formatCode>0.00</c:formatCode>
                <c:ptCount val="124"/>
                <c:pt idx="0">
                  <c:v>-29.302447140718641</c:v>
                </c:pt>
                <c:pt idx="1">
                  <c:v>0.72920732428588053</c:v>
                </c:pt>
                <c:pt idx="2">
                  <c:v>0.70677841399856334</c:v>
                </c:pt>
                <c:pt idx="3">
                  <c:v>0.62216042291072426</c:v>
                </c:pt>
                <c:pt idx="4">
                  <c:v>0.68536901729464716</c:v>
                </c:pt>
                <c:pt idx="5">
                  <c:v>0.85154716821728016</c:v>
                </c:pt>
                <c:pt idx="6">
                  <c:v>0.71901236271730795</c:v>
                </c:pt>
                <c:pt idx="7">
                  <c:v>0.56302993848316873</c:v>
                </c:pt>
                <c:pt idx="8">
                  <c:v>0.69964194651390699</c:v>
                </c:pt>
                <c:pt idx="9">
                  <c:v>0.4824903524055344</c:v>
                </c:pt>
                <c:pt idx="10">
                  <c:v>0.45292524915203103</c:v>
                </c:pt>
                <c:pt idx="11">
                  <c:v>0.63643331817684157</c:v>
                </c:pt>
                <c:pt idx="12">
                  <c:v>0.69454447091266047</c:v>
                </c:pt>
                <c:pt idx="13">
                  <c:v>0.66192065022141833</c:v>
                </c:pt>
                <c:pt idx="14">
                  <c:v>0.62012143849858603</c:v>
                </c:pt>
                <c:pt idx="15">
                  <c:v>0.5650689185141573</c:v>
                </c:pt>
                <c:pt idx="16">
                  <c:v>0.6609011564702314</c:v>
                </c:pt>
                <c:pt idx="17">
                  <c:v>0.57424433059065905</c:v>
                </c:pt>
                <c:pt idx="18">
                  <c:v>0.4702565125868432</c:v>
                </c:pt>
                <c:pt idx="19">
                  <c:v>0.72920732428588053</c:v>
                </c:pt>
                <c:pt idx="20">
                  <c:v>0.66905710757487213</c:v>
                </c:pt>
                <c:pt idx="21">
                  <c:v>0.77202620558853141</c:v>
                </c:pt>
                <c:pt idx="22">
                  <c:v>0.44986679207238467</c:v>
                </c:pt>
                <c:pt idx="23">
                  <c:v>0.7730457036034295</c:v>
                </c:pt>
                <c:pt idx="24">
                  <c:v>0.42437966343197786</c:v>
                </c:pt>
                <c:pt idx="25">
                  <c:v>0.62419940747929559</c:v>
                </c:pt>
                <c:pt idx="26">
                  <c:v>0.42132120963822217</c:v>
                </c:pt>
                <c:pt idx="27">
                  <c:v>0.8372741574006568</c:v>
                </c:pt>
                <c:pt idx="28">
                  <c:v>0.42132120963822217</c:v>
                </c:pt>
                <c:pt idx="29">
                  <c:v>0.59361465537892855</c:v>
                </c:pt>
                <c:pt idx="30">
                  <c:v>0.68842750148178311</c:v>
                </c:pt>
                <c:pt idx="31">
                  <c:v>0.62317991517545579</c:v>
                </c:pt>
                <c:pt idx="32">
                  <c:v>0.55079606158199113</c:v>
                </c:pt>
                <c:pt idx="33">
                  <c:v>0.75367524800958563</c:v>
                </c:pt>
                <c:pt idx="34">
                  <c:v>0.79037717584139955</c:v>
                </c:pt>
                <c:pt idx="35">
                  <c:v>0.67415457828656145</c:v>
                </c:pt>
                <c:pt idx="36">
                  <c:v>0.78833817852080301</c:v>
                </c:pt>
                <c:pt idx="37">
                  <c:v>0.78426018434890921</c:v>
                </c:pt>
                <c:pt idx="38">
                  <c:v>0.7608117300064805</c:v>
                </c:pt>
                <c:pt idx="39">
                  <c:v>0.83217665539564223</c:v>
                </c:pt>
                <c:pt idx="40">
                  <c:v>0.80159166390160408</c:v>
                </c:pt>
                <c:pt idx="41">
                  <c:v>0.61094601058016451</c:v>
                </c:pt>
                <c:pt idx="42">
                  <c:v>0.77100670761274159</c:v>
                </c:pt>
                <c:pt idx="43">
                  <c:v>0.85052766719036299</c:v>
                </c:pt>
                <c:pt idx="44">
                  <c:v>0.84339116109754286</c:v>
                </c:pt>
                <c:pt idx="45">
                  <c:v>0.82707915436856183</c:v>
                </c:pt>
                <c:pt idx="46">
                  <c:v>0.90150276645260874</c:v>
                </c:pt>
                <c:pt idx="47">
                  <c:v>0.7526557507378584</c:v>
                </c:pt>
                <c:pt idx="48">
                  <c:v>0.8230011542509601</c:v>
                </c:pt>
                <c:pt idx="49">
                  <c:v>0.5416206576028344</c:v>
                </c:pt>
                <c:pt idx="50">
                  <c:v>0.79139667456036022</c:v>
                </c:pt>
                <c:pt idx="51">
                  <c:v>0.72920732428588053</c:v>
                </c:pt>
                <c:pt idx="52">
                  <c:v>0.73634379971110775</c:v>
                </c:pt>
                <c:pt idx="53">
                  <c:v>0.59769262029158199</c:v>
                </c:pt>
                <c:pt idx="54">
                  <c:v>0.62725788462569199</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numCache>
            </c:numRef>
          </c:yVal>
          <c:smooth val="0"/>
          <c:extLst>
            <c:ext xmlns:c16="http://schemas.microsoft.com/office/drawing/2014/chart" uri="{C3380CC4-5D6E-409C-BE32-E72D297353CC}">
              <c16:uniqueId val="{00000001-35E7-EC48-A860-6E7CEB490DA8}"/>
            </c:ext>
          </c:extLst>
        </c:ser>
        <c:ser>
          <c:idx val="0"/>
          <c:order val="2"/>
          <c:tx>
            <c:strRef>
              <c:f>'13C'!$S$1</c:f>
              <c:strCache>
                <c:ptCount val="1"/>
                <c:pt idx="0">
                  <c:v>Area 46</c:v>
                </c:pt>
              </c:strCache>
            </c:strRef>
          </c:tx>
          <c:spPr>
            <a:ln w="19050" cap="rnd">
              <a:noFill/>
              <a:round/>
            </a:ln>
            <a:effectLst/>
          </c:spPr>
          <c:marker>
            <c:symbol val="circle"/>
            <c:size val="3"/>
            <c:spPr>
              <a:solidFill>
                <a:schemeClr val="tx1"/>
              </a:solidFill>
              <a:ln w="9525">
                <a:noFill/>
              </a:ln>
              <a:effectLst/>
            </c:spPr>
          </c:marker>
          <c:xVal>
            <c:numRef>
              <c:f>'13C'!$B$2:$B$125</c:f>
              <c:numCache>
                <c:formatCode>General</c:formatCode>
                <c:ptCount val="124"/>
                <c:pt idx="0">
                  <c:v>27934</c:v>
                </c:pt>
                <c:pt idx="1">
                  <c:v>27935</c:v>
                </c:pt>
                <c:pt idx="2">
                  <c:v>27936</c:v>
                </c:pt>
                <c:pt idx="3">
                  <c:v>27938</c:v>
                </c:pt>
                <c:pt idx="4">
                  <c:v>27939</c:v>
                </c:pt>
                <c:pt idx="5">
                  <c:v>27940</c:v>
                </c:pt>
                <c:pt idx="6">
                  <c:v>27941</c:v>
                </c:pt>
                <c:pt idx="7">
                  <c:v>27942</c:v>
                </c:pt>
                <c:pt idx="8">
                  <c:v>27943</c:v>
                </c:pt>
                <c:pt idx="9">
                  <c:v>27944</c:v>
                </c:pt>
                <c:pt idx="10">
                  <c:v>27945</c:v>
                </c:pt>
                <c:pt idx="11">
                  <c:v>27946</c:v>
                </c:pt>
                <c:pt idx="12">
                  <c:v>27947</c:v>
                </c:pt>
                <c:pt idx="13">
                  <c:v>27948</c:v>
                </c:pt>
                <c:pt idx="14">
                  <c:v>27949</c:v>
                </c:pt>
                <c:pt idx="15">
                  <c:v>27950</c:v>
                </c:pt>
                <c:pt idx="16">
                  <c:v>27951</c:v>
                </c:pt>
                <c:pt idx="17">
                  <c:v>27952</c:v>
                </c:pt>
                <c:pt idx="18">
                  <c:v>27953</c:v>
                </c:pt>
                <c:pt idx="19">
                  <c:v>27954</c:v>
                </c:pt>
                <c:pt idx="20">
                  <c:v>27955</c:v>
                </c:pt>
                <c:pt idx="21">
                  <c:v>27956</c:v>
                </c:pt>
                <c:pt idx="22">
                  <c:v>27957</c:v>
                </c:pt>
                <c:pt idx="23">
                  <c:v>27958</c:v>
                </c:pt>
                <c:pt idx="24">
                  <c:v>27959</c:v>
                </c:pt>
                <c:pt idx="25">
                  <c:v>27960</c:v>
                </c:pt>
                <c:pt idx="26">
                  <c:v>27961</c:v>
                </c:pt>
                <c:pt idx="27">
                  <c:v>27962</c:v>
                </c:pt>
                <c:pt idx="28">
                  <c:v>27963</c:v>
                </c:pt>
                <c:pt idx="29">
                  <c:v>27964</c:v>
                </c:pt>
                <c:pt idx="30">
                  <c:v>27965</c:v>
                </c:pt>
                <c:pt idx="31">
                  <c:v>27966</c:v>
                </c:pt>
                <c:pt idx="32">
                  <c:v>27967</c:v>
                </c:pt>
                <c:pt idx="33">
                  <c:v>27968</c:v>
                </c:pt>
                <c:pt idx="34">
                  <c:v>27969</c:v>
                </c:pt>
                <c:pt idx="35">
                  <c:v>27970</c:v>
                </c:pt>
                <c:pt idx="36">
                  <c:v>27971</c:v>
                </c:pt>
                <c:pt idx="37">
                  <c:v>27972</c:v>
                </c:pt>
                <c:pt idx="38">
                  <c:v>27973</c:v>
                </c:pt>
                <c:pt idx="39">
                  <c:v>27974</c:v>
                </c:pt>
                <c:pt idx="40">
                  <c:v>27975</c:v>
                </c:pt>
                <c:pt idx="41">
                  <c:v>27976</c:v>
                </c:pt>
                <c:pt idx="42">
                  <c:v>27977</c:v>
                </c:pt>
                <c:pt idx="43">
                  <c:v>27978</c:v>
                </c:pt>
                <c:pt idx="44">
                  <c:v>27979</c:v>
                </c:pt>
                <c:pt idx="45">
                  <c:v>27980</c:v>
                </c:pt>
                <c:pt idx="46">
                  <c:v>27981</c:v>
                </c:pt>
                <c:pt idx="47">
                  <c:v>27982</c:v>
                </c:pt>
                <c:pt idx="48">
                  <c:v>27983</c:v>
                </c:pt>
                <c:pt idx="49">
                  <c:v>27984</c:v>
                </c:pt>
                <c:pt idx="50">
                  <c:v>27985</c:v>
                </c:pt>
                <c:pt idx="51">
                  <c:v>27986</c:v>
                </c:pt>
                <c:pt idx="52">
                  <c:v>27987</c:v>
                </c:pt>
                <c:pt idx="53">
                  <c:v>27988</c:v>
                </c:pt>
                <c:pt idx="54">
                  <c:v>27989</c:v>
                </c:pt>
              </c:numCache>
            </c:numRef>
          </c:xVal>
          <c:yVal>
            <c:numRef>
              <c:f>'13C'!$S$2:$S$125</c:f>
              <c:numCache>
                <c:formatCode>General</c:formatCode>
                <c:ptCount val="124"/>
                <c:pt idx="0">
                  <c:v>0.39900000000000002</c:v>
                </c:pt>
                <c:pt idx="1">
                  <c:v>0.43099999999999999</c:v>
                </c:pt>
                <c:pt idx="2">
                  <c:v>0.40899999999999997</c:v>
                </c:pt>
                <c:pt idx="3">
                  <c:v>0.32600000000000001</c:v>
                </c:pt>
                <c:pt idx="4">
                  <c:v>0.38800000000000001</c:v>
                </c:pt>
                <c:pt idx="5">
                  <c:v>0.55100000000000005</c:v>
                </c:pt>
                <c:pt idx="6">
                  <c:v>0.42099999999999999</c:v>
                </c:pt>
                <c:pt idx="7">
                  <c:v>0.26800000000000002</c:v>
                </c:pt>
                <c:pt idx="8">
                  <c:v>0.40200000000000002</c:v>
                </c:pt>
                <c:pt idx="9">
                  <c:v>0.189</c:v>
                </c:pt>
                <c:pt idx="10">
                  <c:v>0.16</c:v>
                </c:pt>
                <c:pt idx="11">
                  <c:v>0.34</c:v>
                </c:pt>
                <c:pt idx="12">
                  <c:v>0.39700000000000002</c:v>
                </c:pt>
                <c:pt idx="13">
                  <c:v>0.36499999999999999</c:v>
                </c:pt>
                <c:pt idx="14">
                  <c:v>0.32400000000000001</c:v>
                </c:pt>
                <c:pt idx="15">
                  <c:v>0.27</c:v>
                </c:pt>
                <c:pt idx="16">
                  <c:v>0.36399999999999999</c:v>
                </c:pt>
                <c:pt idx="17">
                  <c:v>0.27900000000000003</c:v>
                </c:pt>
                <c:pt idx="18">
                  <c:v>0.17699999999999999</c:v>
                </c:pt>
                <c:pt idx="19">
                  <c:v>0.43099999999999999</c:v>
                </c:pt>
                <c:pt idx="20">
                  <c:v>0.372</c:v>
                </c:pt>
                <c:pt idx="21">
                  <c:v>0.47299999999999998</c:v>
                </c:pt>
                <c:pt idx="22">
                  <c:v>0.157</c:v>
                </c:pt>
                <c:pt idx="23">
                  <c:v>0.47399999999999998</c:v>
                </c:pt>
                <c:pt idx="24">
                  <c:v>0.13200000000000001</c:v>
                </c:pt>
                <c:pt idx="25">
                  <c:v>0.32800000000000001</c:v>
                </c:pt>
                <c:pt idx="26">
                  <c:v>0.129</c:v>
                </c:pt>
                <c:pt idx="27">
                  <c:v>0.53700000000000003</c:v>
                </c:pt>
                <c:pt idx="28">
                  <c:v>0.129</c:v>
                </c:pt>
                <c:pt idx="29">
                  <c:v>0.29799999999999999</c:v>
                </c:pt>
                <c:pt idx="30">
                  <c:v>0.39100000000000001</c:v>
                </c:pt>
                <c:pt idx="31">
                  <c:v>0.32700000000000001</c:v>
                </c:pt>
                <c:pt idx="32">
                  <c:v>0.25600000000000001</c:v>
                </c:pt>
                <c:pt idx="33">
                  <c:v>0.45500000000000002</c:v>
                </c:pt>
                <c:pt idx="34">
                  <c:v>0.49099999999999999</c:v>
                </c:pt>
                <c:pt idx="35">
                  <c:v>0.377</c:v>
                </c:pt>
                <c:pt idx="36">
                  <c:v>0.48899999999999999</c:v>
                </c:pt>
                <c:pt idx="37">
                  <c:v>0.48499999999999999</c:v>
                </c:pt>
                <c:pt idx="38">
                  <c:v>0.46200000000000002</c:v>
                </c:pt>
                <c:pt idx="39">
                  <c:v>0.53200000000000003</c:v>
                </c:pt>
                <c:pt idx="40">
                  <c:v>0.502</c:v>
                </c:pt>
                <c:pt idx="41">
                  <c:v>0.315</c:v>
                </c:pt>
                <c:pt idx="42">
                  <c:v>0.47199999999999998</c:v>
                </c:pt>
                <c:pt idx="43">
                  <c:v>0.55000000000000004</c:v>
                </c:pt>
                <c:pt idx="44">
                  <c:v>0.54300000000000004</c:v>
                </c:pt>
                <c:pt idx="45">
                  <c:v>0.52700000000000002</c:v>
                </c:pt>
                <c:pt idx="46">
                  <c:v>0.6</c:v>
                </c:pt>
                <c:pt idx="47">
                  <c:v>0.45400000000000001</c:v>
                </c:pt>
                <c:pt idx="48">
                  <c:v>0.52300000000000002</c:v>
                </c:pt>
                <c:pt idx="49">
                  <c:v>0.247</c:v>
                </c:pt>
                <c:pt idx="50">
                  <c:v>0.49199999999999999</c:v>
                </c:pt>
                <c:pt idx="51">
                  <c:v>0.43099999999999999</c:v>
                </c:pt>
                <c:pt idx="52">
                  <c:v>0.438</c:v>
                </c:pt>
                <c:pt idx="53">
                  <c:v>0.30199999999999999</c:v>
                </c:pt>
                <c:pt idx="54">
                  <c:v>0.33100000000000002</c:v>
                </c:pt>
              </c:numCache>
            </c:numRef>
          </c:yVal>
          <c:smooth val="0"/>
          <c:extLst>
            <c:ext xmlns:c16="http://schemas.microsoft.com/office/drawing/2014/chart" uri="{C3380CC4-5D6E-409C-BE32-E72D297353CC}">
              <c16:uniqueId val="{00000002-35E7-EC48-A860-6E7CEB490DA8}"/>
            </c:ext>
          </c:extLst>
        </c:ser>
        <c:dLbls>
          <c:showLegendKey val="0"/>
          <c:showVal val="0"/>
          <c:showCatName val="0"/>
          <c:showSerName val="0"/>
          <c:showPercent val="0"/>
          <c:showBubbleSize val="0"/>
        </c:dLbls>
        <c:axId val="168391944"/>
        <c:axId val="168392336"/>
      </c:scatterChart>
      <c:valAx>
        <c:axId val="16839194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Analysis Number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68392336"/>
        <c:crosses val="autoZero"/>
        <c:crossBetween val="midCat"/>
      </c:valAx>
      <c:valAx>
        <c:axId val="1683923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d13C</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6839194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H"/>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2"/>
          <c:order val="1"/>
          <c:tx>
            <c:strRef>
              <c:f>'13C'!$M$1</c:f>
              <c:strCache>
                <c:ptCount val="1"/>
                <c:pt idx="0">
                  <c:v>Ampl. 44</c:v>
                </c:pt>
              </c:strCache>
            </c:strRef>
          </c:tx>
          <c:spPr>
            <a:ln w="25400" cap="rnd">
              <a:noFill/>
              <a:round/>
            </a:ln>
            <a:effectLst/>
          </c:spPr>
          <c:marker>
            <c:symbol val="circle"/>
            <c:size val="7"/>
            <c:spPr>
              <a:noFill/>
              <a:ln w="9525">
                <a:solidFill>
                  <a:srgbClr val="FF0000"/>
                </a:solidFill>
              </a:ln>
              <a:effectLst/>
            </c:spPr>
          </c:marker>
          <c:xVal>
            <c:numRef>
              <c:f>'13C'!$B$2:$B$125</c:f>
              <c:numCache>
                <c:formatCode>General</c:formatCode>
                <c:ptCount val="124"/>
                <c:pt idx="0">
                  <c:v>27934</c:v>
                </c:pt>
                <c:pt idx="1">
                  <c:v>27935</c:v>
                </c:pt>
                <c:pt idx="2">
                  <c:v>27936</c:v>
                </c:pt>
                <c:pt idx="3">
                  <c:v>27938</c:v>
                </c:pt>
                <c:pt idx="4">
                  <c:v>27939</c:v>
                </c:pt>
                <c:pt idx="5">
                  <c:v>27940</c:v>
                </c:pt>
                <c:pt idx="6">
                  <c:v>27941</c:v>
                </c:pt>
                <c:pt idx="7">
                  <c:v>27942</c:v>
                </c:pt>
                <c:pt idx="8">
                  <c:v>27943</c:v>
                </c:pt>
                <c:pt idx="9">
                  <c:v>27944</c:v>
                </c:pt>
                <c:pt idx="10">
                  <c:v>27945</c:v>
                </c:pt>
                <c:pt idx="11">
                  <c:v>27946</c:v>
                </c:pt>
                <c:pt idx="12">
                  <c:v>27947</c:v>
                </c:pt>
                <c:pt idx="13">
                  <c:v>27948</c:v>
                </c:pt>
                <c:pt idx="14">
                  <c:v>27949</c:v>
                </c:pt>
                <c:pt idx="15">
                  <c:v>27950</c:v>
                </c:pt>
                <c:pt idx="16">
                  <c:v>27951</c:v>
                </c:pt>
                <c:pt idx="17">
                  <c:v>27952</c:v>
                </c:pt>
                <c:pt idx="18">
                  <c:v>27953</c:v>
                </c:pt>
                <c:pt idx="19">
                  <c:v>27954</c:v>
                </c:pt>
                <c:pt idx="20">
                  <c:v>27955</c:v>
                </c:pt>
                <c:pt idx="21">
                  <c:v>27956</c:v>
                </c:pt>
                <c:pt idx="22">
                  <c:v>27957</c:v>
                </c:pt>
                <c:pt idx="23">
                  <c:v>27958</c:v>
                </c:pt>
                <c:pt idx="24">
                  <c:v>27959</c:v>
                </c:pt>
                <c:pt idx="25">
                  <c:v>27960</c:v>
                </c:pt>
                <c:pt idx="26">
                  <c:v>27961</c:v>
                </c:pt>
                <c:pt idx="27">
                  <c:v>27962</c:v>
                </c:pt>
                <c:pt idx="28">
                  <c:v>27963</c:v>
                </c:pt>
                <c:pt idx="29">
                  <c:v>27964</c:v>
                </c:pt>
                <c:pt idx="30">
                  <c:v>27965</c:v>
                </c:pt>
                <c:pt idx="31">
                  <c:v>27966</c:v>
                </c:pt>
                <c:pt idx="32">
                  <c:v>27967</c:v>
                </c:pt>
                <c:pt idx="33">
                  <c:v>27968</c:v>
                </c:pt>
                <c:pt idx="34">
                  <c:v>27969</c:v>
                </c:pt>
                <c:pt idx="35">
                  <c:v>27970</c:v>
                </c:pt>
                <c:pt idx="36">
                  <c:v>27971</c:v>
                </c:pt>
                <c:pt idx="37">
                  <c:v>27972</c:v>
                </c:pt>
                <c:pt idx="38">
                  <c:v>27973</c:v>
                </c:pt>
                <c:pt idx="39">
                  <c:v>27974</c:v>
                </c:pt>
                <c:pt idx="40">
                  <c:v>27975</c:v>
                </c:pt>
                <c:pt idx="41">
                  <c:v>27976</c:v>
                </c:pt>
                <c:pt idx="42">
                  <c:v>27977</c:v>
                </c:pt>
                <c:pt idx="43">
                  <c:v>27978</c:v>
                </c:pt>
                <c:pt idx="44">
                  <c:v>27979</c:v>
                </c:pt>
                <c:pt idx="45">
                  <c:v>27980</c:v>
                </c:pt>
                <c:pt idx="46">
                  <c:v>27981</c:v>
                </c:pt>
                <c:pt idx="47">
                  <c:v>27982</c:v>
                </c:pt>
                <c:pt idx="48">
                  <c:v>27983</c:v>
                </c:pt>
                <c:pt idx="49">
                  <c:v>27984</c:v>
                </c:pt>
                <c:pt idx="50">
                  <c:v>27985</c:v>
                </c:pt>
                <c:pt idx="51">
                  <c:v>27986</c:v>
                </c:pt>
                <c:pt idx="52">
                  <c:v>27987</c:v>
                </c:pt>
                <c:pt idx="53">
                  <c:v>27988</c:v>
                </c:pt>
                <c:pt idx="54">
                  <c:v>27989</c:v>
                </c:pt>
              </c:numCache>
            </c:numRef>
          </c:xVal>
          <c:yVal>
            <c:numRef>
              <c:f>'13C'!$M$2:$M$125</c:f>
              <c:numCache>
                <c:formatCode>General</c:formatCode>
                <c:ptCount val="124"/>
                <c:pt idx="0">
                  <c:v>3404</c:v>
                </c:pt>
                <c:pt idx="1">
                  <c:v>3684</c:v>
                </c:pt>
                <c:pt idx="2">
                  <c:v>3503</c:v>
                </c:pt>
                <c:pt idx="3">
                  <c:v>4066</c:v>
                </c:pt>
                <c:pt idx="4">
                  <c:v>3508</c:v>
                </c:pt>
                <c:pt idx="5">
                  <c:v>4865</c:v>
                </c:pt>
                <c:pt idx="6">
                  <c:v>3610</c:v>
                </c:pt>
                <c:pt idx="7">
                  <c:v>3363</c:v>
                </c:pt>
                <c:pt idx="8">
                  <c:v>3498</c:v>
                </c:pt>
                <c:pt idx="9">
                  <c:v>2210</c:v>
                </c:pt>
                <c:pt idx="10">
                  <c:v>1911</c:v>
                </c:pt>
                <c:pt idx="11">
                  <c:v>4250</c:v>
                </c:pt>
                <c:pt idx="12">
                  <c:v>4911</c:v>
                </c:pt>
                <c:pt idx="13">
                  <c:v>3186</c:v>
                </c:pt>
                <c:pt idx="14">
                  <c:v>4081</c:v>
                </c:pt>
                <c:pt idx="15">
                  <c:v>3424</c:v>
                </c:pt>
                <c:pt idx="16">
                  <c:v>4542</c:v>
                </c:pt>
                <c:pt idx="17">
                  <c:v>3537</c:v>
                </c:pt>
                <c:pt idx="18">
                  <c:v>2100</c:v>
                </c:pt>
                <c:pt idx="19">
                  <c:v>5316</c:v>
                </c:pt>
                <c:pt idx="20">
                  <c:v>3257</c:v>
                </c:pt>
                <c:pt idx="21">
                  <c:v>4099</c:v>
                </c:pt>
                <c:pt idx="22">
                  <c:v>1891</c:v>
                </c:pt>
                <c:pt idx="23">
                  <c:v>4128</c:v>
                </c:pt>
                <c:pt idx="24">
                  <c:v>1616</c:v>
                </c:pt>
                <c:pt idx="25">
                  <c:v>4138</c:v>
                </c:pt>
                <c:pt idx="26">
                  <c:v>1409</c:v>
                </c:pt>
                <c:pt idx="27">
                  <c:v>4613</c:v>
                </c:pt>
                <c:pt idx="28">
                  <c:v>1403</c:v>
                </c:pt>
                <c:pt idx="29">
                  <c:v>3773</c:v>
                </c:pt>
                <c:pt idx="30">
                  <c:v>4859</c:v>
                </c:pt>
                <c:pt idx="31">
                  <c:v>4119</c:v>
                </c:pt>
                <c:pt idx="32">
                  <c:v>3235</c:v>
                </c:pt>
                <c:pt idx="33">
                  <c:v>4144</c:v>
                </c:pt>
                <c:pt idx="34">
                  <c:v>4185</c:v>
                </c:pt>
                <c:pt idx="35">
                  <c:v>3262</c:v>
                </c:pt>
                <c:pt idx="36">
                  <c:v>4351</c:v>
                </c:pt>
                <c:pt idx="37">
                  <c:v>4319</c:v>
                </c:pt>
                <c:pt idx="38">
                  <c:v>4124</c:v>
                </c:pt>
                <c:pt idx="39">
                  <c:v>4733</c:v>
                </c:pt>
                <c:pt idx="40">
                  <c:v>4473</c:v>
                </c:pt>
                <c:pt idx="41">
                  <c:v>3972</c:v>
                </c:pt>
                <c:pt idx="42">
                  <c:v>4203</c:v>
                </c:pt>
                <c:pt idx="43">
                  <c:v>4888</c:v>
                </c:pt>
                <c:pt idx="44">
                  <c:v>4830</c:v>
                </c:pt>
                <c:pt idx="45">
                  <c:v>4683</c:v>
                </c:pt>
                <c:pt idx="46">
                  <c:v>5334</c:v>
                </c:pt>
                <c:pt idx="47">
                  <c:v>4047</c:v>
                </c:pt>
                <c:pt idx="48">
                  <c:v>4677</c:v>
                </c:pt>
                <c:pt idx="49">
                  <c:v>3122</c:v>
                </c:pt>
                <c:pt idx="50">
                  <c:v>4485</c:v>
                </c:pt>
                <c:pt idx="51">
                  <c:v>3718</c:v>
                </c:pt>
                <c:pt idx="52">
                  <c:v>3774</c:v>
                </c:pt>
                <c:pt idx="53">
                  <c:v>3823</c:v>
                </c:pt>
                <c:pt idx="54">
                  <c:v>4160</c:v>
                </c:pt>
              </c:numCache>
            </c:numRef>
          </c:yVal>
          <c:smooth val="0"/>
          <c:extLst>
            <c:ext xmlns:c16="http://schemas.microsoft.com/office/drawing/2014/chart" uri="{C3380CC4-5D6E-409C-BE32-E72D297353CC}">
              <c16:uniqueId val="{00000000-7680-584F-BB89-2078384B31FF}"/>
            </c:ext>
          </c:extLst>
        </c:ser>
        <c:dLbls>
          <c:showLegendKey val="0"/>
          <c:showVal val="0"/>
          <c:showCatName val="0"/>
          <c:showSerName val="0"/>
          <c:showPercent val="0"/>
          <c:showBubbleSize val="0"/>
        </c:dLbls>
        <c:axId val="168393120"/>
        <c:axId val="168393512"/>
      </c:scatterChart>
      <c:scatterChart>
        <c:scatterStyle val="lineMarker"/>
        <c:varyColors val="0"/>
        <c:ser>
          <c:idx val="1"/>
          <c:order val="0"/>
          <c:tx>
            <c:strRef>
              <c:f>'13C'!$H$1</c:f>
              <c:strCache>
                <c:ptCount val="1"/>
                <c:pt idx="0">
                  <c:v>Rt</c:v>
                </c:pt>
              </c:strCache>
            </c:strRef>
          </c:tx>
          <c:spPr>
            <a:ln w="25400" cap="rnd">
              <a:noFill/>
              <a:round/>
            </a:ln>
            <a:effectLst/>
          </c:spPr>
          <c:marker>
            <c:symbol val="circle"/>
            <c:size val="5"/>
            <c:spPr>
              <a:noFill/>
              <a:ln w="9525">
                <a:solidFill>
                  <a:srgbClr val="00B0F0"/>
                </a:solidFill>
              </a:ln>
              <a:effectLst/>
            </c:spPr>
          </c:marker>
          <c:xVal>
            <c:numRef>
              <c:f>'13C'!$B$2:$B$125</c:f>
              <c:numCache>
                <c:formatCode>General</c:formatCode>
                <c:ptCount val="124"/>
                <c:pt idx="0">
                  <c:v>27934</c:v>
                </c:pt>
                <c:pt idx="1">
                  <c:v>27935</c:v>
                </c:pt>
                <c:pt idx="2">
                  <c:v>27936</c:v>
                </c:pt>
                <c:pt idx="3">
                  <c:v>27938</c:v>
                </c:pt>
                <c:pt idx="4">
                  <c:v>27939</c:v>
                </c:pt>
                <c:pt idx="5">
                  <c:v>27940</c:v>
                </c:pt>
                <c:pt idx="6">
                  <c:v>27941</c:v>
                </c:pt>
                <c:pt idx="7">
                  <c:v>27942</c:v>
                </c:pt>
                <c:pt idx="8">
                  <c:v>27943</c:v>
                </c:pt>
                <c:pt idx="9">
                  <c:v>27944</c:v>
                </c:pt>
                <c:pt idx="10">
                  <c:v>27945</c:v>
                </c:pt>
                <c:pt idx="11">
                  <c:v>27946</c:v>
                </c:pt>
                <c:pt idx="12">
                  <c:v>27947</c:v>
                </c:pt>
                <c:pt idx="13">
                  <c:v>27948</c:v>
                </c:pt>
                <c:pt idx="14">
                  <c:v>27949</c:v>
                </c:pt>
                <c:pt idx="15">
                  <c:v>27950</c:v>
                </c:pt>
                <c:pt idx="16">
                  <c:v>27951</c:v>
                </c:pt>
                <c:pt idx="17">
                  <c:v>27952</c:v>
                </c:pt>
                <c:pt idx="18">
                  <c:v>27953</c:v>
                </c:pt>
                <c:pt idx="19">
                  <c:v>27954</c:v>
                </c:pt>
                <c:pt idx="20">
                  <c:v>27955</c:v>
                </c:pt>
                <c:pt idx="21">
                  <c:v>27956</c:v>
                </c:pt>
                <c:pt idx="22">
                  <c:v>27957</c:v>
                </c:pt>
                <c:pt idx="23">
                  <c:v>27958</c:v>
                </c:pt>
                <c:pt idx="24">
                  <c:v>27959</c:v>
                </c:pt>
                <c:pt idx="25">
                  <c:v>27960</c:v>
                </c:pt>
                <c:pt idx="26">
                  <c:v>27961</c:v>
                </c:pt>
                <c:pt idx="27">
                  <c:v>27962</c:v>
                </c:pt>
                <c:pt idx="28">
                  <c:v>27963</c:v>
                </c:pt>
                <c:pt idx="29">
                  <c:v>27964</c:v>
                </c:pt>
                <c:pt idx="30">
                  <c:v>27965</c:v>
                </c:pt>
                <c:pt idx="31">
                  <c:v>27966</c:v>
                </c:pt>
                <c:pt idx="32">
                  <c:v>27967</c:v>
                </c:pt>
                <c:pt idx="33">
                  <c:v>27968</c:v>
                </c:pt>
                <c:pt idx="34">
                  <c:v>27969</c:v>
                </c:pt>
                <c:pt idx="35">
                  <c:v>27970</c:v>
                </c:pt>
                <c:pt idx="36">
                  <c:v>27971</c:v>
                </c:pt>
                <c:pt idx="37">
                  <c:v>27972</c:v>
                </c:pt>
                <c:pt idx="38">
                  <c:v>27973</c:v>
                </c:pt>
                <c:pt idx="39">
                  <c:v>27974</c:v>
                </c:pt>
                <c:pt idx="40">
                  <c:v>27975</c:v>
                </c:pt>
                <c:pt idx="41">
                  <c:v>27976</c:v>
                </c:pt>
                <c:pt idx="42">
                  <c:v>27977</c:v>
                </c:pt>
                <c:pt idx="43">
                  <c:v>27978</c:v>
                </c:pt>
                <c:pt idx="44">
                  <c:v>27979</c:v>
                </c:pt>
                <c:pt idx="45">
                  <c:v>27980</c:v>
                </c:pt>
                <c:pt idx="46">
                  <c:v>27981</c:v>
                </c:pt>
                <c:pt idx="47">
                  <c:v>27982</c:v>
                </c:pt>
                <c:pt idx="48">
                  <c:v>27983</c:v>
                </c:pt>
                <c:pt idx="49">
                  <c:v>27984</c:v>
                </c:pt>
                <c:pt idx="50">
                  <c:v>27985</c:v>
                </c:pt>
                <c:pt idx="51">
                  <c:v>27986</c:v>
                </c:pt>
                <c:pt idx="52">
                  <c:v>27987</c:v>
                </c:pt>
                <c:pt idx="53">
                  <c:v>27988</c:v>
                </c:pt>
                <c:pt idx="54">
                  <c:v>27989</c:v>
                </c:pt>
              </c:numCache>
            </c:numRef>
          </c:xVal>
          <c:yVal>
            <c:numRef>
              <c:f>'13C'!$H$2:$H$125</c:f>
              <c:numCache>
                <c:formatCode>General</c:formatCode>
                <c:ptCount val="124"/>
                <c:pt idx="0">
                  <c:v>347.1</c:v>
                </c:pt>
                <c:pt idx="1">
                  <c:v>346.9</c:v>
                </c:pt>
                <c:pt idx="2">
                  <c:v>347.4</c:v>
                </c:pt>
                <c:pt idx="3">
                  <c:v>325.8</c:v>
                </c:pt>
                <c:pt idx="4">
                  <c:v>347.1</c:v>
                </c:pt>
                <c:pt idx="5">
                  <c:v>346.5</c:v>
                </c:pt>
                <c:pt idx="6">
                  <c:v>347.6</c:v>
                </c:pt>
                <c:pt idx="7">
                  <c:v>327.7</c:v>
                </c:pt>
                <c:pt idx="8">
                  <c:v>347.8</c:v>
                </c:pt>
                <c:pt idx="9">
                  <c:v>324.60000000000002</c:v>
                </c:pt>
                <c:pt idx="10">
                  <c:v>325.60000000000002</c:v>
                </c:pt>
                <c:pt idx="11">
                  <c:v>326.7</c:v>
                </c:pt>
                <c:pt idx="12">
                  <c:v>325.60000000000002</c:v>
                </c:pt>
                <c:pt idx="13">
                  <c:v>347.6</c:v>
                </c:pt>
                <c:pt idx="14">
                  <c:v>325.2</c:v>
                </c:pt>
                <c:pt idx="15">
                  <c:v>327.5</c:v>
                </c:pt>
                <c:pt idx="16">
                  <c:v>326</c:v>
                </c:pt>
                <c:pt idx="17">
                  <c:v>327.10000000000002</c:v>
                </c:pt>
                <c:pt idx="18">
                  <c:v>324.8</c:v>
                </c:pt>
                <c:pt idx="19">
                  <c:v>325.39999999999998</c:v>
                </c:pt>
                <c:pt idx="20">
                  <c:v>348</c:v>
                </c:pt>
                <c:pt idx="21">
                  <c:v>347.4</c:v>
                </c:pt>
                <c:pt idx="22">
                  <c:v>326.2</c:v>
                </c:pt>
                <c:pt idx="23">
                  <c:v>347.1</c:v>
                </c:pt>
                <c:pt idx="24">
                  <c:v>326.7</c:v>
                </c:pt>
                <c:pt idx="25">
                  <c:v>325.60000000000002</c:v>
                </c:pt>
                <c:pt idx="26">
                  <c:v>325.2</c:v>
                </c:pt>
                <c:pt idx="27">
                  <c:v>346.7</c:v>
                </c:pt>
                <c:pt idx="28">
                  <c:v>324.8</c:v>
                </c:pt>
                <c:pt idx="29">
                  <c:v>327.3</c:v>
                </c:pt>
                <c:pt idx="30">
                  <c:v>326.5</c:v>
                </c:pt>
                <c:pt idx="31">
                  <c:v>325.8</c:v>
                </c:pt>
                <c:pt idx="32">
                  <c:v>328.3</c:v>
                </c:pt>
                <c:pt idx="33">
                  <c:v>347.4</c:v>
                </c:pt>
                <c:pt idx="34">
                  <c:v>346.9</c:v>
                </c:pt>
                <c:pt idx="35">
                  <c:v>348</c:v>
                </c:pt>
                <c:pt idx="36">
                  <c:v>347.4</c:v>
                </c:pt>
                <c:pt idx="37">
                  <c:v>347.4</c:v>
                </c:pt>
                <c:pt idx="38">
                  <c:v>347.1</c:v>
                </c:pt>
                <c:pt idx="39">
                  <c:v>346.7</c:v>
                </c:pt>
                <c:pt idx="40">
                  <c:v>347.6</c:v>
                </c:pt>
                <c:pt idx="41">
                  <c:v>326</c:v>
                </c:pt>
                <c:pt idx="42">
                  <c:v>347.6</c:v>
                </c:pt>
                <c:pt idx="43">
                  <c:v>347.1</c:v>
                </c:pt>
                <c:pt idx="44">
                  <c:v>346.9</c:v>
                </c:pt>
                <c:pt idx="45">
                  <c:v>347.1</c:v>
                </c:pt>
                <c:pt idx="46">
                  <c:v>346.9</c:v>
                </c:pt>
                <c:pt idx="47">
                  <c:v>347.4</c:v>
                </c:pt>
                <c:pt idx="48">
                  <c:v>346.7</c:v>
                </c:pt>
                <c:pt idx="49">
                  <c:v>328.1</c:v>
                </c:pt>
                <c:pt idx="50">
                  <c:v>347.8</c:v>
                </c:pt>
                <c:pt idx="51">
                  <c:v>347.6</c:v>
                </c:pt>
                <c:pt idx="52">
                  <c:v>347.6</c:v>
                </c:pt>
                <c:pt idx="53">
                  <c:v>326</c:v>
                </c:pt>
                <c:pt idx="54">
                  <c:v>325.8</c:v>
                </c:pt>
              </c:numCache>
            </c:numRef>
          </c:yVal>
          <c:smooth val="0"/>
          <c:extLst>
            <c:ext xmlns:c16="http://schemas.microsoft.com/office/drawing/2014/chart" uri="{C3380CC4-5D6E-409C-BE32-E72D297353CC}">
              <c16:uniqueId val="{00000001-7680-584F-BB89-2078384B31FF}"/>
            </c:ext>
          </c:extLst>
        </c:ser>
        <c:dLbls>
          <c:showLegendKey val="0"/>
          <c:showVal val="0"/>
          <c:showCatName val="0"/>
          <c:showSerName val="0"/>
          <c:showPercent val="0"/>
          <c:showBubbleSize val="0"/>
        </c:dLbls>
        <c:axId val="168950440"/>
        <c:axId val="168393904"/>
      </c:scatterChart>
      <c:valAx>
        <c:axId val="16839312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Analysis Number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68393512"/>
        <c:crosses val="autoZero"/>
        <c:crossBetween val="midCat"/>
      </c:valAx>
      <c:valAx>
        <c:axId val="1683935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area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68393120"/>
        <c:crosses val="autoZero"/>
        <c:crossBetween val="midCat"/>
      </c:valAx>
      <c:valAx>
        <c:axId val="168393904"/>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retention time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68950440"/>
        <c:crosses val="max"/>
        <c:crossBetween val="midCat"/>
      </c:valAx>
      <c:valAx>
        <c:axId val="168950440"/>
        <c:scaling>
          <c:orientation val="minMax"/>
        </c:scaling>
        <c:delete val="1"/>
        <c:axPos val="b"/>
        <c:numFmt formatCode="General" sourceLinked="1"/>
        <c:majorTickMark val="out"/>
        <c:minorTickMark val="none"/>
        <c:tickLblPos val="nextTo"/>
        <c:crossAx val="1683939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H"/>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xVal>
            <c:numRef>
              <c:f>'13C'!$I$2:$I$125</c:f>
              <c:numCache>
                <c:formatCode>General</c:formatCode>
                <c:ptCount val="124"/>
                <c:pt idx="0">
                  <c:v>78</c:v>
                </c:pt>
                <c:pt idx="1">
                  <c:v>78</c:v>
                </c:pt>
                <c:pt idx="2">
                  <c:v>78</c:v>
                </c:pt>
                <c:pt idx="3">
                  <c:v>89</c:v>
                </c:pt>
                <c:pt idx="4">
                  <c:v>50</c:v>
                </c:pt>
                <c:pt idx="5">
                  <c:v>57</c:v>
                </c:pt>
                <c:pt idx="6">
                  <c:v>78</c:v>
                </c:pt>
                <c:pt idx="7">
                  <c:v>89</c:v>
                </c:pt>
                <c:pt idx="8">
                  <c:v>78</c:v>
                </c:pt>
                <c:pt idx="9">
                  <c:v>94</c:v>
                </c:pt>
                <c:pt idx="10">
                  <c:v>94</c:v>
                </c:pt>
                <c:pt idx="11">
                  <c:v>89</c:v>
                </c:pt>
                <c:pt idx="12">
                  <c:v>89</c:v>
                </c:pt>
                <c:pt idx="13">
                  <c:v>78</c:v>
                </c:pt>
                <c:pt idx="14">
                  <c:v>89</c:v>
                </c:pt>
                <c:pt idx="15">
                  <c:v>89</c:v>
                </c:pt>
                <c:pt idx="16">
                  <c:v>89</c:v>
                </c:pt>
                <c:pt idx="17">
                  <c:v>89</c:v>
                </c:pt>
                <c:pt idx="18">
                  <c:v>94</c:v>
                </c:pt>
                <c:pt idx="19">
                  <c:v>89</c:v>
                </c:pt>
                <c:pt idx="20">
                  <c:v>78</c:v>
                </c:pt>
                <c:pt idx="21">
                  <c:v>79</c:v>
                </c:pt>
                <c:pt idx="22">
                  <c:v>94</c:v>
                </c:pt>
                <c:pt idx="23">
                  <c:v>78</c:v>
                </c:pt>
                <c:pt idx="24">
                  <c:v>94</c:v>
                </c:pt>
                <c:pt idx="25">
                  <c:v>89</c:v>
                </c:pt>
                <c:pt idx="26">
                  <c:v>96</c:v>
                </c:pt>
                <c:pt idx="27">
                  <c:v>79</c:v>
                </c:pt>
                <c:pt idx="28">
                  <c:v>96</c:v>
                </c:pt>
                <c:pt idx="29">
                  <c:v>89</c:v>
                </c:pt>
                <c:pt idx="30">
                  <c:v>89</c:v>
                </c:pt>
                <c:pt idx="31">
                  <c:v>89</c:v>
                </c:pt>
                <c:pt idx="32">
                  <c:v>89</c:v>
                </c:pt>
                <c:pt idx="33">
                  <c:v>50</c:v>
                </c:pt>
                <c:pt idx="34">
                  <c:v>79</c:v>
                </c:pt>
                <c:pt idx="35">
                  <c:v>78</c:v>
                </c:pt>
                <c:pt idx="36">
                  <c:v>57</c:v>
                </c:pt>
                <c:pt idx="37">
                  <c:v>57</c:v>
                </c:pt>
                <c:pt idx="38">
                  <c:v>57</c:v>
                </c:pt>
                <c:pt idx="39">
                  <c:v>57</c:v>
                </c:pt>
                <c:pt idx="40">
                  <c:v>57</c:v>
                </c:pt>
                <c:pt idx="41">
                  <c:v>89</c:v>
                </c:pt>
                <c:pt idx="42">
                  <c:v>57</c:v>
                </c:pt>
                <c:pt idx="43">
                  <c:v>57</c:v>
                </c:pt>
                <c:pt idx="44">
                  <c:v>57</c:v>
                </c:pt>
                <c:pt idx="45">
                  <c:v>57</c:v>
                </c:pt>
                <c:pt idx="46">
                  <c:v>57</c:v>
                </c:pt>
                <c:pt idx="47">
                  <c:v>57</c:v>
                </c:pt>
                <c:pt idx="48">
                  <c:v>57</c:v>
                </c:pt>
                <c:pt idx="49">
                  <c:v>89</c:v>
                </c:pt>
                <c:pt idx="50">
                  <c:v>50</c:v>
                </c:pt>
                <c:pt idx="51">
                  <c:v>78</c:v>
                </c:pt>
                <c:pt idx="52">
                  <c:v>78</c:v>
                </c:pt>
                <c:pt idx="53">
                  <c:v>89</c:v>
                </c:pt>
                <c:pt idx="54">
                  <c:v>89</c:v>
                </c:pt>
              </c:numCache>
            </c:numRef>
          </c:xVal>
          <c:yVal>
            <c:numRef>
              <c:f>'13C'!$M$2:$M$125</c:f>
              <c:numCache>
                <c:formatCode>General</c:formatCode>
                <c:ptCount val="124"/>
                <c:pt idx="0">
                  <c:v>3404</c:v>
                </c:pt>
                <c:pt idx="1">
                  <c:v>3684</c:v>
                </c:pt>
                <c:pt idx="2">
                  <c:v>3503</c:v>
                </c:pt>
                <c:pt idx="3">
                  <c:v>4066</c:v>
                </c:pt>
                <c:pt idx="4">
                  <c:v>3508</c:v>
                </c:pt>
                <c:pt idx="5">
                  <c:v>4865</c:v>
                </c:pt>
                <c:pt idx="6">
                  <c:v>3610</c:v>
                </c:pt>
                <c:pt idx="7">
                  <c:v>3363</c:v>
                </c:pt>
                <c:pt idx="8">
                  <c:v>3498</c:v>
                </c:pt>
                <c:pt idx="9">
                  <c:v>2210</c:v>
                </c:pt>
                <c:pt idx="10">
                  <c:v>1911</c:v>
                </c:pt>
                <c:pt idx="11">
                  <c:v>4250</c:v>
                </c:pt>
                <c:pt idx="12">
                  <c:v>4911</c:v>
                </c:pt>
                <c:pt idx="13">
                  <c:v>3186</c:v>
                </c:pt>
                <c:pt idx="14">
                  <c:v>4081</c:v>
                </c:pt>
                <c:pt idx="15">
                  <c:v>3424</c:v>
                </c:pt>
                <c:pt idx="16">
                  <c:v>4542</c:v>
                </c:pt>
                <c:pt idx="17">
                  <c:v>3537</c:v>
                </c:pt>
                <c:pt idx="18">
                  <c:v>2100</c:v>
                </c:pt>
                <c:pt idx="19">
                  <c:v>5316</c:v>
                </c:pt>
                <c:pt idx="20">
                  <c:v>3257</c:v>
                </c:pt>
                <c:pt idx="21">
                  <c:v>4099</c:v>
                </c:pt>
                <c:pt idx="22">
                  <c:v>1891</c:v>
                </c:pt>
                <c:pt idx="23">
                  <c:v>4128</c:v>
                </c:pt>
                <c:pt idx="24">
                  <c:v>1616</c:v>
                </c:pt>
                <c:pt idx="25">
                  <c:v>4138</c:v>
                </c:pt>
                <c:pt idx="26">
                  <c:v>1409</c:v>
                </c:pt>
                <c:pt idx="27">
                  <c:v>4613</c:v>
                </c:pt>
                <c:pt idx="28">
                  <c:v>1403</c:v>
                </c:pt>
                <c:pt idx="29">
                  <c:v>3773</c:v>
                </c:pt>
                <c:pt idx="30">
                  <c:v>4859</c:v>
                </c:pt>
                <c:pt idx="31">
                  <c:v>4119</c:v>
                </c:pt>
                <c:pt idx="32">
                  <c:v>3235</c:v>
                </c:pt>
                <c:pt idx="33">
                  <c:v>4144</c:v>
                </c:pt>
                <c:pt idx="34">
                  <c:v>4185</c:v>
                </c:pt>
                <c:pt idx="35">
                  <c:v>3262</c:v>
                </c:pt>
                <c:pt idx="36">
                  <c:v>4351</c:v>
                </c:pt>
                <c:pt idx="37">
                  <c:v>4319</c:v>
                </c:pt>
                <c:pt idx="38">
                  <c:v>4124</c:v>
                </c:pt>
                <c:pt idx="39">
                  <c:v>4733</c:v>
                </c:pt>
                <c:pt idx="40">
                  <c:v>4473</c:v>
                </c:pt>
                <c:pt idx="41">
                  <c:v>3972</c:v>
                </c:pt>
                <c:pt idx="42">
                  <c:v>4203</c:v>
                </c:pt>
                <c:pt idx="43">
                  <c:v>4888</c:v>
                </c:pt>
                <c:pt idx="44">
                  <c:v>4830</c:v>
                </c:pt>
                <c:pt idx="45">
                  <c:v>4683</c:v>
                </c:pt>
                <c:pt idx="46">
                  <c:v>5334</c:v>
                </c:pt>
                <c:pt idx="47">
                  <c:v>4047</c:v>
                </c:pt>
                <c:pt idx="48">
                  <c:v>4677</c:v>
                </c:pt>
                <c:pt idx="49">
                  <c:v>3122</c:v>
                </c:pt>
                <c:pt idx="50">
                  <c:v>4485</c:v>
                </c:pt>
                <c:pt idx="51">
                  <c:v>3718</c:v>
                </c:pt>
                <c:pt idx="52">
                  <c:v>3774</c:v>
                </c:pt>
                <c:pt idx="53">
                  <c:v>3823</c:v>
                </c:pt>
                <c:pt idx="54">
                  <c:v>4160</c:v>
                </c:pt>
              </c:numCache>
            </c:numRef>
          </c:yVal>
          <c:smooth val="0"/>
          <c:extLst>
            <c:ext xmlns:c16="http://schemas.microsoft.com/office/drawing/2014/chart" uri="{C3380CC4-5D6E-409C-BE32-E72D297353CC}">
              <c16:uniqueId val="{00000000-25DD-A14B-8A0C-DF5C960CF2E7}"/>
            </c:ext>
          </c:extLst>
        </c:ser>
        <c:dLbls>
          <c:showLegendKey val="0"/>
          <c:showVal val="0"/>
          <c:showCatName val="0"/>
          <c:showSerName val="0"/>
          <c:showPercent val="0"/>
          <c:showBubbleSize val="0"/>
        </c:dLbls>
        <c:axId val="168951224"/>
        <c:axId val="168951616"/>
      </c:scatterChart>
      <c:valAx>
        <c:axId val="16895122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sample dilution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68951616"/>
        <c:crosses val="autoZero"/>
        <c:crossBetween val="midCat"/>
      </c:valAx>
      <c:valAx>
        <c:axId val="1689516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area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689512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H"/>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
          <c:order val="0"/>
          <c:tx>
            <c:strRef>
              <c:f>'13C'!$CA$1</c:f>
              <c:strCache>
                <c:ptCount val="1"/>
                <c:pt idx="0">
                  <c:v>offset Initial Corrected δ13C (‰ VPDB)</c:v>
                </c:pt>
              </c:strCache>
            </c:strRef>
          </c:tx>
          <c:spPr>
            <a:ln w="25400" cap="rnd">
              <a:noFill/>
              <a:round/>
            </a:ln>
            <a:effectLst/>
          </c:spPr>
          <c:marker>
            <c:symbol val="circle"/>
            <c:size val="5"/>
            <c:spPr>
              <a:noFill/>
              <a:ln w="9525">
                <a:solidFill>
                  <a:srgbClr val="00B0F0"/>
                </a:solidFill>
              </a:ln>
              <a:effectLst/>
            </c:spPr>
          </c:marker>
          <c:xVal>
            <c:numRef>
              <c:f>'13C'!$BP$2:$BP$25</c:f>
              <c:numCache>
                <c:formatCode>General</c:formatCode>
                <c:ptCount val="24"/>
                <c:pt idx="0">
                  <c:v>76.55</c:v>
                </c:pt>
                <c:pt idx="1">
                  <c:v>90.105000000000004</c:v>
                </c:pt>
                <c:pt idx="2">
                  <c:v>128.161</c:v>
                </c:pt>
                <c:pt idx="3">
                  <c:v>98.215999999999994</c:v>
                </c:pt>
                <c:pt idx="4">
                  <c:v>76.137</c:v>
                </c:pt>
                <c:pt idx="5">
                  <c:v>77.070999999999998</c:v>
                </c:pt>
                <c:pt idx="6">
                  <c:v>76.727000000000004</c:v>
                </c:pt>
                <c:pt idx="7">
                  <c:v>105.715</c:v>
                </c:pt>
                <c:pt idx="8">
                  <c:v>114.676</c:v>
                </c:pt>
                <c:pt idx="9">
                  <c:v>87.813999999999993</c:v>
                </c:pt>
                <c:pt idx="10">
                  <c:v>73.924000000000007</c:v>
                </c:pt>
                <c:pt idx="11">
                  <c:v>114.1</c:v>
                </c:pt>
                <c:pt idx="12">
                  <c:v>100.502</c:v>
                </c:pt>
                <c:pt idx="13">
                  <c:v>102.105</c:v>
                </c:pt>
                <c:pt idx="14">
                  <c:v>70.921999999999997</c:v>
                </c:pt>
                <c:pt idx="15">
                  <c:v>77.578999999999994</c:v>
                </c:pt>
              </c:numCache>
            </c:numRef>
          </c:xVal>
          <c:yVal>
            <c:numRef>
              <c:f>'13C'!$CA$2:$CA$25</c:f>
              <c:numCache>
                <c:formatCode>General</c:formatCode>
                <c:ptCount val="24"/>
                <c:pt idx="0">
                  <c:v>33.860784649388577</c:v>
                </c:pt>
                <c:pt idx="1">
                  <c:v>44.131688579069682</c:v>
                </c:pt>
                <c:pt idx="2">
                  <c:v>12.372344448035921</c:v>
                </c:pt>
                <c:pt idx="3">
                  <c:v>30.829543323187547</c:v>
                </c:pt>
                <c:pt idx="4">
                  <c:v>33.85867793407926</c:v>
                </c:pt>
                <c:pt idx="5">
                  <c:v>33.862891364859536</c:v>
                </c:pt>
                <c:pt idx="6">
                  <c:v>33.861838007103849</c:v>
                </c:pt>
                <c:pt idx="7">
                  <c:v>44.202960431567021</c:v>
                </c:pt>
                <c:pt idx="8">
                  <c:v>12.310470328176004</c:v>
                </c:pt>
                <c:pt idx="9">
                  <c:v>30.783335817516246</c:v>
                </c:pt>
                <c:pt idx="10">
                  <c:v>33.849197717187749</c:v>
                </c:pt>
                <c:pt idx="11">
                  <c:v>44.242319592817438</c:v>
                </c:pt>
                <c:pt idx="12">
                  <c:v>12.248596350757479</c:v>
                </c:pt>
                <c:pt idx="13">
                  <c:v>30.847396243998347</c:v>
                </c:pt>
                <c:pt idx="14">
                  <c:v>33.835504076346055</c:v>
                </c:pt>
                <c:pt idx="15">
                  <c:v>33.866051438369297</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1-CFEE-EB48-8D3D-8464EB7FBF63}"/>
            </c:ext>
          </c:extLst>
        </c:ser>
        <c:ser>
          <c:idx val="2"/>
          <c:order val="1"/>
          <c:tx>
            <c:strRef>
              <c:f>'13C'!$CB$1</c:f>
              <c:strCache>
                <c:ptCount val="1"/>
                <c:pt idx="0">
                  <c:v>offset δ13C (‰ VPDB)</c:v>
                </c:pt>
              </c:strCache>
            </c:strRef>
          </c:tx>
          <c:spPr>
            <a:ln w="25400" cap="rnd">
              <a:noFill/>
              <a:round/>
            </a:ln>
            <a:effectLst/>
          </c:spPr>
          <c:marker>
            <c:symbol val="circle"/>
            <c:size val="7"/>
            <c:spPr>
              <a:noFill/>
              <a:ln w="9525">
                <a:solidFill>
                  <a:srgbClr val="FF0000"/>
                </a:solidFill>
              </a:ln>
              <a:effectLst/>
            </c:spPr>
          </c:marker>
          <c:xVal>
            <c:numRef>
              <c:f>'13C'!$BP$2:$BP$25</c:f>
              <c:numCache>
                <c:formatCode>General</c:formatCode>
                <c:ptCount val="24"/>
                <c:pt idx="0">
                  <c:v>76.55</c:v>
                </c:pt>
                <c:pt idx="1">
                  <c:v>90.105000000000004</c:v>
                </c:pt>
                <c:pt idx="2">
                  <c:v>128.161</c:v>
                </c:pt>
                <c:pt idx="3">
                  <c:v>98.215999999999994</c:v>
                </c:pt>
                <c:pt idx="4">
                  <c:v>76.137</c:v>
                </c:pt>
                <c:pt idx="5">
                  <c:v>77.070999999999998</c:v>
                </c:pt>
                <c:pt idx="6">
                  <c:v>76.727000000000004</c:v>
                </c:pt>
                <c:pt idx="7">
                  <c:v>105.715</c:v>
                </c:pt>
                <c:pt idx="8">
                  <c:v>114.676</c:v>
                </c:pt>
                <c:pt idx="9">
                  <c:v>87.813999999999993</c:v>
                </c:pt>
                <c:pt idx="10">
                  <c:v>73.924000000000007</c:v>
                </c:pt>
                <c:pt idx="11">
                  <c:v>114.1</c:v>
                </c:pt>
                <c:pt idx="12">
                  <c:v>100.502</c:v>
                </c:pt>
                <c:pt idx="13">
                  <c:v>102.105</c:v>
                </c:pt>
                <c:pt idx="14">
                  <c:v>70.921999999999997</c:v>
                </c:pt>
                <c:pt idx="15">
                  <c:v>77.578999999999994</c:v>
                </c:pt>
              </c:numCache>
            </c:numRef>
          </c:xVal>
          <c:yVal>
            <c:numRef>
              <c:f>'13C'!$CB$2:$CB$25</c:f>
              <c:numCache>
                <c:formatCode>General</c:formatCode>
                <c:ptCount val="24"/>
                <c:pt idx="0">
                  <c:v>-2.7401531190851536E-2</c:v>
                </c:pt>
                <c:pt idx="1">
                  <c:v>0.11825453420999388</c:v>
                </c:pt>
                <c:pt idx="2">
                  <c:v>-8.1444446507039636E-2</c:v>
                </c:pt>
                <c:pt idx="3">
                  <c:v>-7.3200905572723407E-2</c:v>
                </c:pt>
                <c:pt idx="4">
                  <c:v>6.53778103987257E-3</c:v>
                </c:pt>
                <c:pt idx="5">
                  <c:v>1.1011843879860095E-2</c:v>
                </c:pt>
                <c:pt idx="6">
                  <c:v>-2.9067104705404745E-3</c:v>
                </c:pt>
                <c:pt idx="7">
                  <c:v>-2.7797685905883718E-2</c:v>
                </c:pt>
                <c:pt idx="8">
                  <c:v>3.4520522669945208E-2</c:v>
                </c:pt>
                <c:pt idx="9">
                  <c:v>-7.9944367175399655E-2</c:v>
                </c:pt>
                <c:pt idx="10">
                  <c:v>2.6512211341866987E-2</c:v>
                </c:pt>
                <c:pt idx="11">
                  <c:v>-8.9410877502693609E-2</c:v>
                </c:pt>
                <c:pt idx="12">
                  <c:v>4.5877953034123564E-2</c:v>
                </c:pt>
                <c:pt idx="13">
                  <c:v>-5.1591418446128579E-2</c:v>
                </c:pt>
                <c:pt idx="14">
                  <c:v>-7.6388782478398198E-3</c:v>
                </c:pt>
                <c:pt idx="15">
                  <c:v>-3.0479079499490247E-2</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0-CFEE-EB48-8D3D-8464EB7FBF63}"/>
            </c:ext>
          </c:extLst>
        </c:ser>
        <c:ser>
          <c:idx val="0"/>
          <c:order val="2"/>
          <c:tx>
            <c:strRef>
              <c:f>'13C'!$BY$1</c:f>
              <c:strCache>
                <c:ptCount val="1"/>
                <c:pt idx="0">
                  <c:v>offset d 13C/12C</c:v>
                </c:pt>
              </c:strCache>
            </c:strRef>
          </c:tx>
          <c:spPr>
            <a:ln w="25400" cap="rnd">
              <a:noFill/>
              <a:round/>
            </a:ln>
            <a:effectLst/>
          </c:spPr>
          <c:marker>
            <c:symbol val="circle"/>
            <c:size val="5"/>
            <c:spPr>
              <a:solidFill>
                <a:schemeClr val="accent1"/>
              </a:solidFill>
              <a:ln w="9525">
                <a:solidFill>
                  <a:schemeClr val="accent1"/>
                </a:solidFill>
              </a:ln>
              <a:effectLst/>
            </c:spPr>
          </c:marker>
          <c:xVal>
            <c:numRef>
              <c:f>'13C'!$BP$2:$BP$25</c:f>
              <c:numCache>
                <c:formatCode>General</c:formatCode>
                <c:ptCount val="24"/>
                <c:pt idx="0">
                  <c:v>76.55</c:v>
                </c:pt>
                <c:pt idx="1">
                  <c:v>90.105000000000004</c:v>
                </c:pt>
                <c:pt idx="2">
                  <c:v>128.161</c:v>
                </c:pt>
                <c:pt idx="3">
                  <c:v>98.215999999999994</c:v>
                </c:pt>
                <c:pt idx="4">
                  <c:v>76.137</c:v>
                </c:pt>
                <c:pt idx="5">
                  <c:v>77.070999999999998</c:v>
                </c:pt>
                <c:pt idx="6">
                  <c:v>76.727000000000004</c:v>
                </c:pt>
                <c:pt idx="7">
                  <c:v>105.715</c:v>
                </c:pt>
                <c:pt idx="8">
                  <c:v>114.676</c:v>
                </c:pt>
                <c:pt idx="9">
                  <c:v>87.813999999999993</c:v>
                </c:pt>
                <c:pt idx="10">
                  <c:v>73.924000000000007</c:v>
                </c:pt>
                <c:pt idx="11">
                  <c:v>114.1</c:v>
                </c:pt>
                <c:pt idx="12">
                  <c:v>100.502</c:v>
                </c:pt>
                <c:pt idx="13">
                  <c:v>102.105</c:v>
                </c:pt>
                <c:pt idx="14">
                  <c:v>70.921999999999997</c:v>
                </c:pt>
                <c:pt idx="15">
                  <c:v>77.578999999999994</c:v>
                </c:pt>
              </c:numCache>
            </c:numRef>
          </c:xVal>
          <c:yVal>
            <c:numRef>
              <c:f>'13C'!$BY$2:$BY$25</c:f>
              <c:numCache>
                <c:formatCode>General</c:formatCode>
                <c:ptCount val="24"/>
                <c:pt idx="0">
                  <c:v>0.27070310481991378</c:v>
                </c:pt>
                <c:pt idx="1">
                  <c:v>0.59683427414736201</c:v>
                </c:pt>
                <c:pt idx="2">
                  <c:v>-0.16791082519074241</c:v>
                </c:pt>
                <c:pt idx="3">
                  <c:v>0.17202484574418975</c:v>
                </c:pt>
                <c:pt idx="4">
                  <c:v>0.31203182311312361</c:v>
                </c:pt>
                <c:pt idx="5">
                  <c:v>0.32443043860097553</c:v>
                </c:pt>
                <c:pt idx="6">
                  <c:v>0.31513147698492006</c:v>
                </c:pt>
                <c:pt idx="7">
                  <c:v>0.47475453625356323</c:v>
                </c:pt>
                <c:pt idx="8">
                  <c:v>-3.3379862839133523E-2</c:v>
                </c:pt>
                <c:pt idx="9">
                  <c:v>0.1864460902976095</c:v>
                </c:pt>
                <c:pt idx="10">
                  <c:v>0.35129410549150641</c:v>
                </c:pt>
                <c:pt idx="11">
                  <c:v>0.4267573743466091</c:v>
                </c:pt>
                <c:pt idx="12">
                  <c:v>-1.0115109951192025E-2</c:v>
                </c:pt>
                <c:pt idx="13">
                  <c:v>0.22661955726777094</c:v>
                </c:pt>
                <c:pt idx="14">
                  <c:v>0.32649687451580256</c:v>
                </c:pt>
                <c:pt idx="15">
                  <c:v>0.30479929741167311</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2-CFEE-EB48-8D3D-8464EB7FBF63}"/>
            </c:ext>
          </c:extLst>
        </c:ser>
        <c:dLbls>
          <c:showLegendKey val="0"/>
          <c:showVal val="0"/>
          <c:showCatName val="0"/>
          <c:showSerName val="0"/>
          <c:showPercent val="0"/>
          <c:showBubbleSize val="0"/>
        </c:dLbls>
        <c:axId val="197234120"/>
        <c:axId val="197234512"/>
      </c:scatterChart>
      <c:valAx>
        <c:axId val="19723412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area</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97234512"/>
        <c:crosses val="autoZero"/>
        <c:crossBetween val="midCat"/>
      </c:valAx>
      <c:valAx>
        <c:axId val="197234512"/>
        <c:scaling>
          <c:orientation val="minMax"/>
          <c:max val="1"/>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d13C offset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972341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H"/>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
          <c:order val="0"/>
          <c:tx>
            <c:strRef>
              <c:f>'13C'!$CA$1</c:f>
              <c:strCache>
                <c:ptCount val="1"/>
                <c:pt idx="0">
                  <c:v>offset Initial Corrected δ13C (‰ VPDB)</c:v>
                </c:pt>
              </c:strCache>
            </c:strRef>
          </c:tx>
          <c:spPr>
            <a:ln w="25400" cap="rnd">
              <a:noFill/>
              <a:round/>
            </a:ln>
            <a:effectLst/>
          </c:spPr>
          <c:marker>
            <c:symbol val="circle"/>
            <c:size val="5"/>
            <c:spPr>
              <a:noFill/>
              <a:ln w="9525">
                <a:solidFill>
                  <a:srgbClr val="00B0F0"/>
                </a:solidFill>
              </a:ln>
              <a:effectLst/>
            </c:spPr>
          </c:marker>
          <c:xVal>
            <c:numRef>
              <c:f>'13C'!$BV$2:$BV$25</c:f>
              <c:numCache>
                <c:formatCode>General</c:formatCode>
                <c:ptCount val="24"/>
                <c:pt idx="0">
                  <c:v>1290747</c:v>
                </c:pt>
                <c:pt idx="1">
                  <c:v>217046</c:v>
                </c:pt>
                <c:pt idx="2">
                  <c:v>365088</c:v>
                </c:pt>
                <c:pt idx="3">
                  <c:v>563852</c:v>
                </c:pt>
                <c:pt idx="4">
                  <c:v>1271531</c:v>
                </c:pt>
                <c:pt idx="5">
                  <c:v>1282417</c:v>
                </c:pt>
                <c:pt idx="6">
                  <c:v>1272872</c:v>
                </c:pt>
                <c:pt idx="7">
                  <c:v>252183</c:v>
                </c:pt>
                <c:pt idx="8">
                  <c:v>709411</c:v>
                </c:pt>
                <c:pt idx="9">
                  <c:v>504014</c:v>
                </c:pt>
                <c:pt idx="10">
                  <c:v>1235095</c:v>
                </c:pt>
                <c:pt idx="11">
                  <c:v>271994</c:v>
                </c:pt>
                <c:pt idx="12">
                  <c:v>572653</c:v>
                </c:pt>
                <c:pt idx="13">
                  <c:v>581805</c:v>
                </c:pt>
                <c:pt idx="14">
                  <c:v>1188445</c:v>
                </c:pt>
                <c:pt idx="15">
                  <c:v>1289422</c:v>
                </c:pt>
              </c:numCache>
            </c:numRef>
          </c:xVal>
          <c:yVal>
            <c:numRef>
              <c:f>'13C'!$CA$2:$CA$25</c:f>
              <c:numCache>
                <c:formatCode>General</c:formatCode>
                <c:ptCount val="24"/>
                <c:pt idx="0">
                  <c:v>33.860784649388577</c:v>
                </c:pt>
                <c:pt idx="1">
                  <c:v>44.131688579069682</c:v>
                </c:pt>
                <c:pt idx="2">
                  <c:v>12.372344448035921</c:v>
                </c:pt>
                <c:pt idx="3">
                  <c:v>30.829543323187547</c:v>
                </c:pt>
                <c:pt idx="4">
                  <c:v>33.85867793407926</c:v>
                </c:pt>
                <c:pt idx="5">
                  <c:v>33.862891364859536</c:v>
                </c:pt>
                <c:pt idx="6">
                  <c:v>33.861838007103849</c:v>
                </c:pt>
                <c:pt idx="7">
                  <c:v>44.202960431567021</c:v>
                </c:pt>
                <c:pt idx="8">
                  <c:v>12.310470328176004</c:v>
                </c:pt>
                <c:pt idx="9">
                  <c:v>30.783335817516246</c:v>
                </c:pt>
                <c:pt idx="10">
                  <c:v>33.849197717187749</c:v>
                </c:pt>
                <c:pt idx="11">
                  <c:v>44.242319592817438</c:v>
                </c:pt>
                <c:pt idx="12">
                  <c:v>12.248596350757479</c:v>
                </c:pt>
                <c:pt idx="13">
                  <c:v>30.847396243998347</c:v>
                </c:pt>
                <c:pt idx="14">
                  <c:v>33.835504076346055</c:v>
                </c:pt>
                <c:pt idx="15">
                  <c:v>33.866051438369297</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1-CFEE-EB48-8D3D-8464EB7FBF63}"/>
            </c:ext>
          </c:extLst>
        </c:ser>
        <c:ser>
          <c:idx val="2"/>
          <c:order val="1"/>
          <c:tx>
            <c:strRef>
              <c:f>'13C'!$CB$1</c:f>
              <c:strCache>
                <c:ptCount val="1"/>
                <c:pt idx="0">
                  <c:v>offset δ13C (‰ VPDB)</c:v>
                </c:pt>
              </c:strCache>
            </c:strRef>
          </c:tx>
          <c:spPr>
            <a:ln w="25400" cap="rnd">
              <a:noFill/>
              <a:round/>
            </a:ln>
            <a:effectLst/>
          </c:spPr>
          <c:marker>
            <c:symbol val="circle"/>
            <c:size val="7"/>
            <c:spPr>
              <a:noFill/>
              <a:ln w="9525">
                <a:solidFill>
                  <a:srgbClr val="FF0000"/>
                </a:solidFill>
              </a:ln>
              <a:effectLst/>
            </c:spPr>
          </c:marker>
          <c:xVal>
            <c:numRef>
              <c:f>'13C'!$BV$2:$BV$25</c:f>
              <c:numCache>
                <c:formatCode>General</c:formatCode>
                <c:ptCount val="24"/>
                <c:pt idx="0">
                  <c:v>1290747</c:v>
                </c:pt>
                <c:pt idx="1">
                  <c:v>217046</c:v>
                </c:pt>
                <c:pt idx="2">
                  <c:v>365088</c:v>
                </c:pt>
                <c:pt idx="3">
                  <c:v>563852</c:v>
                </c:pt>
                <c:pt idx="4">
                  <c:v>1271531</c:v>
                </c:pt>
                <c:pt idx="5">
                  <c:v>1282417</c:v>
                </c:pt>
                <c:pt idx="6">
                  <c:v>1272872</c:v>
                </c:pt>
                <c:pt idx="7">
                  <c:v>252183</c:v>
                </c:pt>
                <c:pt idx="8">
                  <c:v>709411</c:v>
                </c:pt>
                <c:pt idx="9">
                  <c:v>504014</c:v>
                </c:pt>
                <c:pt idx="10">
                  <c:v>1235095</c:v>
                </c:pt>
                <c:pt idx="11">
                  <c:v>271994</c:v>
                </c:pt>
                <c:pt idx="12">
                  <c:v>572653</c:v>
                </c:pt>
                <c:pt idx="13">
                  <c:v>581805</c:v>
                </c:pt>
                <c:pt idx="14">
                  <c:v>1188445</c:v>
                </c:pt>
                <c:pt idx="15">
                  <c:v>1289422</c:v>
                </c:pt>
              </c:numCache>
            </c:numRef>
          </c:xVal>
          <c:yVal>
            <c:numRef>
              <c:f>'13C'!$CB$2:$CB$25</c:f>
              <c:numCache>
                <c:formatCode>General</c:formatCode>
                <c:ptCount val="24"/>
                <c:pt idx="0">
                  <c:v>-2.7401531190851536E-2</c:v>
                </c:pt>
                <c:pt idx="1">
                  <c:v>0.11825453420999388</c:v>
                </c:pt>
                <c:pt idx="2">
                  <c:v>-8.1444446507039636E-2</c:v>
                </c:pt>
                <c:pt idx="3">
                  <c:v>-7.3200905572723407E-2</c:v>
                </c:pt>
                <c:pt idx="4">
                  <c:v>6.53778103987257E-3</c:v>
                </c:pt>
                <c:pt idx="5">
                  <c:v>1.1011843879860095E-2</c:v>
                </c:pt>
                <c:pt idx="6">
                  <c:v>-2.9067104705404745E-3</c:v>
                </c:pt>
                <c:pt idx="7">
                  <c:v>-2.7797685905883718E-2</c:v>
                </c:pt>
                <c:pt idx="8">
                  <c:v>3.4520522669945208E-2</c:v>
                </c:pt>
                <c:pt idx="9">
                  <c:v>-7.9944367175399655E-2</c:v>
                </c:pt>
                <c:pt idx="10">
                  <c:v>2.6512211341866987E-2</c:v>
                </c:pt>
                <c:pt idx="11">
                  <c:v>-8.9410877502693609E-2</c:v>
                </c:pt>
                <c:pt idx="12">
                  <c:v>4.5877953034123564E-2</c:v>
                </c:pt>
                <c:pt idx="13">
                  <c:v>-5.1591418446128579E-2</c:v>
                </c:pt>
                <c:pt idx="14">
                  <c:v>-7.6388782478398198E-3</c:v>
                </c:pt>
                <c:pt idx="15">
                  <c:v>-3.0479079499490247E-2</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0-CFEE-EB48-8D3D-8464EB7FBF63}"/>
            </c:ext>
          </c:extLst>
        </c:ser>
        <c:ser>
          <c:idx val="3"/>
          <c:order val="3"/>
          <c:tx>
            <c:strRef>
              <c:f>'13C'!$BZ$1</c:f>
              <c:strCache>
                <c:ptCount val="1"/>
                <c:pt idx="0">
                  <c:v>offset Drift_corr d 13C/12C</c:v>
                </c:pt>
              </c:strCache>
            </c:strRef>
          </c:tx>
          <c:spPr>
            <a:ln w="25400" cap="rnd">
              <a:noFill/>
              <a:round/>
            </a:ln>
            <a:effectLst/>
          </c:spPr>
          <c:marker>
            <c:symbol val="circle"/>
            <c:size val="5"/>
            <c:spPr>
              <a:solidFill>
                <a:schemeClr val="accent4"/>
              </a:solidFill>
              <a:ln w="9525">
                <a:solidFill>
                  <a:schemeClr val="accent4"/>
                </a:solidFill>
              </a:ln>
              <a:effectLst/>
            </c:spPr>
          </c:marker>
          <c:xVal>
            <c:numRef>
              <c:f>'13C'!$BV$2:$BV$25</c:f>
              <c:numCache>
                <c:formatCode>General</c:formatCode>
                <c:ptCount val="24"/>
                <c:pt idx="0">
                  <c:v>1290747</c:v>
                </c:pt>
                <c:pt idx="1">
                  <c:v>217046</c:v>
                </c:pt>
                <c:pt idx="2">
                  <c:v>365088</c:v>
                </c:pt>
                <c:pt idx="3">
                  <c:v>563852</c:v>
                </c:pt>
                <c:pt idx="4">
                  <c:v>1271531</c:v>
                </c:pt>
                <c:pt idx="5">
                  <c:v>1282417</c:v>
                </c:pt>
                <c:pt idx="6">
                  <c:v>1272872</c:v>
                </c:pt>
                <c:pt idx="7">
                  <c:v>252183</c:v>
                </c:pt>
                <c:pt idx="8">
                  <c:v>709411</c:v>
                </c:pt>
                <c:pt idx="9">
                  <c:v>504014</c:v>
                </c:pt>
                <c:pt idx="10">
                  <c:v>1235095</c:v>
                </c:pt>
                <c:pt idx="11">
                  <c:v>271994</c:v>
                </c:pt>
                <c:pt idx="12">
                  <c:v>572653</c:v>
                </c:pt>
                <c:pt idx="13">
                  <c:v>581805</c:v>
                </c:pt>
                <c:pt idx="14">
                  <c:v>1188445</c:v>
                </c:pt>
                <c:pt idx="15">
                  <c:v>1289422</c:v>
                </c:pt>
              </c:numCache>
            </c:numRef>
          </c:xVal>
          <c:yVal>
            <c:numRef>
              <c:f>'13C'!$BZ$2:$BZ$25</c:f>
              <c:numCache>
                <c:formatCode>General</c:formatCode>
                <c:ptCount val="24"/>
                <c:pt idx="0">
                  <c:v>-20.062598724830739</c:v>
                </c:pt>
                <c:pt idx="1">
                  <c:v>-19.937906883354728</c:v>
                </c:pt>
                <c:pt idx="2">
                  <c:v>-20.07545364250096</c:v>
                </c:pt>
                <c:pt idx="3">
                  <c:v>-20.101875155450919</c:v>
                </c:pt>
                <c:pt idx="4">
                  <c:v>-20.029275816550008</c:v>
                </c:pt>
                <c:pt idx="5">
                  <c:v>-20.024883011074412</c:v>
                </c:pt>
                <c:pt idx="6">
                  <c:v>-20.0385487781517</c:v>
                </c:pt>
                <c:pt idx="7">
                  <c:v>-20.081301181310241</c:v>
                </c:pt>
                <c:pt idx="8">
                  <c:v>-19.961585484075783</c:v>
                </c:pt>
                <c:pt idx="9">
                  <c:v>-20.108496217902783</c:v>
                </c:pt>
                <c:pt idx="10">
                  <c:v>-20.009664158747388</c:v>
                </c:pt>
                <c:pt idx="11">
                  <c:v>-20.14179308532249</c:v>
                </c:pt>
                <c:pt idx="12">
                  <c:v>-19.950433409351653</c:v>
                </c:pt>
                <c:pt idx="13">
                  <c:v>-20.08065789641855</c:v>
                </c:pt>
                <c:pt idx="14">
                  <c:v>-20.043195000645888</c:v>
                </c:pt>
                <c:pt idx="15">
                  <c:v>-20.06562037866</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3-CFEE-EB48-8D3D-8464EB7FBF63}"/>
            </c:ext>
          </c:extLst>
        </c:ser>
        <c:dLbls>
          <c:showLegendKey val="0"/>
          <c:showVal val="0"/>
          <c:showCatName val="0"/>
          <c:showSerName val="0"/>
          <c:showPercent val="0"/>
          <c:showBubbleSize val="0"/>
        </c:dLbls>
        <c:axId val="168953576"/>
        <c:axId val="168953184"/>
      </c:scatterChart>
      <c:scatterChart>
        <c:scatterStyle val="lineMarker"/>
        <c:varyColors val="0"/>
        <c:ser>
          <c:idx val="0"/>
          <c:order val="2"/>
          <c:tx>
            <c:strRef>
              <c:f>'13C'!$BY$1</c:f>
              <c:strCache>
                <c:ptCount val="1"/>
                <c:pt idx="0">
                  <c:v>offset d 13C/12C</c:v>
                </c:pt>
              </c:strCache>
            </c:strRef>
          </c:tx>
          <c:spPr>
            <a:ln w="25400" cap="rnd">
              <a:noFill/>
              <a:round/>
            </a:ln>
            <a:effectLst/>
          </c:spPr>
          <c:marker>
            <c:symbol val="circle"/>
            <c:size val="5"/>
            <c:spPr>
              <a:solidFill>
                <a:schemeClr val="accent1"/>
              </a:solidFill>
              <a:ln w="9525">
                <a:solidFill>
                  <a:schemeClr val="accent1"/>
                </a:solidFill>
              </a:ln>
              <a:effectLst/>
            </c:spPr>
          </c:marker>
          <c:xVal>
            <c:numRef>
              <c:f>'13C'!$BV$2:$BV$25</c:f>
              <c:numCache>
                <c:formatCode>General</c:formatCode>
                <c:ptCount val="24"/>
                <c:pt idx="0">
                  <c:v>1290747</c:v>
                </c:pt>
                <c:pt idx="1">
                  <c:v>217046</c:v>
                </c:pt>
                <c:pt idx="2">
                  <c:v>365088</c:v>
                </c:pt>
                <c:pt idx="3">
                  <c:v>563852</c:v>
                </c:pt>
                <c:pt idx="4">
                  <c:v>1271531</c:v>
                </c:pt>
                <c:pt idx="5">
                  <c:v>1282417</c:v>
                </c:pt>
                <c:pt idx="6">
                  <c:v>1272872</c:v>
                </c:pt>
                <c:pt idx="7">
                  <c:v>252183</c:v>
                </c:pt>
                <c:pt idx="8">
                  <c:v>709411</c:v>
                </c:pt>
                <c:pt idx="9">
                  <c:v>504014</c:v>
                </c:pt>
                <c:pt idx="10">
                  <c:v>1235095</c:v>
                </c:pt>
                <c:pt idx="11">
                  <c:v>271994</c:v>
                </c:pt>
                <c:pt idx="12">
                  <c:v>572653</c:v>
                </c:pt>
                <c:pt idx="13">
                  <c:v>581805</c:v>
                </c:pt>
                <c:pt idx="14">
                  <c:v>1188445</c:v>
                </c:pt>
                <c:pt idx="15">
                  <c:v>1289422</c:v>
                </c:pt>
              </c:numCache>
            </c:numRef>
          </c:xVal>
          <c:yVal>
            <c:numRef>
              <c:f>'13C'!$BY$2:$BY$25</c:f>
              <c:numCache>
                <c:formatCode>General</c:formatCode>
                <c:ptCount val="24"/>
                <c:pt idx="0">
                  <c:v>0.27070310481991378</c:v>
                </c:pt>
                <c:pt idx="1">
                  <c:v>0.59683427414736201</c:v>
                </c:pt>
                <c:pt idx="2">
                  <c:v>-0.16791082519074241</c:v>
                </c:pt>
                <c:pt idx="3">
                  <c:v>0.17202484574418975</c:v>
                </c:pt>
                <c:pt idx="4">
                  <c:v>0.31203182311312361</c:v>
                </c:pt>
                <c:pt idx="5">
                  <c:v>0.32443043860097553</c:v>
                </c:pt>
                <c:pt idx="6">
                  <c:v>0.31513147698492006</c:v>
                </c:pt>
                <c:pt idx="7">
                  <c:v>0.47475453625356323</c:v>
                </c:pt>
                <c:pt idx="8">
                  <c:v>-3.3379862839133523E-2</c:v>
                </c:pt>
                <c:pt idx="9">
                  <c:v>0.1864460902976095</c:v>
                </c:pt>
                <c:pt idx="10">
                  <c:v>0.35129410549150641</c:v>
                </c:pt>
                <c:pt idx="11">
                  <c:v>0.4267573743466091</c:v>
                </c:pt>
                <c:pt idx="12">
                  <c:v>-1.0115109951192025E-2</c:v>
                </c:pt>
                <c:pt idx="13">
                  <c:v>0.22661955726777094</c:v>
                </c:pt>
                <c:pt idx="14">
                  <c:v>0.32649687451580256</c:v>
                </c:pt>
                <c:pt idx="15">
                  <c:v>0.30479929741167311</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2-CFEE-EB48-8D3D-8464EB7FBF63}"/>
            </c:ext>
          </c:extLst>
        </c:ser>
        <c:dLbls>
          <c:showLegendKey val="0"/>
          <c:showVal val="0"/>
          <c:showCatName val="0"/>
          <c:showSerName val="0"/>
          <c:showPercent val="0"/>
          <c:showBubbleSize val="0"/>
        </c:dLbls>
        <c:axId val="168952400"/>
        <c:axId val="168952792"/>
      </c:scatterChart>
      <c:valAx>
        <c:axId val="16895357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rArea Flash TCD (raw area</a:t>
                </a:r>
                <a:r>
                  <a:rPr lang="en-US" baseline="0"/>
                  <a:t> signal)</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68953184"/>
        <c:crosses val="autoZero"/>
        <c:crossBetween val="midCat"/>
      </c:valAx>
      <c:valAx>
        <c:axId val="168953184"/>
        <c:scaling>
          <c:orientation val="minMax"/>
          <c:max val="1"/>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d13Coffset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68953576"/>
        <c:crosses val="autoZero"/>
        <c:crossBetween val="midCat"/>
      </c:valAx>
      <c:valAx>
        <c:axId val="168952792"/>
        <c:scaling>
          <c:orientation val="minMax"/>
        </c:scaling>
        <c:delete val="1"/>
        <c:axPos val="r"/>
        <c:numFmt formatCode="General" sourceLinked="1"/>
        <c:majorTickMark val="out"/>
        <c:minorTickMark val="none"/>
        <c:tickLblPos val="nextTo"/>
        <c:crossAx val="168952400"/>
        <c:crosses val="max"/>
        <c:crossBetween val="midCat"/>
      </c:valAx>
      <c:valAx>
        <c:axId val="168952400"/>
        <c:scaling>
          <c:orientation val="minMax"/>
        </c:scaling>
        <c:delete val="1"/>
        <c:axPos val="b"/>
        <c:numFmt formatCode="General" sourceLinked="1"/>
        <c:majorTickMark val="out"/>
        <c:minorTickMark val="none"/>
        <c:tickLblPos val="nextTo"/>
        <c:crossAx val="1689527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H"/>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xVal>
            <c:numRef>
              <c:f>'13C'!$BP$2:$BP$25</c:f>
              <c:numCache>
                <c:formatCode>General</c:formatCode>
                <c:ptCount val="24"/>
                <c:pt idx="0">
                  <c:v>76.55</c:v>
                </c:pt>
                <c:pt idx="1">
                  <c:v>90.105000000000004</c:v>
                </c:pt>
                <c:pt idx="2">
                  <c:v>128.161</c:v>
                </c:pt>
                <c:pt idx="3">
                  <c:v>98.215999999999994</c:v>
                </c:pt>
                <c:pt idx="4">
                  <c:v>76.137</c:v>
                </c:pt>
                <c:pt idx="5">
                  <c:v>77.070999999999998</c:v>
                </c:pt>
                <c:pt idx="6">
                  <c:v>76.727000000000004</c:v>
                </c:pt>
                <c:pt idx="7">
                  <c:v>105.715</c:v>
                </c:pt>
                <c:pt idx="8">
                  <c:v>114.676</c:v>
                </c:pt>
                <c:pt idx="9">
                  <c:v>87.813999999999993</c:v>
                </c:pt>
                <c:pt idx="10">
                  <c:v>73.924000000000007</c:v>
                </c:pt>
                <c:pt idx="11">
                  <c:v>114.1</c:v>
                </c:pt>
                <c:pt idx="12">
                  <c:v>100.502</c:v>
                </c:pt>
                <c:pt idx="13">
                  <c:v>102.105</c:v>
                </c:pt>
                <c:pt idx="14">
                  <c:v>70.921999999999997</c:v>
                </c:pt>
                <c:pt idx="15">
                  <c:v>77.578999999999994</c:v>
                </c:pt>
              </c:numCache>
            </c:numRef>
          </c:xVal>
          <c:yVal>
            <c:numRef>
              <c:f>'13C'!$BV$2:$BV$25</c:f>
              <c:numCache>
                <c:formatCode>General</c:formatCode>
                <c:ptCount val="24"/>
                <c:pt idx="0">
                  <c:v>1290747</c:v>
                </c:pt>
                <c:pt idx="1">
                  <c:v>217046</c:v>
                </c:pt>
                <c:pt idx="2">
                  <c:v>365088</c:v>
                </c:pt>
                <c:pt idx="3">
                  <c:v>563852</c:v>
                </c:pt>
                <c:pt idx="4">
                  <c:v>1271531</c:v>
                </c:pt>
                <c:pt idx="5">
                  <c:v>1282417</c:v>
                </c:pt>
                <c:pt idx="6">
                  <c:v>1272872</c:v>
                </c:pt>
                <c:pt idx="7">
                  <c:v>252183</c:v>
                </c:pt>
                <c:pt idx="8">
                  <c:v>709411</c:v>
                </c:pt>
                <c:pt idx="9">
                  <c:v>504014</c:v>
                </c:pt>
                <c:pt idx="10">
                  <c:v>1235095</c:v>
                </c:pt>
                <c:pt idx="11">
                  <c:v>271994</c:v>
                </c:pt>
                <c:pt idx="12">
                  <c:v>572653</c:v>
                </c:pt>
                <c:pt idx="13">
                  <c:v>581805</c:v>
                </c:pt>
                <c:pt idx="14">
                  <c:v>1188445</c:v>
                </c:pt>
                <c:pt idx="15">
                  <c:v>1289422</c:v>
                </c:pt>
              </c:numCache>
            </c:numRef>
          </c:yVal>
          <c:smooth val="0"/>
          <c:extLst>
            <c:ext xmlns:c16="http://schemas.microsoft.com/office/drawing/2014/chart" uri="{C3380CC4-5D6E-409C-BE32-E72D297353CC}">
              <c16:uniqueId val="{00000000-0C99-7A4C-891C-2E31B712C9A0}"/>
            </c:ext>
          </c:extLst>
        </c:ser>
        <c:dLbls>
          <c:showLegendKey val="0"/>
          <c:showVal val="0"/>
          <c:showCatName val="0"/>
          <c:showSerName val="0"/>
          <c:showPercent val="0"/>
          <c:showBubbleSize val="0"/>
        </c:dLbls>
        <c:axId val="197236472"/>
        <c:axId val="197236080"/>
      </c:scatterChart>
      <c:valAx>
        <c:axId val="19723647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Area All</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97236080"/>
        <c:crosses val="autoZero"/>
        <c:crossBetween val="midCat"/>
      </c:valAx>
      <c:valAx>
        <c:axId val="1972360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rArea Flash TCD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9723647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H"/>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'13C'!$J$1</c:f>
              <c:strCache>
                <c:ptCount val="1"/>
                <c:pt idx="0">
                  <c:v>BGD 44</c:v>
                </c:pt>
              </c:strCache>
            </c:strRef>
          </c:tx>
          <c:spPr>
            <a:ln w="25400" cap="rnd">
              <a:noFill/>
              <a:round/>
            </a:ln>
            <a:effectLst/>
          </c:spPr>
          <c:marker>
            <c:symbol val="circle"/>
            <c:size val="5"/>
            <c:spPr>
              <a:solidFill>
                <a:schemeClr val="accent1"/>
              </a:solidFill>
              <a:ln w="9525">
                <a:solidFill>
                  <a:schemeClr val="accent1"/>
                </a:solidFill>
              </a:ln>
              <a:effectLst/>
            </c:spPr>
          </c:marker>
          <c:xVal>
            <c:numRef>
              <c:f>'13C'!$B$2:$B$125</c:f>
              <c:numCache>
                <c:formatCode>General</c:formatCode>
                <c:ptCount val="124"/>
                <c:pt idx="0">
                  <c:v>27934</c:v>
                </c:pt>
                <c:pt idx="1">
                  <c:v>27935</c:v>
                </c:pt>
                <c:pt idx="2">
                  <c:v>27936</c:v>
                </c:pt>
                <c:pt idx="3">
                  <c:v>27938</c:v>
                </c:pt>
                <c:pt idx="4">
                  <c:v>27939</c:v>
                </c:pt>
                <c:pt idx="5">
                  <c:v>27940</c:v>
                </c:pt>
                <c:pt idx="6">
                  <c:v>27941</c:v>
                </c:pt>
                <c:pt idx="7">
                  <c:v>27942</c:v>
                </c:pt>
                <c:pt idx="8">
                  <c:v>27943</c:v>
                </c:pt>
                <c:pt idx="9">
                  <c:v>27944</c:v>
                </c:pt>
                <c:pt idx="10">
                  <c:v>27945</c:v>
                </c:pt>
                <c:pt idx="11">
                  <c:v>27946</c:v>
                </c:pt>
                <c:pt idx="12">
                  <c:v>27947</c:v>
                </c:pt>
                <c:pt idx="13">
                  <c:v>27948</c:v>
                </c:pt>
                <c:pt idx="14">
                  <c:v>27949</c:v>
                </c:pt>
                <c:pt idx="15">
                  <c:v>27950</c:v>
                </c:pt>
                <c:pt idx="16">
                  <c:v>27951</c:v>
                </c:pt>
                <c:pt idx="17">
                  <c:v>27952</c:v>
                </c:pt>
                <c:pt idx="18">
                  <c:v>27953</c:v>
                </c:pt>
                <c:pt idx="19">
                  <c:v>27954</c:v>
                </c:pt>
                <c:pt idx="20">
                  <c:v>27955</c:v>
                </c:pt>
                <c:pt idx="21">
                  <c:v>27956</c:v>
                </c:pt>
                <c:pt idx="22">
                  <c:v>27957</c:v>
                </c:pt>
                <c:pt idx="23">
                  <c:v>27958</c:v>
                </c:pt>
                <c:pt idx="24">
                  <c:v>27959</c:v>
                </c:pt>
                <c:pt idx="25">
                  <c:v>27960</c:v>
                </c:pt>
                <c:pt idx="26">
                  <c:v>27961</c:v>
                </c:pt>
                <c:pt idx="27">
                  <c:v>27962</c:v>
                </c:pt>
                <c:pt idx="28">
                  <c:v>27963</c:v>
                </c:pt>
                <c:pt idx="29">
                  <c:v>27964</c:v>
                </c:pt>
                <c:pt idx="30">
                  <c:v>27965</c:v>
                </c:pt>
                <c:pt idx="31">
                  <c:v>27966</c:v>
                </c:pt>
                <c:pt idx="32">
                  <c:v>27967</c:v>
                </c:pt>
                <c:pt idx="33">
                  <c:v>27968</c:v>
                </c:pt>
                <c:pt idx="34">
                  <c:v>27969</c:v>
                </c:pt>
                <c:pt idx="35">
                  <c:v>27970</c:v>
                </c:pt>
                <c:pt idx="36">
                  <c:v>27971</c:v>
                </c:pt>
                <c:pt idx="37">
                  <c:v>27972</c:v>
                </c:pt>
                <c:pt idx="38">
                  <c:v>27973</c:v>
                </c:pt>
                <c:pt idx="39">
                  <c:v>27974</c:v>
                </c:pt>
                <c:pt idx="40">
                  <c:v>27975</c:v>
                </c:pt>
                <c:pt idx="41">
                  <c:v>27976</c:v>
                </c:pt>
                <c:pt idx="42">
                  <c:v>27977</c:v>
                </c:pt>
                <c:pt idx="43">
                  <c:v>27978</c:v>
                </c:pt>
                <c:pt idx="44">
                  <c:v>27979</c:v>
                </c:pt>
                <c:pt idx="45">
                  <c:v>27980</c:v>
                </c:pt>
                <c:pt idx="46">
                  <c:v>27981</c:v>
                </c:pt>
                <c:pt idx="47">
                  <c:v>27982</c:v>
                </c:pt>
                <c:pt idx="48">
                  <c:v>27983</c:v>
                </c:pt>
                <c:pt idx="49">
                  <c:v>27984</c:v>
                </c:pt>
                <c:pt idx="50">
                  <c:v>27985</c:v>
                </c:pt>
                <c:pt idx="51">
                  <c:v>27986</c:v>
                </c:pt>
                <c:pt idx="52">
                  <c:v>27987</c:v>
                </c:pt>
                <c:pt idx="53">
                  <c:v>27988</c:v>
                </c:pt>
                <c:pt idx="54">
                  <c:v>27989</c:v>
                </c:pt>
              </c:numCache>
            </c:numRef>
          </c:xVal>
          <c:yVal>
            <c:numRef>
              <c:f>'13C'!$J$2:$J$125</c:f>
              <c:numCache>
                <c:formatCode>General</c:formatCode>
                <c:ptCount val="124"/>
                <c:pt idx="0">
                  <c:v>1.9</c:v>
                </c:pt>
                <c:pt idx="1">
                  <c:v>1.9</c:v>
                </c:pt>
                <c:pt idx="2">
                  <c:v>2</c:v>
                </c:pt>
                <c:pt idx="3">
                  <c:v>1.1000000000000001</c:v>
                </c:pt>
                <c:pt idx="4">
                  <c:v>2.2999999999999998</c:v>
                </c:pt>
                <c:pt idx="5">
                  <c:v>2.1</c:v>
                </c:pt>
                <c:pt idx="6">
                  <c:v>2.1</c:v>
                </c:pt>
                <c:pt idx="7">
                  <c:v>1.4</c:v>
                </c:pt>
                <c:pt idx="8">
                  <c:v>2.2000000000000002</c:v>
                </c:pt>
                <c:pt idx="9">
                  <c:v>1.2</c:v>
                </c:pt>
                <c:pt idx="10">
                  <c:v>1.3</c:v>
                </c:pt>
                <c:pt idx="11">
                  <c:v>1.4</c:v>
                </c:pt>
                <c:pt idx="12">
                  <c:v>1.4</c:v>
                </c:pt>
                <c:pt idx="13">
                  <c:v>2.2000000000000002</c:v>
                </c:pt>
                <c:pt idx="14">
                  <c:v>1.3</c:v>
                </c:pt>
                <c:pt idx="15">
                  <c:v>1.5</c:v>
                </c:pt>
                <c:pt idx="16">
                  <c:v>1.4</c:v>
                </c:pt>
                <c:pt idx="17">
                  <c:v>1.4</c:v>
                </c:pt>
                <c:pt idx="18">
                  <c:v>1.3</c:v>
                </c:pt>
                <c:pt idx="19">
                  <c:v>1.4</c:v>
                </c:pt>
                <c:pt idx="20">
                  <c:v>2.4</c:v>
                </c:pt>
                <c:pt idx="21">
                  <c:v>2.1</c:v>
                </c:pt>
                <c:pt idx="22">
                  <c:v>1.4</c:v>
                </c:pt>
                <c:pt idx="23">
                  <c:v>2.2999999999999998</c:v>
                </c:pt>
                <c:pt idx="24">
                  <c:v>1.4</c:v>
                </c:pt>
                <c:pt idx="25">
                  <c:v>1.3</c:v>
                </c:pt>
                <c:pt idx="26">
                  <c:v>1.1000000000000001</c:v>
                </c:pt>
                <c:pt idx="27">
                  <c:v>2.5</c:v>
                </c:pt>
                <c:pt idx="28">
                  <c:v>1.1000000000000001</c:v>
                </c:pt>
                <c:pt idx="29">
                  <c:v>1.6</c:v>
                </c:pt>
                <c:pt idx="30">
                  <c:v>1.5</c:v>
                </c:pt>
                <c:pt idx="31">
                  <c:v>1.4</c:v>
                </c:pt>
                <c:pt idx="32">
                  <c:v>1.5</c:v>
                </c:pt>
                <c:pt idx="33">
                  <c:v>2.7</c:v>
                </c:pt>
                <c:pt idx="34">
                  <c:v>2.1</c:v>
                </c:pt>
                <c:pt idx="35">
                  <c:v>2.2999999999999998</c:v>
                </c:pt>
                <c:pt idx="36">
                  <c:v>2.4</c:v>
                </c:pt>
                <c:pt idx="37">
                  <c:v>2.2000000000000002</c:v>
                </c:pt>
                <c:pt idx="38">
                  <c:v>2.2000000000000002</c:v>
                </c:pt>
                <c:pt idx="39">
                  <c:v>2.2999999999999998</c:v>
                </c:pt>
                <c:pt idx="40">
                  <c:v>2.2999999999999998</c:v>
                </c:pt>
                <c:pt idx="41">
                  <c:v>1.3</c:v>
                </c:pt>
                <c:pt idx="42">
                  <c:v>2.5</c:v>
                </c:pt>
                <c:pt idx="43">
                  <c:v>2.2999999999999998</c:v>
                </c:pt>
                <c:pt idx="44">
                  <c:v>2.2000000000000002</c:v>
                </c:pt>
                <c:pt idx="45">
                  <c:v>2.2000000000000002</c:v>
                </c:pt>
                <c:pt idx="46">
                  <c:v>2.1</c:v>
                </c:pt>
                <c:pt idx="47">
                  <c:v>2.2000000000000002</c:v>
                </c:pt>
                <c:pt idx="48">
                  <c:v>2.2999999999999998</c:v>
                </c:pt>
                <c:pt idx="49">
                  <c:v>1.5</c:v>
                </c:pt>
                <c:pt idx="50">
                  <c:v>2.4</c:v>
                </c:pt>
                <c:pt idx="51">
                  <c:v>2.2000000000000002</c:v>
                </c:pt>
                <c:pt idx="52">
                  <c:v>2.1</c:v>
                </c:pt>
                <c:pt idx="53">
                  <c:v>1.3</c:v>
                </c:pt>
                <c:pt idx="54">
                  <c:v>1.3</c:v>
                </c:pt>
              </c:numCache>
            </c:numRef>
          </c:yVal>
          <c:smooth val="0"/>
          <c:extLst>
            <c:ext xmlns:c16="http://schemas.microsoft.com/office/drawing/2014/chart" uri="{C3380CC4-5D6E-409C-BE32-E72D297353CC}">
              <c16:uniqueId val="{00000002-94DD-4947-A59D-0E3E71BA59D5}"/>
            </c:ext>
          </c:extLst>
        </c:ser>
        <c:ser>
          <c:idx val="1"/>
          <c:order val="1"/>
          <c:tx>
            <c:strRef>
              <c:f>'13C'!$K$1</c:f>
              <c:strCache>
                <c:ptCount val="1"/>
                <c:pt idx="0">
                  <c:v>BGD 45</c:v>
                </c:pt>
              </c:strCache>
            </c:strRef>
          </c:tx>
          <c:spPr>
            <a:ln w="25400" cap="rnd">
              <a:noFill/>
              <a:round/>
            </a:ln>
            <a:effectLst/>
          </c:spPr>
          <c:marker>
            <c:symbol val="circle"/>
            <c:size val="5"/>
            <c:spPr>
              <a:noFill/>
              <a:ln w="9525">
                <a:solidFill>
                  <a:srgbClr val="00B0F0"/>
                </a:solidFill>
              </a:ln>
              <a:effectLst/>
            </c:spPr>
          </c:marker>
          <c:xVal>
            <c:numRef>
              <c:f>'13C'!$B$2:$B$125</c:f>
              <c:numCache>
                <c:formatCode>General</c:formatCode>
                <c:ptCount val="124"/>
                <c:pt idx="0">
                  <c:v>27934</c:v>
                </c:pt>
                <c:pt idx="1">
                  <c:v>27935</c:v>
                </c:pt>
                <c:pt idx="2">
                  <c:v>27936</c:v>
                </c:pt>
                <c:pt idx="3">
                  <c:v>27938</c:v>
                </c:pt>
                <c:pt idx="4">
                  <c:v>27939</c:v>
                </c:pt>
                <c:pt idx="5">
                  <c:v>27940</c:v>
                </c:pt>
                <c:pt idx="6">
                  <c:v>27941</c:v>
                </c:pt>
                <c:pt idx="7">
                  <c:v>27942</c:v>
                </c:pt>
                <c:pt idx="8">
                  <c:v>27943</c:v>
                </c:pt>
                <c:pt idx="9">
                  <c:v>27944</c:v>
                </c:pt>
                <c:pt idx="10">
                  <c:v>27945</c:v>
                </c:pt>
                <c:pt idx="11">
                  <c:v>27946</c:v>
                </c:pt>
                <c:pt idx="12">
                  <c:v>27947</c:v>
                </c:pt>
                <c:pt idx="13">
                  <c:v>27948</c:v>
                </c:pt>
                <c:pt idx="14">
                  <c:v>27949</c:v>
                </c:pt>
                <c:pt idx="15">
                  <c:v>27950</c:v>
                </c:pt>
                <c:pt idx="16">
                  <c:v>27951</c:v>
                </c:pt>
                <c:pt idx="17">
                  <c:v>27952</c:v>
                </c:pt>
                <c:pt idx="18">
                  <c:v>27953</c:v>
                </c:pt>
                <c:pt idx="19">
                  <c:v>27954</c:v>
                </c:pt>
                <c:pt idx="20">
                  <c:v>27955</c:v>
                </c:pt>
                <c:pt idx="21">
                  <c:v>27956</c:v>
                </c:pt>
                <c:pt idx="22">
                  <c:v>27957</c:v>
                </c:pt>
                <c:pt idx="23">
                  <c:v>27958</c:v>
                </c:pt>
                <c:pt idx="24">
                  <c:v>27959</c:v>
                </c:pt>
                <c:pt idx="25">
                  <c:v>27960</c:v>
                </c:pt>
                <c:pt idx="26">
                  <c:v>27961</c:v>
                </c:pt>
                <c:pt idx="27">
                  <c:v>27962</c:v>
                </c:pt>
                <c:pt idx="28">
                  <c:v>27963</c:v>
                </c:pt>
                <c:pt idx="29">
                  <c:v>27964</c:v>
                </c:pt>
                <c:pt idx="30">
                  <c:v>27965</c:v>
                </c:pt>
                <c:pt idx="31">
                  <c:v>27966</c:v>
                </c:pt>
                <c:pt idx="32">
                  <c:v>27967</c:v>
                </c:pt>
                <c:pt idx="33">
                  <c:v>27968</c:v>
                </c:pt>
                <c:pt idx="34">
                  <c:v>27969</c:v>
                </c:pt>
                <c:pt idx="35">
                  <c:v>27970</c:v>
                </c:pt>
                <c:pt idx="36">
                  <c:v>27971</c:v>
                </c:pt>
                <c:pt idx="37">
                  <c:v>27972</c:v>
                </c:pt>
                <c:pt idx="38">
                  <c:v>27973</c:v>
                </c:pt>
                <c:pt idx="39">
                  <c:v>27974</c:v>
                </c:pt>
                <c:pt idx="40">
                  <c:v>27975</c:v>
                </c:pt>
                <c:pt idx="41">
                  <c:v>27976</c:v>
                </c:pt>
                <c:pt idx="42">
                  <c:v>27977</c:v>
                </c:pt>
                <c:pt idx="43">
                  <c:v>27978</c:v>
                </c:pt>
                <c:pt idx="44">
                  <c:v>27979</c:v>
                </c:pt>
                <c:pt idx="45">
                  <c:v>27980</c:v>
                </c:pt>
                <c:pt idx="46">
                  <c:v>27981</c:v>
                </c:pt>
                <c:pt idx="47">
                  <c:v>27982</c:v>
                </c:pt>
                <c:pt idx="48">
                  <c:v>27983</c:v>
                </c:pt>
                <c:pt idx="49">
                  <c:v>27984</c:v>
                </c:pt>
                <c:pt idx="50">
                  <c:v>27985</c:v>
                </c:pt>
                <c:pt idx="51">
                  <c:v>27986</c:v>
                </c:pt>
                <c:pt idx="52">
                  <c:v>27987</c:v>
                </c:pt>
                <c:pt idx="53">
                  <c:v>27988</c:v>
                </c:pt>
                <c:pt idx="54">
                  <c:v>27989</c:v>
                </c:pt>
              </c:numCache>
            </c:numRef>
          </c:xVal>
          <c:yVal>
            <c:numRef>
              <c:f>'13C'!$K$2:$K$125</c:f>
              <c:numCache>
                <c:formatCode>General</c:formatCode>
                <c:ptCount val="124"/>
                <c:pt idx="0">
                  <c:v>2.5</c:v>
                </c:pt>
                <c:pt idx="1">
                  <c:v>2.5</c:v>
                </c:pt>
                <c:pt idx="2">
                  <c:v>2.6</c:v>
                </c:pt>
                <c:pt idx="3">
                  <c:v>1.5</c:v>
                </c:pt>
                <c:pt idx="4">
                  <c:v>2.9</c:v>
                </c:pt>
                <c:pt idx="5">
                  <c:v>2.7</c:v>
                </c:pt>
                <c:pt idx="6">
                  <c:v>2.6</c:v>
                </c:pt>
                <c:pt idx="7">
                  <c:v>1.8</c:v>
                </c:pt>
                <c:pt idx="8">
                  <c:v>2.8</c:v>
                </c:pt>
                <c:pt idx="9">
                  <c:v>1.6</c:v>
                </c:pt>
                <c:pt idx="10">
                  <c:v>1.7</c:v>
                </c:pt>
                <c:pt idx="11">
                  <c:v>1.9</c:v>
                </c:pt>
                <c:pt idx="12">
                  <c:v>1.8</c:v>
                </c:pt>
                <c:pt idx="13">
                  <c:v>2.8</c:v>
                </c:pt>
                <c:pt idx="14">
                  <c:v>1.7</c:v>
                </c:pt>
                <c:pt idx="15">
                  <c:v>1.9</c:v>
                </c:pt>
                <c:pt idx="16">
                  <c:v>1.8</c:v>
                </c:pt>
                <c:pt idx="17">
                  <c:v>1.8</c:v>
                </c:pt>
                <c:pt idx="18">
                  <c:v>1.6</c:v>
                </c:pt>
                <c:pt idx="19">
                  <c:v>1.8</c:v>
                </c:pt>
                <c:pt idx="20">
                  <c:v>3</c:v>
                </c:pt>
                <c:pt idx="21">
                  <c:v>2.7</c:v>
                </c:pt>
                <c:pt idx="22">
                  <c:v>1.8</c:v>
                </c:pt>
                <c:pt idx="23">
                  <c:v>2.9</c:v>
                </c:pt>
                <c:pt idx="24">
                  <c:v>1.8</c:v>
                </c:pt>
                <c:pt idx="25">
                  <c:v>1.7</c:v>
                </c:pt>
                <c:pt idx="26">
                  <c:v>1.4</c:v>
                </c:pt>
                <c:pt idx="27">
                  <c:v>3.1</c:v>
                </c:pt>
                <c:pt idx="28">
                  <c:v>1.5</c:v>
                </c:pt>
                <c:pt idx="29">
                  <c:v>2</c:v>
                </c:pt>
                <c:pt idx="30">
                  <c:v>1.9</c:v>
                </c:pt>
                <c:pt idx="31">
                  <c:v>1.8</c:v>
                </c:pt>
                <c:pt idx="32">
                  <c:v>1.9</c:v>
                </c:pt>
                <c:pt idx="33">
                  <c:v>3.3</c:v>
                </c:pt>
                <c:pt idx="34">
                  <c:v>2.7</c:v>
                </c:pt>
                <c:pt idx="35">
                  <c:v>2.9</c:v>
                </c:pt>
                <c:pt idx="36">
                  <c:v>3</c:v>
                </c:pt>
                <c:pt idx="37">
                  <c:v>2.8</c:v>
                </c:pt>
                <c:pt idx="38">
                  <c:v>2.8</c:v>
                </c:pt>
                <c:pt idx="39">
                  <c:v>2.9</c:v>
                </c:pt>
                <c:pt idx="40">
                  <c:v>2.9</c:v>
                </c:pt>
                <c:pt idx="41">
                  <c:v>1.7</c:v>
                </c:pt>
                <c:pt idx="42">
                  <c:v>3.1</c:v>
                </c:pt>
                <c:pt idx="43">
                  <c:v>2.9</c:v>
                </c:pt>
                <c:pt idx="44">
                  <c:v>2.8</c:v>
                </c:pt>
                <c:pt idx="45">
                  <c:v>2.8</c:v>
                </c:pt>
                <c:pt idx="46">
                  <c:v>2.7</c:v>
                </c:pt>
                <c:pt idx="47">
                  <c:v>2.8</c:v>
                </c:pt>
                <c:pt idx="48">
                  <c:v>2.8</c:v>
                </c:pt>
                <c:pt idx="49">
                  <c:v>1.9</c:v>
                </c:pt>
                <c:pt idx="50">
                  <c:v>3</c:v>
                </c:pt>
                <c:pt idx="51">
                  <c:v>2.8</c:v>
                </c:pt>
                <c:pt idx="52">
                  <c:v>2.7</c:v>
                </c:pt>
                <c:pt idx="53">
                  <c:v>1.7</c:v>
                </c:pt>
                <c:pt idx="54">
                  <c:v>1.7</c:v>
                </c:pt>
              </c:numCache>
            </c:numRef>
          </c:yVal>
          <c:smooth val="0"/>
          <c:extLst>
            <c:ext xmlns:c16="http://schemas.microsoft.com/office/drawing/2014/chart" uri="{C3380CC4-5D6E-409C-BE32-E72D297353CC}">
              <c16:uniqueId val="{00000001-94DD-4947-A59D-0E3E71BA59D5}"/>
            </c:ext>
          </c:extLst>
        </c:ser>
        <c:ser>
          <c:idx val="2"/>
          <c:order val="2"/>
          <c:tx>
            <c:strRef>
              <c:f>'13C'!$L$1</c:f>
              <c:strCache>
                <c:ptCount val="1"/>
                <c:pt idx="0">
                  <c:v>BGD 46</c:v>
                </c:pt>
              </c:strCache>
            </c:strRef>
          </c:tx>
          <c:spPr>
            <a:ln w="25400" cap="rnd">
              <a:noFill/>
              <a:round/>
            </a:ln>
            <a:effectLst/>
          </c:spPr>
          <c:marker>
            <c:symbol val="circle"/>
            <c:size val="7"/>
            <c:spPr>
              <a:noFill/>
              <a:ln w="9525">
                <a:solidFill>
                  <a:srgbClr val="FF0000"/>
                </a:solidFill>
              </a:ln>
              <a:effectLst/>
            </c:spPr>
          </c:marker>
          <c:xVal>
            <c:numRef>
              <c:f>'13C'!$B$2:$B$125</c:f>
              <c:numCache>
                <c:formatCode>General</c:formatCode>
                <c:ptCount val="124"/>
                <c:pt idx="0">
                  <c:v>27934</c:v>
                </c:pt>
                <c:pt idx="1">
                  <c:v>27935</c:v>
                </c:pt>
                <c:pt idx="2">
                  <c:v>27936</c:v>
                </c:pt>
                <c:pt idx="3">
                  <c:v>27938</c:v>
                </c:pt>
                <c:pt idx="4">
                  <c:v>27939</c:v>
                </c:pt>
                <c:pt idx="5">
                  <c:v>27940</c:v>
                </c:pt>
                <c:pt idx="6">
                  <c:v>27941</c:v>
                </c:pt>
                <c:pt idx="7">
                  <c:v>27942</c:v>
                </c:pt>
                <c:pt idx="8">
                  <c:v>27943</c:v>
                </c:pt>
                <c:pt idx="9">
                  <c:v>27944</c:v>
                </c:pt>
                <c:pt idx="10">
                  <c:v>27945</c:v>
                </c:pt>
                <c:pt idx="11">
                  <c:v>27946</c:v>
                </c:pt>
                <c:pt idx="12">
                  <c:v>27947</c:v>
                </c:pt>
                <c:pt idx="13">
                  <c:v>27948</c:v>
                </c:pt>
                <c:pt idx="14">
                  <c:v>27949</c:v>
                </c:pt>
                <c:pt idx="15">
                  <c:v>27950</c:v>
                </c:pt>
                <c:pt idx="16">
                  <c:v>27951</c:v>
                </c:pt>
                <c:pt idx="17">
                  <c:v>27952</c:v>
                </c:pt>
                <c:pt idx="18">
                  <c:v>27953</c:v>
                </c:pt>
                <c:pt idx="19">
                  <c:v>27954</c:v>
                </c:pt>
                <c:pt idx="20">
                  <c:v>27955</c:v>
                </c:pt>
                <c:pt idx="21">
                  <c:v>27956</c:v>
                </c:pt>
                <c:pt idx="22">
                  <c:v>27957</c:v>
                </c:pt>
                <c:pt idx="23">
                  <c:v>27958</c:v>
                </c:pt>
                <c:pt idx="24">
                  <c:v>27959</c:v>
                </c:pt>
                <c:pt idx="25">
                  <c:v>27960</c:v>
                </c:pt>
                <c:pt idx="26">
                  <c:v>27961</c:v>
                </c:pt>
                <c:pt idx="27">
                  <c:v>27962</c:v>
                </c:pt>
                <c:pt idx="28">
                  <c:v>27963</c:v>
                </c:pt>
                <c:pt idx="29">
                  <c:v>27964</c:v>
                </c:pt>
                <c:pt idx="30">
                  <c:v>27965</c:v>
                </c:pt>
                <c:pt idx="31">
                  <c:v>27966</c:v>
                </c:pt>
                <c:pt idx="32">
                  <c:v>27967</c:v>
                </c:pt>
                <c:pt idx="33">
                  <c:v>27968</c:v>
                </c:pt>
                <c:pt idx="34">
                  <c:v>27969</c:v>
                </c:pt>
                <c:pt idx="35">
                  <c:v>27970</c:v>
                </c:pt>
                <c:pt idx="36">
                  <c:v>27971</c:v>
                </c:pt>
                <c:pt idx="37">
                  <c:v>27972</c:v>
                </c:pt>
                <c:pt idx="38">
                  <c:v>27973</c:v>
                </c:pt>
                <c:pt idx="39">
                  <c:v>27974</c:v>
                </c:pt>
                <c:pt idx="40">
                  <c:v>27975</c:v>
                </c:pt>
                <c:pt idx="41">
                  <c:v>27976</c:v>
                </c:pt>
                <c:pt idx="42">
                  <c:v>27977</c:v>
                </c:pt>
                <c:pt idx="43">
                  <c:v>27978</c:v>
                </c:pt>
                <c:pt idx="44">
                  <c:v>27979</c:v>
                </c:pt>
                <c:pt idx="45">
                  <c:v>27980</c:v>
                </c:pt>
                <c:pt idx="46">
                  <c:v>27981</c:v>
                </c:pt>
                <c:pt idx="47">
                  <c:v>27982</c:v>
                </c:pt>
                <c:pt idx="48">
                  <c:v>27983</c:v>
                </c:pt>
                <c:pt idx="49">
                  <c:v>27984</c:v>
                </c:pt>
                <c:pt idx="50">
                  <c:v>27985</c:v>
                </c:pt>
                <c:pt idx="51">
                  <c:v>27986</c:v>
                </c:pt>
                <c:pt idx="52">
                  <c:v>27987</c:v>
                </c:pt>
                <c:pt idx="53">
                  <c:v>27988</c:v>
                </c:pt>
                <c:pt idx="54">
                  <c:v>27989</c:v>
                </c:pt>
              </c:numCache>
            </c:numRef>
          </c:xVal>
          <c:yVal>
            <c:numRef>
              <c:f>'13C'!$L$2:$L$125</c:f>
              <c:numCache>
                <c:formatCode>General</c:formatCode>
                <c:ptCount val="124"/>
                <c:pt idx="0">
                  <c:v>3.1</c:v>
                </c:pt>
                <c:pt idx="1">
                  <c:v>3.1</c:v>
                </c:pt>
                <c:pt idx="2">
                  <c:v>3.2</c:v>
                </c:pt>
                <c:pt idx="3">
                  <c:v>2</c:v>
                </c:pt>
                <c:pt idx="4">
                  <c:v>3.7</c:v>
                </c:pt>
                <c:pt idx="5">
                  <c:v>3.5</c:v>
                </c:pt>
                <c:pt idx="6">
                  <c:v>3.4</c:v>
                </c:pt>
                <c:pt idx="7">
                  <c:v>2.4</c:v>
                </c:pt>
                <c:pt idx="8">
                  <c:v>3.6</c:v>
                </c:pt>
                <c:pt idx="9">
                  <c:v>2.2000000000000002</c:v>
                </c:pt>
                <c:pt idx="10">
                  <c:v>2.4</c:v>
                </c:pt>
                <c:pt idx="11">
                  <c:v>2.6</c:v>
                </c:pt>
                <c:pt idx="12">
                  <c:v>2.5</c:v>
                </c:pt>
                <c:pt idx="13">
                  <c:v>3.7</c:v>
                </c:pt>
                <c:pt idx="14">
                  <c:v>2.4</c:v>
                </c:pt>
                <c:pt idx="15">
                  <c:v>2.6</c:v>
                </c:pt>
                <c:pt idx="16">
                  <c:v>2.6</c:v>
                </c:pt>
                <c:pt idx="17">
                  <c:v>2.6</c:v>
                </c:pt>
                <c:pt idx="18">
                  <c:v>2.4</c:v>
                </c:pt>
                <c:pt idx="19">
                  <c:v>2.6</c:v>
                </c:pt>
                <c:pt idx="20">
                  <c:v>4</c:v>
                </c:pt>
                <c:pt idx="21">
                  <c:v>3.6</c:v>
                </c:pt>
                <c:pt idx="22">
                  <c:v>2.6</c:v>
                </c:pt>
                <c:pt idx="23">
                  <c:v>3.8</c:v>
                </c:pt>
                <c:pt idx="24">
                  <c:v>2.6</c:v>
                </c:pt>
                <c:pt idx="25">
                  <c:v>2.5</c:v>
                </c:pt>
                <c:pt idx="26">
                  <c:v>2.1</c:v>
                </c:pt>
                <c:pt idx="27">
                  <c:v>4.0999999999999996</c:v>
                </c:pt>
                <c:pt idx="28">
                  <c:v>2.2999999999999998</c:v>
                </c:pt>
                <c:pt idx="29">
                  <c:v>2.9</c:v>
                </c:pt>
                <c:pt idx="30">
                  <c:v>2.8</c:v>
                </c:pt>
                <c:pt idx="31">
                  <c:v>2.6</c:v>
                </c:pt>
                <c:pt idx="32">
                  <c:v>2.8</c:v>
                </c:pt>
                <c:pt idx="33">
                  <c:v>4.5</c:v>
                </c:pt>
                <c:pt idx="34">
                  <c:v>3.7</c:v>
                </c:pt>
                <c:pt idx="35">
                  <c:v>3.9</c:v>
                </c:pt>
                <c:pt idx="36">
                  <c:v>4.0999999999999996</c:v>
                </c:pt>
                <c:pt idx="37">
                  <c:v>3.8</c:v>
                </c:pt>
                <c:pt idx="38">
                  <c:v>3.8</c:v>
                </c:pt>
                <c:pt idx="39">
                  <c:v>3.9</c:v>
                </c:pt>
                <c:pt idx="40">
                  <c:v>3.9</c:v>
                </c:pt>
                <c:pt idx="41">
                  <c:v>2.6</c:v>
                </c:pt>
                <c:pt idx="42">
                  <c:v>4.2</c:v>
                </c:pt>
                <c:pt idx="43">
                  <c:v>4</c:v>
                </c:pt>
                <c:pt idx="44">
                  <c:v>3.8</c:v>
                </c:pt>
                <c:pt idx="45">
                  <c:v>3.8</c:v>
                </c:pt>
                <c:pt idx="46">
                  <c:v>3.8</c:v>
                </c:pt>
                <c:pt idx="47">
                  <c:v>3.9</c:v>
                </c:pt>
                <c:pt idx="48">
                  <c:v>3.9</c:v>
                </c:pt>
                <c:pt idx="49">
                  <c:v>2.8</c:v>
                </c:pt>
                <c:pt idx="50">
                  <c:v>4.2</c:v>
                </c:pt>
                <c:pt idx="51">
                  <c:v>3.7</c:v>
                </c:pt>
                <c:pt idx="52">
                  <c:v>3.7</c:v>
                </c:pt>
                <c:pt idx="53">
                  <c:v>2.5</c:v>
                </c:pt>
                <c:pt idx="54">
                  <c:v>2.5</c:v>
                </c:pt>
              </c:numCache>
            </c:numRef>
          </c:yVal>
          <c:smooth val="0"/>
          <c:extLst>
            <c:ext xmlns:c16="http://schemas.microsoft.com/office/drawing/2014/chart" uri="{C3380CC4-5D6E-409C-BE32-E72D297353CC}">
              <c16:uniqueId val="{00000000-94DD-4947-A59D-0E3E71BA59D5}"/>
            </c:ext>
          </c:extLst>
        </c:ser>
        <c:dLbls>
          <c:showLegendKey val="0"/>
          <c:showVal val="0"/>
          <c:showCatName val="0"/>
          <c:showSerName val="0"/>
          <c:showPercent val="0"/>
          <c:showBubbleSize val="0"/>
        </c:dLbls>
        <c:axId val="168393120"/>
        <c:axId val="168393512"/>
      </c:scatterChart>
      <c:valAx>
        <c:axId val="16839312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Analysis Number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68393512"/>
        <c:crosses val="autoZero"/>
        <c:crossBetween val="midCat"/>
      </c:valAx>
      <c:valAx>
        <c:axId val="1683935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BGD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683931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H"/>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 Id="rId9"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chart" Target="../charts/chart14.xml"/><Relationship Id="rId9" Type="http://schemas.openxmlformats.org/officeDocument/2006/relationships/chart" Target="../charts/chart1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25400</xdr:rowOff>
        </xdr:from>
        <xdr:to>
          <xdr:col>0</xdr:col>
          <xdr:colOff>1168400</xdr:colOff>
          <xdr:row>3</xdr:row>
          <xdr:rowOff>190500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300-00000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Helvetica" pitchFamily="2" charset="0"/>
                </a:rPr>
                <a:t>mg N calibration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17</xdr:col>
          <xdr:colOff>12700</xdr:colOff>
          <xdr:row>0</xdr:row>
          <xdr:rowOff>190500</xdr:rowOff>
        </xdr:from>
        <xdr:to>
          <xdr:col>18</xdr:col>
          <xdr:colOff>863600</xdr:colOff>
          <xdr:row>3</xdr:row>
          <xdr:rowOff>38100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Helvetica" pitchFamily="2" charset="0"/>
                </a:rPr>
                <a:t>Import samples &amp; calculate mg N</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25400</xdr:colOff>
          <xdr:row>0</xdr:row>
          <xdr:rowOff>12700</xdr:rowOff>
        </xdr:from>
        <xdr:to>
          <xdr:col>7</xdr:col>
          <xdr:colOff>1054100</xdr:colOff>
          <xdr:row>3</xdr:row>
          <xdr:rowOff>177800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Helvetica" pitchFamily="2" charset="0"/>
                </a:rPr>
                <a:t>mg C calibration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25</xdr:col>
          <xdr:colOff>12700</xdr:colOff>
          <xdr:row>1</xdr:row>
          <xdr:rowOff>0</xdr:rowOff>
        </xdr:from>
        <xdr:to>
          <xdr:col>26</xdr:col>
          <xdr:colOff>711200</xdr:colOff>
          <xdr:row>3</xdr:row>
          <xdr:rowOff>50800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Helvetica" pitchFamily="2" charset="0"/>
                </a:rPr>
                <a:t>Import samples &amp; calculate mg C</a:t>
              </a:r>
            </a:p>
          </xdr:txBody>
        </xdr:sp>
        <xdr:clientData/>
      </xdr:twoCellAnchor>
    </mc:Choice>
    <mc:Fallback/>
  </mc:AlternateContent>
  <xdr:twoCellAnchor>
    <xdr:from>
      <xdr:col>0</xdr:col>
      <xdr:colOff>208756</xdr:colOff>
      <xdr:row>19</xdr:row>
      <xdr:rowOff>124619</xdr:rowOff>
    </xdr:from>
    <xdr:to>
      <xdr:col>9</xdr:col>
      <xdr:colOff>119856</xdr:colOff>
      <xdr:row>44</xdr:row>
      <xdr:rowOff>48419</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26</xdr:col>
      <xdr:colOff>25400</xdr:colOff>
      <xdr:row>19</xdr:row>
      <xdr:rowOff>12700</xdr:rowOff>
    </xdr:from>
    <xdr:to>
      <xdr:col>33</xdr:col>
      <xdr:colOff>381001</xdr:colOff>
      <xdr:row>37</xdr:row>
      <xdr:rowOff>12700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36</xdr:col>
          <xdr:colOff>101600</xdr:colOff>
          <xdr:row>3</xdr:row>
          <xdr:rowOff>127000</xdr:rowOff>
        </xdr:from>
        <xdr:to>
          <xdr:col>38</xdr:col>
          <xdr:colOff>0</xdr:colOff>
          <xdr:row>6</xdr:row>
          <xdr:rowOff>12700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Helvetica" pitchFamily="2" charset="0"/>
                </a:rPr>
                <a:t>Extract Ref</a:t>
              </a:r>
            </a:p>
          </xdr:txBody>
        </xdr:sp>
        <xdr:clientData/>
      </xdr:twoCellAnchor>
    </mc:Choice>
    <mc:Fallback/>
  </mc:AlternateContent>
  <mc:AlternateContent xmlns:mc="http://schemas.openxmlformats.org/markup-compatibility/2006">
    <mc:Choice xmlns:a14="http://schemas.microsoft.com/office/drawing/2010/main" Requires="a14">
      <xdr:twoCellAnchor>
        <xdr:from>
          <xdr:col>26</xdr:col>
          <xdr:colOff>12700</xdr:colOff>
          <xdr:row>3</xdr:row>
          <xdr:rowOff>12700</xdr:rowOff>
        </xdr:from>
        <xdr:to>
          <xdr:col>27</xdr:col>
          <xdr:colOff>114300</xdr:colOff>
          <xdr:row>5</xdr:row>
          <xdr:rowOff>139700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Helvetica" pitchFamily="2" charset="0"/>
                </a:rPr>
                <a:t>Extract Drift</a:t>
              </a:r>
            </a:p>
          </xdr:txBody>
        </xdr:sp>
        <xdr:clientData/>
      </xdr:twoCellAnchor>
    </mc:Choice>
    <mc:Fallback/>
  </mc:AlternateContent>
  <xdr:twoCellAnchor editAs="oneCell">
    <xdr:from>
      <xdr:col>38</xdr:col>
      <xdr:colOff>0</xdr:colOff>
      <xdr:row>25</xdr:row>
      <xdr:rowOff>0</xdr:rowOff>
    </xdr:from>
    <xdr:to>
      <xdr:col>43</xdr:col>
      <xdr:colOff>527051</xdr:colOff>
      <xdr:row>43</xdr:row>
      <xdr:rowOff>0</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47</xdr:col>
          <xdr:colOff>838200</xdr:colOff>
          <xdr:row>3</xdr:row>
          <xdr:rowOff>0</xdr:rowOff>
        </xdr:from>
        <xdr:to>
          <xdr:col>49</xdr:col>
          <xdr:colOff>596900</xdr:colOff>
          <xdr:row>5</xdr:row>
          <xdr:rowOff>190500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400-00000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Helvetica" pitchFamily="2" charset="0"/>
                </a:rPr>
                <a:t>Extract QC</a:t>
              </a:r>
            </a:p>
          </xdr:txBody>
        </xdr:sp>
        <xdr:clientData/>
      </xdr:twoCellAnchor>
    </mc:Choice>
    <mc:Fallback/>
  </mc:AlternateContent>
  <xdr:twoCellAnchor>
    <xdr:from>
      <xdr:col>26</xdr:col>
      <xdr:colOff>0</xdr:colOff>
      <xdr:row>38</xdr:row>
      <xdr:rowOff>0</xdr:rowOff>
    </xdr:from>
    <xdr:to>
      <xdr:col>32</xdr:col>
      <xdr:colOff>415925</xdr:colOff>
      <xdr:row>55</xdr:row>
      <xdr:rowOff>28575</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0</xdr:colOff>
      <xdr:row>56</xdr:row>
      <xdr:rowOff>0</xdr:rowOff>
    </xdr:from>
    <xdr:to>
      <xdr:col>32</xdr:col>
      <xdr:colOff>415925</xdr:colOff>
      <xdr:row>73</xdr:row>
      <xdr:rowOff>28575</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26</xdr:col>
      <xdr:colOff>0</xdr:colOff>
      <xdr:row>74</xdr:row>
      <xdr:rowOff>0</xdr:rowOff>
    </xdr:from>
    <xdr:to>
      <xdr:col>32</xdr:col>
      <xdr:colOff>425450</xdr:colOff>
      <xdr:row>88</xdr:row>
      <xdr:rowOff>104775</xdr:rowOff>
    </xdr:to>
    <xdr:graphicFrame macro="">
      <xdr:nvGraphicFramePr>
        <xdr:cNvPr id="9" name="Chart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61</xdr:col>
          <xdr:colOff>12700</xdr:colOff>
          <xdr:row>6</xdr:row>
          <xdr:rowOff>203200</xdr:rowOff>
        </xdr:from>
        <xdr:to>
          <xdr:col>63</xdr:col>
          <xdr:colOff>0</xdr:colOff>
          <xdr:row>11</xdr:row>
          <xdr:rowOff>0</xdr:rowOff>
        </xdr:to>
        <xdr:sp macro="" textlink="">
          <xdr:nvSpPr>
            <xdr:cNvPr id="4103" name="Button 7" descr="d15N&#10;Linearity Check" hidden="1">
              <a:extLst>
                <a:ext uri="{63B3BB69-23CF-44E3-9099-C40C66FF867C}">
                  <a14:compatExt spid="_x0000_s4103"/>
                </a:ext>
                <a:ext uri="{FF2B5EF4-FFF2-40B4-BE49-F238E27FC236}">
                  <a16:creationId xmlns:a16="http://schemas.microsoft.com/office/drawing/2014/main" id="{00000000-0008-0000-04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15N</a:t>
              </a:r>
            </a:p>
            <a:p>
              <a:pPr algn="ctr" rtl="0">
                <a:defRPr sz="1000"/>
              </a:pPr>
              <a:r>
                <a:rPr lang="en-US" sz="1200" b="0" i="0" u="none" strike="noStrike" baseline="0">
                  <a:solidFill>
                    <a:srgbClr val="000000"/>
                  </a:solidFill>
                  <a:latin typeface="Calibri" pitchFamily="2" charset="0"/>
                  <a:cs typeface="Calibri" pitchFamily="2" charset="0"/>
                </a:rPr>
                <a:t>Linearity Check</a:t>
              </a:r>
            </a:p>
          </xdr:txBody>
        </xdr:sp>
        <xdr:clientData fPrintsWithSheet="0"/>
      </xdr:twoCellAnchor>
    </mc:Choice>
    <mc:Fallback/>
  </mc:AlternateContent>
  <xdr:twoCellAnchor>
    <xdr:from>
      <xdr:col>64</xdr:col>
      <xdr:colOff>2</xdr:colOff>
      <xdr:row>25</xdr:row>
      <xdr:rowOff>95250</xdr:rowOff>
    </xdr:from>
    <xdr:to>
      <xdr:col>70</xdr:col>
      <xdr:colOff>13609</xdr:colOff>
      <xdr:row>50</xdr:row>
      <xdr:rowOff>30844</xdr:rowOff>
    </xdr:to>
    <xdr:graphicFrame macro="">
      <xdr:nvGraphicFramePr>
        <xdr:cNvPr id="12" name="Chart 11">
          <a:extLst>
            <a:ext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70</xdr:col>
      <xdr:colOff>258536</xdr:colOff>
      <xdr:row>25</xdr:row>
      <xdr:rowOff>95251</xdr:rowOff>
    </xdr:from>
    <xdr:to>
      <xdr:col>76</xdr:col>
      <xdr:colOff>108858</xdr:colOff>
      <xdr:row>50</xdr:row>
      <xdr:rowOff>30845</xdr:rowOff>
    </xdr:to>
    <xdr:graphicFrame macro="">
      <xdr:nvGraphicFramePr>
        <xdr:cNvPr id="13" name="Chart 12">
          <a:extLst>
            <a:ext uri="{FF2B5EF4-FFF2-40B4-BE49-F238E27FC236}">
              <a16:creationId xmlns:a16="http://schemas.microsoft.com/office/drawing/2014/main" id="{00000000-0008-0000-04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76</xdr:col>
      <xdr:colOff>285752</xdr:colOff>
      <xdr:row>25</xdr:row>
      <xdr:rowOff>97972</xdr:rowOff>
    </xdr:from>
    <xdr:to>
      <xdr:col>78</xdr:col>
      <xdr:colOff>2204358</xdr:colOff>
      <xdr:row>50</xdr:row>
      <xdr:rowOff>40822</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33</xdr:col>
      <xdr:colOff>0</xdr:colOff>
      <xdr:row>56</xdr:row>
      <xdr:rowOff>0</xdr:rowOff>
    </xdr:from>
    <xdr:to>
      <xdr:col>38</xdr:col>
      <xdr:colOff>400050</xdr:colOff>
      <xdr:row>73</xdr:row>
      <xdr:rowOff>28575</xdr:rowOff>
    </xdr:to>
    <xdr:graphicFrame macro="">
      <xdr:nvGraphicFramePr>
        <xdr:cNvPr id="14" name="Chart 13">
          <a:extLst>
            <a:ext uri="{FF2B5EF4-FFF2-40B4-BE49-F238E27FC236}">
              <a16:creationId xmlns:a16="http://schemas.microsoft.com/office/drawing/2014/main" id="{00000000-0008-0000-04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27</xdr:col>
      <xdr:colOff>6350</xdr:colOff>
      <xdr:row>21</xdr:row>
      <xdr:rowOff>31750</xdr:rowOff>
    </xdr:from>
    <xdr:to>
      <xdr:col>35</xdr:col>
      <xdr:colOff>184150</xdr:colOff>
      <xdr:row>39</xdr:row>
      <xdr:rowOff>31750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27</xdr:col>
          <xdr:colOff>0</xdr:colOff>
          <xdr:row>3</xdr:row>
          <xdr:rowOff>25400</xdr:rowOff>
        </xdr:from>
        <xdr:to>
          <xdr:col>28</xdr:col>
          <xdr:colOff>101600</xdr:colOff>
          <xdr:row>5</xdr:row>
          <xdr:rowOff>152400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500-000006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Helvetica" pitchFamily="2" charset="0"/>
                </a:rPr>
                <a:t>Extract Drift</a:t>
              </a:r>
            </a:p>
          </xdr:txBody>
        </xdr:sp>
        <xdr:clientData/>
      </xdr:twoCellAnchor>
    </mc:Choice>
    <mc:Fallback/>
  </mc:AlternateContent>
  <mc:AlternateContent xmlns:mc="http://schemas.openxmlformats.org/markup-compatibility/2006">
    <mc:Choice xmlns:a14="http://schemas.microsoft.com/office/drawing/2010/main" Requires="a14">
      <xdr:twoCellAnchor>
        <xdr:from>
          <xdr:col>37</xdr:col>
          <xdr:colOff>25400</xdr:colOff>
          <xdr:row>4</xdr:row>
          <xdr:rowOff>12700</xdr:rowOff>
        </xdr:from>
        <xdr:to>
          <xdr:col>38</xdr:col>
          <xdr:colOff>508000</xdr:colOff>
          <xdr:row>6</xdr:row>
          <xdr:rowOff>101600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500-000007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Helvetica" pitchFamily="2" charset="0"/>
                </a:rPr>
                <a:t>Extract Ref</a:t>
              </a:r>
            </a:p>
          </xdr:txBody>
        </xdr:sp>
        <xdr:clientData/>
      </xdr:twoCellAnchor>
    </mc:Choice>
    <mc:Fallback/>
  </mc:AlternateContent>
  <mc:AlternateContent xmlns:mc="http://schemas.openxmlformats.org/markup-compatibility/2006">
    <mc:Choice xmlns:a14="http://schemas.microsoft.com/office/drawing/2010/main" Requires="a14">
      <xdr:twoCellAnchor>
        <xdr:from>
          <xdr:col>49</xdr:col>
          <xdr:colOff>0</xdr:colOff>
          <xdr:row>2</xdr:row>
          <xdr:rowOff>203200</xdr:rowOff>
        </xdr:from>
        <xdr:to>
          <xdr:col>50</xdr:col>
          <xdr:colOff>596900</xdr:colOff>
          <xdr:row>5</xdr:row>
          <xdr:rowOff>190500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500-000008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Helvetica" pitchFamily="2" charset="0"/>
                </a:rPr>
                <a:t>Extract QC</a:t>
              </a:r>
            </a:p>
          </xdr:txBody>
        </xdr:sp>
        <xdr:clientData/>
      </xdr:twoCellAnchor>
    </mc:Choice>
    <mc:Fallback/>
  </mc:AlternateContent>
  <xdr:twoCellAnchor>
    <xdr:from>
      <xdr:col>37</xdr:col>
      <xdr:colOff>209550</xdr:colOff>
      <xdr:row>15</xdr:row>
      <xdr:rowOff>63500</xdr:rowOff>
    </xdr:from>
    <xdr:to>
      <xdr:col>42</xdr:col>
      <xdr:colOff>1365250</xdr:colOff>
      <xdr:row>28</xdr:row>
      <xdr:rowOff>165100</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0</xdr:colOff>
      <xdr:row>40</xdr:row>
      <xdr:rowOff>0</xdr:rowOff>
    </xdr:from>
    <xdr:to>
      <xdr:col>34</xdr:col>
      <xdr:colOff>187325</xdr:colOff>
      <xdr:row>57</xdr:row>
      <xdr:rowOff>28575</xdr:rowOff>
    </xdr:to>
    <xdr:graphicFrame macro="">
      <xdr:nvGraphicFramePr>
        <xdr:cNvPr id="7" name="Chart 6">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0</xdr:colOff>
      <xdr:row>58</xdr:row>
      <xdr:rowOff>0</xdr:rowOff>
    </xdr:from>
    <xdr:to>
      <xdr:col>34</xdr:col>
      <xdr:colOff>187325</xdr:colOff>
      <xdr:row>75</xdr:row>
      <xdr:rowOff>28575</xdr:rowOff>
    </xdr:to>
    <xdr:graphicFrame macro="">
      <xdr:nvGraphicFramePr>
        <xdr:cNvPr id="8" name="Chart 7">
          <a:extLst>
            <a:ext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0</xdr:colOff>
      <xdr:row>76</xdr:row>
      <xdr:rowOff>0</xdr:rowOff>
    </xdr:from>
    <xdr:to>
      <xdr:col>34</xdr:col>
      <xdr:colOff>196850</xdr:colOff>
      <xdr:row>90</xdr:row>
      <xdr:rowOff>104775</xdr:rowOff>
    </xdr:to>
    <xdr:graphicFrame macro="">
      <xdr:nvGraphicFramePr>
        <xdr:cNvPr id="9" name="Chart 8">
          <a:extLst>
            <a:ext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62</xdr:col>
          <xdr:colOff>0</xdr:colOff>
          <xdr:row>6</xdr:row>
          <xdr:rowOff>190500</xdr:rowOff>
        </xdr:from>
        <xdr:to>
          <xdr:col>64</xdr:col>
          <xdr:colOff>0</xdr:colOff>
          <xdr:row>11</xdr:row>
          <xdr:rowOff>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500-00000A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13C</a:t>
              </a:r>
            </a:p>
            <a:p>
              <a:pPr algn="ctr" rtl="0">
                <a:defRPr sz="1000"/>
              </a:pPr>
              <a:r>
                <a:rPr lang="en-US" sz="1200" b="0" i="0" u="none" strike="noStrike" baseline="0">
                  <a:solidFill>
                    <a:srgbClr val="000000"/>
                  </a:solidFill>
                  <a:latin typeface="Calibri" pitchFamily="2" charset="0"/>
                  <a:cs typeface="Calibri" pitchFamily="2" charset="0"/>
                </a:rPr>
                <a:t>Linearity Check</a:t>
              </a:r>
            </a:p>
          </xdr:txBody>
        </xdr:sp>
        <xdr:clientData fPrintsWithSheet="0"/>
      </xdr:twoCellAnchor>
    </mc:Choice>
    <mc:Fallback/>
  </mc:AlternateContent>
  <xdr:twoCellAnchor>
    <xdr:from>
      <xdr:col>65</xdr:col>
      <xdr:colOff>0</xdr:colOff>
      <xdr:row>26</xdr:row>
      <xdr:rowOff>0</xdr:rowOff>
    </xdr:from>
    <xdr:to>
      <xdr:col>70</xdr:col>
      <xdr:colOff>374196</xdr:colOff>
      <xdr:row>50</xdr:row>
      <xdr:rowOff>85272</xdr:rowOff>
    </xdr:to>
    <xdr:graphicFrame macro="">
      <xdr:nvGraphicFramePr>
        <xdr:cNvPr id="11" name="Chart 10">
          <a:extLst>
            <a:ext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70</xdr:col>
      <xdr:colOff>619123</xdr:colOff>
      <xdr:row>26</xdr:row>
      <xdr:rowOff>1</xdr:rowOff>
    </xdr:from>
    <xdr:to>
      <xdr:col>76</xdr:col>
      <xdr:colOff>326570</xdr:colOff>
      <xdr:row>50</xdr:row>
      <xdr:rowOff>85273</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76</xdr:col>
      <xdr:colOff>503464</xdr:colOff>
      <xdr:row>26</xdr:row>
      <xdr:rowOff>2722</xdr:rowOff>
    </xdr:from>
    <xdr:to>
      <xdr:col>79</xdr:col>
      <xdr:colOff>764267</xdr:colOff>
      <xdr:row>50</xdr:row>
      <xdr:rowOff>95250</xdr:rowOff>
    </xdr:to>
    <xdr:graphicFrame macro="">
      <xdr:nvGraphicFramePr>
        <xdr:cNvPr id="13" name="Chart 12">
          <a:extLst>
            <a:ext uri="{FF2B5EF4-FFF2-40B4-BE49-F238E27FC236}">
              <a16:creationId xmlns:a16="http://schemas.microsoft.com/office/drawing/2014/main" id="{00000000-0008-0000-05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34</xdr:col>
      <xdr:colOff>222250</xdr:colOff>
      <xdr:row>57</xdr:row>
      <xdr:rowOff>190500</xdr:rowOff>
    </xdr:from>
    <xdr:to>
      <xdr:col>40</xdr:col>
      <xdr:colOff>393700</xdr:colOff>
      <xdr:row>75</xdr:row>
      <xdr:rowOff>12700</xdr:rowOff>
    </xdr:to>
    <xdr:graphicFrame macro="">
      <xdr:nvGraphicFramePr>
        <xdr:cNvPr id="14" name="Chart 13">
          <a:extLst>
            <a:ext uri="{FF2B5EF4-FFF2-40B4-BE49-F238E27FC236}">
              <a16:creationId xmlns:a16="http://schemas.microsoft.com/office/drawing/2014/main" id="{00000000-0008-0000-05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38100</xdr:colOff>
          <xdr:row>1</xdr:row>
          <xdr:rowOff>12700</xdr:rowOff>
        </xdr:from>
        <xdr:to>
          <xdr:col>9</xdr:col>
          <xdr:colOff>800100</xdr:colOff>
          <xdr:row>3</xdr:row>
          <xdr:rowOff>165100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0600-00000D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Helvetica" pitchFamily="2" charset="0"/>
                </a:rPr>
                <a:t>Populate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elson/Google%20Drive/Lab/User%20Sample%20Lists/Bulk%20-%20d18O/LDH_microbialDNA/C:\Users\LABMAN\Google%20Drive\Lab\Data%20processing\Bulk%2013C%20&amp;%2015N\2018\181123-CN-Alnus2\181123-CN-EH-Alnus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ference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refs" displayName="refs" ref="A1:E6" totalsRowShown="0">
  <tableColumns count="5">
    <tableColumn id="1" xr3:uid="{00000000-0010-0000-0000-000001000000}" name="Standards"/>
    <tableColumn id="2" xr3:uid="{00000000-0010-0000-0000-000002000000}" name="%N"/>
    <tableColumn id="3" xr3:uid="{00000000-0010-0000-0000-000003000000}" name="δ15N (‰ AIR-N2)"/>
    <tableColumn id="4" xr3:uid="{00000000-0010-0000-0000-000004000000}" name="%C" dataDxfId="3"/>
    <tableColumn id="5" xr3:uid="{00000000-0010-0000-0000-000005000000}" name="δ13C (‰ VPDB)" dataDxfId="2"/>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FFFC00"/>
  </sheetPr>
  <dimension ref="A1:B10"/>
  <sheetViews>
    <sheetView zoomScale="80" zoomScaleNormal="80" workbookViewId="0">
      <selection activeCell="B19" sqref="B19"/>
    </sheetView>
  </sheetViews>
  <sheetFormatPr baseColWidth="10" defaultColWidth="10.83203125" defaultRowHeight="16" x14ac:dyDescent="0.2"/>
  <cols>
    <col min="1" max="1" width="16" style="24" bestFit="1" customWidth="1"/>
    <col min="2" max="2" width="129.5" style="24" customWidth="1"/>
    <col min="3" max="16384" width="10.83203125" style="24"/>
  </cols>
  <sheetData>
    <row r="1" spans="1:2" ht="18" thickBot="1" x14ac:dyDescent="0.25">
      <c r="A1" s="25" t="s">
        <v>64</v>
      </c>
      <c r="B1" s="26" t="s">
        <v>65</v>
      </c>
    </row>
    <row r="2" spans="1:2" ht="52" thickTop="1" x14ac:dyDescent="0.2">
      <c r="A2" s="27" t="s">
        <v>59</v>
      </c>
      <c r="B2" s="28" t="s">
        <v>80</v>
      </c>
    </row>
    <row r="3" spans="1:2" ht="17" x14ac:dyDescent="0.2">
      <c r="A3" s="29" t="s">
        <v>60</v>
      </c>
      <c r="B3" s="30" t="s">
        <v>62</v>
      </c>
    </row>
    <row r="4" spans="1:2" ht="68" x14ac:dyDescent="0.2">
      <c r="A4" s="31" t="s">
        <v>61</v>
      </c>
      <c r="B4" s="32" t="s">
        <v>81</v>
      </c>
    </row>
    <row r="5" spans="1:2" ht="34" x14ac:dyDescent="0.2">
      <c r="A5" s="29" t="s">
        <v>63</v>
      </c>
      <c r="B5" s="30" t="s">
        <v>82</v>
      </c>
    </row>
    <row r="6" spans="1:2" ht="34" x14ac:dyDescent="0.2">
      <c r="A6" s="31"/>
      <c r="B6" s="32" t="s">
        <v>74</v>
      </c>
    </row>
    <row r="7" spans="1:2" ht="68" x14ac:dyDescent="0.2">
      <c r="A7" s="29"/>
      <c r="B7" s="30" t="s">
        <v>69</v>
      </c>
    </row>
    <row r="8" spans="1:2" ht="34" x14ac:dyDescent="0.2">
      <c r="A8" s="31"/>
      <c r="B8" s="32" t="s">
        <v>66</v>
      </c>
    </row>
    <row r="9" spans="1:2" ht="102" x14ac:dyDescent="0.2">
      <c r="A9" s="29"/>
      <c r="B9" s="30" t="s">
        <v>75</v>
      </c>
    </row>
    <row r="10" spans="1:2" ht="34" x14ac:dyDescent="0.2">
      <c r="A10" s="33" t="s">
        <v>67</v>
      </c>
      <c r="B10" s="34" t="s">
        <v>68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H6"/>
  <sheetViews>
    <sheetView workbookViewId="0">
      <selection activeCell="G11" sqref="G11"/>
    </sheetView>
  </sheetViews>
  <sheetFormatPr baseColWidth="10" defaultColWidth="11" defaultRowHeight="16" x14ac:dyDescent="0.2"/>
  <cols>
    <col min="3" max="3" width="15.6640625" bestFit="1" customWidth="1"/>
    <col min="5" max="5" width="14.1640625" bestFit="1" customWidth="1"/>
    <col min="8" max="8" width="19" bestFit="1" customWidth="1"/>
  </cols>
  <sheetData>
    <row r="1" spans="1:8" x14ac:dyDescent="0.2">
      <c r="A1" t="s">
        <v>15</v>
      </c>
      <c r="B1" t="s">
        <v>16</v>
      </c>
      <c r="C1" t="s">
        <v>77</v>
      </c>
      <c r="D1" s="3" t="s">
        <v>25</v>
      </c>
      <c r="E1" s="3" t="s">
        <v>76</v>
      </c>
      <c r="H1" t="s">
        <v>58</v>
      </c>
    </row>
    <row r="2" spans="1:8" x14ac:dyDescent="0.2">
      <c r="A2" t="s">
        <v>12</v>
      </c>
      <c r="B2">
        <v>28.85</v>
      </c>
      <c r="C2">
        <v>-1.8</v>
      </c>
      <c r="D2" s="3">
        <v>49.48</v>
      </c>
      <c r="E2" s="3">
        <v>-32.15</v>
      </c>
      <c r="H2" t="b">
        <f>ISNA(MATCH('TCD data'!D2,refs[Standards],0))</f>
        <v>1</v>
      </c>
    </row>
    <row r="3" spans="1:8" x14ac:dyDescent="0.2">
      <c r="A3" t="s">
        <v>17</v>
      </c>
      <c r="D3" s="3"/>
      <c r="E3" s="3">
        <v>-28.64</v>
      </c>
    </row>
    <row r="4" spans="1:8" x14ac:dyDescent="0.2">
      <c r="A4" t="s">
        <v>14</v>
      </c>
      <c r="B4">
        <v>10.4</v>
      </c>
      <c r="C4">
        <v>8.6999999999999993</v>
      </c>
      <c r="D4" s="3">
        <v>45.1</v>
      </c>
      <c r="E4" s="3">
        <v>-29.21</v>
      </c>
    </row>
    <row r="5" spans="1:8" x14ac:dyDescent="0.2">
      <c r="A5" t="s">
        <v>13</v>
      </c>
      <c r="D5" s="3"/>
      <c r="E5" s="3">
        <v>-11.38</v>
      </c>
    </row>
    <row r="6" spans="1:8" x14ac:dyDescent="0.2">
      <c r="A6" t="s">
        <v>11</v>
      </c>
      <c r="B6">
        <v>46.65</v>
      </c>
      <c r="C6">
        <v>-0.4</v>
      </c>
      <c r="D6" s="3">
        <v>20</v>
      </c>
      <c r="E6" s="3">
        <v>-41.61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U419"/>
  <sheetViews>
    <sheetView zoomScale="60" zoomScaleNormal="60" workbookViewId="0">
      <selection activeCell="A2" sqref="A2:K165"/>
    </sheetView>
  </sheetViews>
  <sheetFormatPr baseColWidth="10" defaultColWidth="11" defaultRowHeight="16" x14ac:dyDescent="0.2"/>
  <cols>
    <col min="1" max="1" width="18.5" bestFit="1" customWidth="1"/>
    <col min="2" max="2" width="9.1640625" bestFit="1" customWidth="1"/>
    <col min="3" max="3" width="5.5" bestFit="1" customWidth="1"/>
    <col min="4" max="4" width="10.6640625" bestFit="1" customWidth="1"/>
    <col min="5" max="5" width="11.1640625" bestFit="1" customWidth="1"/>
    <col min="6" max="6" width="8.83203125" bestFit="1" customWidth="1"/>
    <col min="7" max="7" width="19.83203125" bestFit="1" customWidth="1"/>
    <col min="8" max="8" width="23.1640625" bestFit="1" customWidth="1"/>
    <col min="9" max="9" width="13.6640625" bestFit="1" customWidth="1"/>
    <col min="10" max="10" width="17.1640625" bestFit="1" customWidth="1"/>
    <col min="11" max="11" width="17" bestFit="1" customWidth="1"/>
    <col min="12" max="12" width="17.33203125" bestFit="1" customWidth="1"/>
    <col min="13" max="13" width="24.1640625" bestFit="1" customWidth="1"/>
  </cols>
  <sheetData>
    <row r="1" spans="1:21" x14ac:dyDescent="0.2">
      <c r="A1" t="s">
        <v>39</v>
      </c>
      <c r="B1" t="s">
        <v>40</v>
      </c>
      <c r="C1" t="s">
        <v>0</v>
      </c>
      <c r="D1" t="s">
        <v>1</v>
      </c>
      <c r="E1" t="s">
        <v>41</v>
      </c>
      <c r="F1" t="s">
        <v>2</v>
      </c>
      <c r="G1" t="s">
        <v>42</v>
      </c>
      <c r="H1" t="s">
        <v>18</v>
      </c>
      <c r="I1" t="s">
        <v>43</v>
      </c>
      <c r="J1" t="s">
        <v>44</v>
      </c>
      <c r="K1" t="s">
        <v>19</v>
      </c>
      <c r="L1" t="s">
        <v>45</v>
      </c>
      <c r="M1" t="s">
        <v>46</v>
      </c>
      <c r="N1" s="1"/>
      <c r="O1" s="1"/>
      <c r="P1" s="1"/>
      <c r="Q1" s="1"/>
      <c r="R1" s="1"/>
      <c r="S1" s="1"/>
      <c r="T1" s="1"/>
      <c r="U1" s="1"/>
    </row>
    <row r="2" spans="1:21" x14ac:dyDescent="0.2">
      <c r="A2" s="13">
        <v>44252.749490740738</v>
      </c>
      <c r="B2">
        <v>27934</v>
      </c>
      <c r="C2">
        <v>1</v>
      </c>
      <c r="D2" t="s">
        <v>100</v>
      </c>
      <c r="G2">
        <v>1</v>
      </c>
      <c r="H2" t="s">
        <v>20</v>
      </c>
      <c r="I2">
        <v>128.6</v>
      </c>
      <c r="J2">
        <v>1964</v>
      </c>
      <c r="K2">
        <v>43796</v>
      </c>
      <c r="N2" s="1"/>
      <c r="O2" s="1"/>
      <c r="P2" s="1"/>
      <c r="Q2" s="1"/>
      <c r="R2" s="1"/>
      <c r="S2" s="1"/>
      <c r="T2" s="1"/>
    </row>
    <row r="3" spans="1:21" x14ac:dyDescent="0.2">
      <c r="A3" s="13">
        <v>44252.749490740738</v>
      </c>
      <c r="B3">
        <v>27934</v>
      </c>
      <c r="C3">
        <v>1</v>
      </c>
      <c r="D3" t="s">
        <v>100</v>
      </c>
      <c r="G3">
        <v>2</v>
      </c>
      <c r="H3" t="s">
        <v>21</v>
      </c>
      <c r="I3">
        <v>244.6</v>
      </c>
      <c r="J3">
        <v>21521</v>
      </c>
      <c r="K3">
        <v>540282</v>
      </c>
      <c r="N3" s="1"/>
      <c r="O3" s="1"/>
      <c r="P3" s="1"/>
      <c r="Q3" s="1"/>
      <c r="R3" s="1"/>
      <c r="S3" s="1"/>
      <c r="T3" s="1"/>
    </row>
    <row r="4" spans="1:21" x14ac:dyDescent="0.2">
      <c r="A4" s="13">
        <v>44252.749490740738</v>
      </c>
      <c r="B4">
        <v>27934</v>
      </c>
      <c r="C4">
        <v>1</v>
      </c>
      <c r="D4" t="s">
        <v>100</v>
      </c>
      <c r="N4" s="1"/>
      <c r="O4" s="1"/>
      <c r="P4" s="1"/>
      <c r="Q4" s="1"/>
      <c r="R4" s="1"/>
      <c r="S4" s="1"/>
      <c r="T4" s="1"/>
    </row>
    <row r="5" spans="1:21" x14ac:dyDescent="0.2">
      <c r="A5" s="13">
        <v>44252.756828703707</v>
      </c>
      <c r="B5">
        <v>27935</v>
      </c>
      <c r="C5">
        <v>2</v>
      </c>
      <c r="D5" t="s">
        <v>100</v>
      </c>
      <c r="G5">
        <v>1</v>
      </c>
      <c r="H5" t="s">
        <v>20</v>
      </c>
      <c r="I5">
        <v>128.6</v>
      </c>
      <c r="J5">
        <v>2127</v>
      </c>
      <c r="K5">
        <v>47344</v>
      </c>
      <c r="N5" s="1"/>
      <c r="O5" s="1"/>
      <c r="P5" s="1"/>
      <c r="Q5" s="1"/>
      <c r="R5" s="1"/>
      <c r="S5" s="1"/>
      <c r="T5" s="1"/>
    </row>
    <row r="6" spans="1:21" x14ac:dyDescent="0.2">
      <c r="A6" s="13">
        <v>44252.756828703707</v>
      </c>
      <c r="B6">
        <v>27935</v>
      </c>
      <c r="C6">
        <v>2</v>
      </c>
      <c r="D6" t="s">
        <v>100</v>
      </c>
      <c r="G6">
        <v>2</v>
      </c>
      <c r="H6" t="s">
        <v>21</v>
      </c>
      <c r="I6">
        <v>244.6</v>
      </c>
      <c r="J6">
        <v>23281</v>
      </c>
      <c r="K6">
        <v>582293</v>
      </c>
      <c r="N6" s="1"/>
      <c r="O6" s="1"/>
      <c r="P6" s="1"/>
      <c r="Q6" s="1"/>
      <c r="R6" s="1"/>
      <c r="S6" s="1"/>
      <c r="T6" s="1"/>
    </row>
    <row r="7" spans="1:21" x14ac:dyDescent="0.2">
      <c r="A7" s="13">
        <v>44252.756828703707</v>
      </c>
      <c r="B7">
        <v>27935</v>
      </c>
      <c r="C7">
        <v>2</v>
      </c>
      <c r="D7" t="s">
        <v>100</v>
      </c>
      <c r="N7" s="1"/>
      <c r="O7" s="1"/>
      <c r="P7" s="1"/>
      <c r="Q7" s="1"/>
      <c r="R7" s="1"/>
      <c r="S7" s="1"/>
      <c r="T7" s="1"/>
    </row>
    <row r="8" spans="1:21" x14ac:dyDescent="0.2">
      <c r="A8" s="13">
        <v>44252.764166666668</v>
      </c>
      <c r="B8">
        <v>27936</v>
      </c>
      <c r="C8">
        <v>3</v>
      </c>
      <c r="D8" t="s">
        <v>100</v>
      </c>
      <c r="G8">
        <v>1</v>
      </c>
      <c r="H8" t="s">
        <v>20</v>
      </c>
      <c r="I8">
        <v>128.80000000000001</v>
      </c>
      <c r="J8">
        <v>2014</v>
      </c>
      <c r="K8">
        <v>44778</v>
      </c>
      <c r="N8" s="1"/>
      <c r="O8" s="1"/>
      <c r="P8" s="1"/>
      <c r="Q8" s="1"/>
      <c r="R8" s="1"/>
      <c r="S8" s="1"/>
      <c r="T8" s="1"/>
    </row>
    <row r="9" spans="1:21" x14ac:dyDescent="0.2">
      <c r="A9" s="13">
        <v>44252.764166666668</v>
      </c>
      <c r="B9">
        <v>27936</v>
      </c>
      <c r="C9">
        <v>3</v>
      </c>
      <c r="D9" t="s">
        <v>100</v>
      </c>
      <c r="G9">
        <v>2</v>
      </c>
      <c r="H9" t="s">
        <v>21</v>
      </c>
      <c r="I9">
        <v>244.8</v>
      </c>
      <c r="J9">
        <v>22089</v>
      </c>
      <c r="K9">
        <v>551552</v>
      </c>
      <c r="N9" s="1"/>
      <c r="O9" s="1"/>
      <c r="P9" s="1"/>
      <c r="Q9" s="1"/>
      <c r="R9" s="1"/>
      <c r="S9" s="1"/>
      <c r="T9" s="1"/>
    </row>
    <row r="10" spans="1:21" x14ac:dyDescent="0.2">
      <c r="A10" s="13">
        <v>44252.764166666668</v>
      </c>
      <c r="B10">
        <v>27936</v>
      </c>
      <c r="C10">
        <v>3</v>
      </c>
      <c r="D10" t="s">
        <v>100</v>
      </c>
      <c r="N10" s="1"/>
      <c r="O10" s="1"/>
      <c r="P10" s="1"/>
      <c r="Q10" s="1"/>
      <c r="R10" s="1"/>
      <c r="S10" s="1"/>
      <c r="T10" s="1"/>
    </row>
    <row r="11" spans="1:21" x14ac:dyDescent="0.2">
      <c r="A11" s="13">
        <v>44252.771493055552</v>
      </c>
      <c r="B11">
        <v>27937</v>
      </c>
      <c r="C11">
        <v>4</v>
      </c>
      <c r="D11" t="s">
        <v>101</v>
      </c>
      <c r="N11" s="1"/>
      <c r="O11" s="1"/>
      <c r="P11" s="1"/>
      <c r="Q11" s="1"/>
      <c r="R11" s="1"/>
      <c r="S11" s="1"/>
      <c r="T11" s="1"/>
    </row>
    <row r="12" spans="1:21" x14ac:dyDescent="0.2">
      <c r="A12" s="13">
        <v>44252.771493055552</v>
      </c>
      <c r="B12">
        <v>27937</v>
      </c>
      <c r="C12">
        <v>4</v>
      </c>
      <c r="D12" t="s">
        <v>101</v>
      </c>
      <c r="N12" s="1"/>
      <c r="O12" s="1"/>
      <c r="P12" s="1"/>
      <c r="Q12" s="1"/>
      <c r="R12" s="1"/>
      <c r="S12" s="1"/>
      <c r="T12" s="1"/>
    </row>
    <row r="13" spans="1:21" x14ac:dyDescent="0.2">
      <c r="A13" s="13">
        <v>44252.778831018521</v>
      </c>
      <c r="B13">
        <v>27938</v>
      </c>
      <c r="C13">
        <v>5</v>
      </c>
      <c r="D13" t="s">
        <v>12</v>
      </c>
      <c r="G13">
        <v>1</v>
      </c>
      <c r="H13" t="s">
        <v>20</v>
      </c>
      <c r="I13">
        <v>128.6</v>
      </c>
      <c r="J13">
        <v>12424</v>
      </c>
      <c r="K13">
        <v>275185</v>
      </c>
      <c r="N13" s="1"/>
      <c r="O13" s="1"/>
      <c r="P13" s="1"/>
      <c r="Q13" s="1"/>
      <c r="R13" s="1"/>
      <c r="S13" s="1"/>
      <c r="T13" s="1"/>
    </row>
    <row r="14" spans="1:21" x14ac:dyDescent="0.2">
      <c r="A14" s="13">
        <v>44252.778831018521</v>
      </c>
      <c r="B14">
        <v>27938</v>
      </c>
      <c r="C14">
        <v>5</v>
      </c>
      <c r="D14" t="s">
        <v>12</v>
      </c>
      <c r="G14">
        <v>2</v>
      </c>
      <c r="H14" t="s">
        <v>21</v>
      </c>
      <c r="I14">
        <v>241.6</v>
      </c>
      <c r="J14">
        <v>51329</v>
      </c>
      <c r="K14">
        <v>1290747</v>
      </c>
      <c r="N14" s="1"/>
      <c r="O14" s="1"/>
      <c r="P14" s="1"/>
      <c r="Q14" s="1"/>
      <c r="R14" s="1"/>
      <c r="S14" s="1"/>
      <c r="T14" s="1"/>
    </row>
    <row r="15" spans="1:21" x14ac:dyDescent="0.2">
      <c r="A15" s="13">
        <v>44252.778831018521</v>
      </c>
      <c r="B15">
        <v>27938</v>
      </c>
      <c r="C15">
        <v>5</v>
      </c>
      <c r="D15" t="s">
        <v>12</v>
      </c>
      <c r="N15" s="1"/>
      <c r="O15" s="1"/>
      <c r="P15" s="1"/>
      <c r="Q15" s="1"/>
      <c r="R15" s="1"/>
      <c r="S15" s="1"/>
      <c r="T15" s="1"/>
    </row>
    <row r="16" spans="1:21" x14ac:dyDescent="0.2">
      <c r="A16" s="13">
        <v>44252.786157407405</v>
      </c>
      <c r="B16">
        <v>27939</v>
      </c>
      <c r="C16">
        <v>6</v>
      </c>
      <c r="D16" t="s">
        <v>11</v>
      </c>
      <c r="G16">
        <v>1</v>
      </c>
      <c r="H16" t="s">
        <v>20</v>
      </c>
      <c r="I16">
        <v>127.5</v>
      </c>
      <c r="J16">
        <v>8140</v>
      </c>
      <c r="K16">
        <v>182663</v>
      </c>
      <c r="N16" s="1"/>
      <c r="O16" s="1"/>
      <c r="P16" s="1"/>
      <c r="Q16" s="1"/>
      <c r="R16" s="1"/>
      <c r="S16" s="1"/>
      <c r="T16" s="1"/>
    </row>
    <row r="17" spans="1:20" x14ac:dyDescent="0.2">
      <c r="A17" s="13">
        <v>44252.786157407405</v>
      </c>
      <c r="B17">
        <v>27939</v>
      </c>
      <c r="C17">
        <v>6</v>
      </c>
      <c r="D17" t="s">
        <v>11</v>
      </c>
      <c r="G17">
        <v>2</v>
      </c>
      <c r="H17" t="s">
        <v>21</v>
      </c>
      <c r="I17">
        <v>246.5</v>
      </c>
      <c r="J17">
        <v>8791</v>
      </c>
      <c r="K17">
        <v>217046</v>
      </c>
      <c r="N17" s="1"/>
      <c r="O17" s="1"/>
      <c r="P17" s="1"/>
      <c r="Q17" s="1"/>
      <c r="R17" s="1"/>
      <c r="S17" s="1"/>
      <c r="T17" s="1"/>
    </row>
    <row r="18" spans="1:20" x14ac:dyDescent="0.2">
      <c r="A18" s="13">
        <v>44252.786157407405</v>
      </c>
      <c r="B18">
        <v>27939</v>
      </c>
      <c r="C18">
        <v>6</v>
      </c>
      <c r="D18" t="s">
        <v>11</v>
      </c>
      <c r="N18" s="1"/>
      <c r="O18" s="1"/>
      <c r="P18" s="1"/>
      <c r="Q18" s="1"/>
      <c r="R18" s="1"/>
      <c r="S18" s="1"/>
      <c r="T18" s="1"/>
    </row>
    <row r="19" spans="1:20" x14ac:dyDescent="0.2">
      <c r="A19" s="13">
        <v>44252.793483796297</v>
      </c>
      <c r="B19">
        <v>27940</v>
      </c>
      <c r="C19">
        <v>7</v>
      </c>
      <c r="D19" t="s">
        <v>13</v>
      </c>
      <c r="G19">
        <v>1</v>
      </c>
      <c r="H19" t="s">
        <v>21</v>
      </c>
      <c r="I19">
        <v>245.8</v>
      </c>
      <c r="J19">
        <v>14736</v>
      </c>
      <c r="K19">
        <v>365088</v>
      </c>
      <c r="N19" s="1"/>
      <c r="O19" s="1"/>
      <c r="P19" s="1"/>
      <c r="Q19" s="1"/>
      <c r="R19" s="1"/>
      <c r="S19" s="1"/>
      <c r="T19" s="1"/>
    </row>
    <row r="20" spans="1:20" x14ac:dyDescent="0.2">
      <c r="A20" s="13">
        <v>44252.793483796297</v>
      </c>
      <c r="B20">
        <v>27940</v>
      </c>
      <c r="C20">
        <v>7</v>
      </c>
      <c r="D20" t="s">
        <v>13</v>
      </c>
      <c r="N20" s="1"/>
      <c r="O20" s="1"/>
      <c r="P20" s="1"/>
      <c r="Q20" s="1"/>
      <c r="R20" s="1"/>
      <c r="S20" s="1"/>
      <c r="T20" s="1"/>
    </row>
    <row r="21" spans="1:20" x14ac:dyDescent="0.2">
      <c r="A21" s="13">
        <v>44252.800821759258</v>
      </c>
      <c r="B21">
        <v>27941</v>
      </c>
      <c r="C21">
        <v>8</v>
      </c>
      <c r="D21" t="s">
        <v>14</v>
      </c>
      <c r="G21">
        <v>1</v>
      </c>
      <c r="H21" t="s">
        <v>20</v>
      </c>
      <c r="I21">
        <v>128.6</v>
      </c>
      <c r="J21">
        <v>2074</v>
      </c>
      <c r="K21">
        <v>45814</v>
      </c>
      <c r="N21" s="1"/>
      <c r="O21" s="1"/>
      <c r="P21" s="1"/>
      <c r="Q21" s="1"/>
      <c r="R21" s="1"/>
      <c r="S21" s="1"/>
      <c r="T21" s="1"/>
    </row>
    <row r="22" spans="1:20" x14ac:dyDescent="0.2">
      <c r="A22" s="13">
        <v>44252.800821759258</v>
      </c>
      <c r="B22">
        <v>27941</v>
      </c>
      <c r="C22">
        <v>8</v>
      </c>
      <c r="D22" t="s">
        <v>14</v>
      </c>
      <c r="G22">
        <v>2</v>
      </c>
      <c r="H22" t="s">
        <v>21</v>
      </c>
      <c r="I22">
        <v>244.6</v>
      </c>
      <c r="J22">
        <v>22713</v>
      </c>
      <c r="K22">
        <v>563852</v>
      </c>
      <c r="N22" s="1"/>
      <c r="O22" s="1"/>
      <c r="P22" s="1"/>
      <c r="Q22" s="1"/>
      <c r="R22" s="1"/>
      <c r="S22" s="1"/>
      <c r="T22" s="1"/>
    </row>
    <row r="23" spans="1:20" x14ac:dyDescent="0.2">
      <c r="A23" s="13">
        <v>44252.800821759258</v>
      </c>
      <c r="B23">
        <v>27941</v>
      </c>
      <c r="C23">
        <v>8</v>
      </c>
      <c r="D23" t="s">
        <v>14</v>
      </c>
      <c r="N23" s="1"/>
      <c r="O23" s="1"/>
      <c r="P23" s="1"/>
      <c r="Q23" s="1"/>
      <c r="R23" s="1"/>
      <c r="S23" s="1"/>
      <c r="T23" s="1"/>
    </row>
    <row r="24" spans="1:20" x14ac:dyDescent="0.2">
      <c r="A24" s="13">
        <v>44252.808148148149</v>
      </c>
      <c r="B24">
        <v>27942</v>
      </c>
      <c r="C24">
        <v>9</v>
      </c>
      <c r="D24" t="s">
        <v>102</v>
      </c>
      <c r="G24">
        <v>1</v>
      </c>
      <c r="H24" t="s">
        <v>20</v>
      </c>
      <c r="I24">
        <v>128.6</v>
      </c>
      <c r="J24">
        <v>1147</v>
      </c>
      <c r="K24">
        <v>24945</v>
      </c>
      <c r="N24" s="1"/>
      <c r="O24" s="1"/>
      <c r="P24" s="1"/>
      <c r="Q24" s="1"/>
      <c r="R24" s="1"/>
      <c r="S24" s="1"/>
      <c r="T24" s="1"/>
    </row>
    <row r="25" spans="1:20" x14ac:dyDescent="0.2">
      <c r="A25" s="13">
        <v>44252.808148148149</v>
      </c>
      <c r="B25">
        <v>27942</v>
      </c>
      <c r="C25">
        <v>9</v>
      </c>
      <c r="D25" t="s">
        <v>102</v>
      </c>
      <c r="G25">
        <v>2</v>
      </c>
      <c r="H25" t="s">
        <v>21</v>
      </c>
      <c r="I25">
        <v>242.6</v>
      </c>
      <c r="J25">
        <v>42156</v>
      </c>
      <c r="K25">
        <v>1050298</v>
      </c>
      <c r="N25" s="1"/>
      <c r="O25" s="1"/>
      <c r="P25" s="1"/>
      <c r="Q25" s="1"/>
      <c r="R25" s="1"/>
      <c r="S25" s="1"/>
      <c r="T25" s="1"/>
    </row>
    <row r="26" spans="1:20" x14ac:dyDescent="0.2">
      <c r="A26" s="13">
        <v>44252.808148148149</v>
      </c>
      <c r="B26">
        <v>27942</v>
      </c>
      <c r="C26">
        <v>9</v>
      </c>
      <c r="D26" t="s">
        <v>102</v>
      </c>
      <c r="N26" s="1"/>
      <c r="O26" s="1"/>
      <c r="P26" s="1"/>
      <c r="Q26" s="1"/>
      <c r="R26" s="1"/>
      <c r="S26" s="1"/>
      <c r="T26" s="1"/>
    </row>
    <row r="27" spans="1:20" x14ac:dyDescent="0.2">
      <c r="A27" s="13">
        <v>44252.815486111111</v>
      </c>
      <c r="B27">
        <v>27943</v>
      </c>
      <c r="C27">
        <v>10</v>
      </c>
      <c r="D27" t="s">
        <v>103</v>
      </c>
      <c r="F27">
        <v>5.72</v>
      </c>
      <c r="G27">
        <v>1</v>
      </c>
      <c r="H27" t="s">
        <v>20</v>
      </c>
      <c r="I27">
        <v>129.6</v>
      </c>
      <c r="J27">
        <v>666</v>
      </c>
      <c r="K27">
        <v>14398</v>
      </c>
      <c r="N27" s="1"/>
      <c r="O27" s="1"/>
      <c r="P27" s="1"/>
      <c r="Q27" s="1"/>
      <c r="R27" s="1"/>
      <c r="S27" s="1"/>
      <c r="T27" s="1"/>
    </row>
    <row r="28" spans="1:20" x14ac:dyDescent="0.2">
      <c r="A28" s="13">
        <v>44252.815486111111</v>
      </c>
      <c r="B28">
        <v>27943</v>
      </c>
      <c r="C28">
        <v>10</v>
      </c>
      <c r="D28" t="s">
        <v>103</v>
      </c>
      <c r="F28">
        <v>5.72</v>
      </c>
      <c r="G28">
        <v>2</v>
      </c>
      <c r="H28" t="s">
        <v>21</v>
      </c>
      <c r="I28">
        <v>245.6</v>
      </c>
      <c r="J28">
        <v>21979</v>
      </c>
      <c r="K28">
        <v>538283</v>
      </c>
      <c r="N28" s="1"/>
      <c r="O28" s="1"/>
      <c r="P28" s="1"/>
      <c r="Q28" s="1"/>
      <c r="R28" s="1"/>
      <c r="S28" s="1"/>
      <c r="T28" s="1"/>
    </row>
    <row r="29" spans="1:20" x14ac:dyDescent="0.2">
      <c r="A29" s="13">
        <v>44252.815486111111</v>
      </c>
      <c r="B29">
        <v>27943</v>
      </c>
      <c r="C29">
        <v>10</v>
      </c>
      <c r="D29" t="s">
        <v>103</v>
      </c>
      <c r="F29">
        <v>5.72</v>
      </c>
      <c r="N29" s="1"/>
      <c r="O29" s="1"/>
      <c r="P29" s="1"/>
      <c r="Q29" s="1"/>
      <c r="R29" s="1"/>
      <c r="S29" s="1"/>
      <c r="T29" s="1"/>
    </row>
    <row r="30" spans="1:20" x14ac:dyDescent="0.2">
      <c r="A30" s="13">
        <v>44252.822812500002</v>
      </c>
      <c r="B30">
        <v>27944</v>
      </c>
      <c r="C30">
        <v>11</v>
      </c>
      <c r="D30" t="s">
        <v>104</v>
      </c>
      <c r="F30">
        <v>5.7050000000000001</v>
      </c>
      <c r="G30">
        <v>1</v>
      </c>
      <c r="H30" t="s">
        <v>20</v>
      </c>
      <c r="I30">
        <v>128.6</v>
      </c>
      <c r="J30">
        <v>3117</v>
      </c>
      <c r="K30">
        <v>65950</v>
      </c>
      <c r="N30" s="1"/>
      <c r="O30" s="1"/>
      <c r="P30" s="1"/>
      <c r="Q30" s="1"/>
      <c r="R30" s="1"/>
      <c r="S30" s="1"/>
      <c r="T30" s="1"/>
    </row>
    <row r="31" spans="1:20" x14ac:dyDescent="0.2">
      <c r="A31" s="13">
        <v>44252.822812500002</v>
      </c>
      <c r="B31">
        <v>27944</v>
      </c>
      <c r="C31">
        <v>11</v>
      </c>
      <c r="D31" t="s">
        <v>104</v>
      </c>
      <c r="F31">
        <v>5.7050000000000001</v>
      </c>
      <c r="G31">
        <v>2</v>
      </c>
      <c r="H31" t="s">
        <v>21</v>
      </c>
      <c r="I31">
        <v>234.6</v>
      </c>
      <c r="J31">
        <v>107641</v>
      </c>
      <c r="K31">
        <v>2750903</v>
      </c>
      <c r="N31" s="1"/>
      <c r="O31" s="1"/>
      <c r="P31" s="1"/>
      <c r="Q31" s="1"/>
      <c r="R31" s="1"/>
      <c r="S31" s="1"/>
      <c r="T31" s="1"/>
    </row>
    <row r="32" spans="1:20" x14ac:dyDescent="0.2">
      <c r="A32" s="13">
        <v>44252.822812500002</v>
      </c>
      <c r="B32">
        <v>27944</v>
      </c>
      <c r="C32">
        <v>11</v>
      </c>
      <c r="D32" t="s">
        <v>104</v>
      </c>
      <c r="F32">
        <v>5.7050000000000001</v>
      </c>
      <c r="N32" s="1"/>
      <c r="O32" s="1"/>
      <c r="P32" s="1"/>
      <c r="Q32" s="1"/>
      <c r="R32" s="1"/>
      <c r="S32" s="1"/>
      <c r="T32" s="1"/>
    </row>
    <row r="33" spans="1:20" x14ac:dyDescent="0.2">
      <c r="A33" s="13">
        <v>44252.830138888887</v>
      </c>
      <c r="B33">
        <v>27945</v>
      </c>
      <c r="C33">
        <v>12</v>
      </c>
      <c r="D33" t="s">
        <v>105</v>
      </c>
      <c r="F33">
        <v>5.7519999999999998</v>
      </c>
      <c r="G33">
        <v>1</v>
      </c>
      <c r="H33" t="s">
        <v>20</v>
      </c>
      <c r="I33">
        <v>128.6</v>
      </c>
      <c r="J33">
        <v>2651</v>
      </c>
      <c r="K33">
        <v>56478</v>
      </c>
      <c r="N33" s="1"/>
      <c r="O33" s="1"/>
      <c r="P33" s="1"/>
      <c r="Q33" s="1"/>
      <c r="R33" s="1"/>
      <c r="S33" s="1"/>
      <c r="T33" s="1"/>
    </row>
    <row r="34" spans="1:20" x14ac:dyDescent="0.2">
      <c r="A34" s="13">
        <v>44252.830138888887</v>
      </c>
      <c r="B34">
        <v>27945</v>
      </c>
      <c r="C34">
        <v>12</v>
      </c>
      <c r="D34" t="s">
        <v>105</v>
      </c>
      <c r="F34">
        <v>5.7519999999999998</v>
      </c>
      <c r="G34">
        <v>2</v>
      </c>
      <c r="H34" t="s">
        <v>21</v>
      </c>
      <c r="I34">
        <v>236.6</v>
      </c>
      <c r="J34">
        <v>92257</v>
      </c>
      <c r="K34">
        <v>2343006</v>
      </c>
      <c r="N34" s="1"/>
      <c r="O34" s="1"/>
      <c r="P34" s="1"/>
      <c r="Q34" s="1"/>
      <c r="R34" s="1"/>
      <c r="S34" s="1"/>
      <c r="T34" s="1"/>
    </row>
    <row r="35" spans="1:20" x14ac:dyDescent="0.2">
      <c r="A35" s="13">
        <v>44252.830138888887</v>
      </c>
      <c r="B35">
        <v>27945</v>
      </c>
      <c r="C35">
        <v>12</v>
      </c>
      <c r="D35" t="s">
        <v>105</v>
      </c>
      <c r="F35">
        <v>5.7519999999999998</v>
      </c>
      <c r="N35" s="1"/>
      <c r="O35" s="1"/>
      <c r="P35" s="1"/>
      <c r="Q35" s="1"/>
      <c r="R35" s="1"/>
      <c r="S35" s="1"/>
      <c r="T35" s="1"/>
    </row>
    <row r="36" spans="1:20" x14ac:dyDescent="0.2">
      <c r="A36" s="13">
        <v>44252.837465277778</v>
      </c>
      <c r="B36">
        <v>27946</v>
      </c>
      <c r="C36">
        <v>13</v>
      </c>
      <c r="D36" t="s">
        <v>106</v>
      </c>
      <c r="F36">
        <v>5.9560000000000004</v>
      </c>
      <c r="G36">
        <v>1</v>
      </c>
      <c r="H36" t="s">
        <v>20</v>
      </c>
      <c r="I36">
        <v>128.6</v>
      </c>
      <c r="J36">
        <v>1783</v>
      </c>
      <c r="K36">
        <v>38232</v>
      </c>
      <c r="N36" s="1"/>
      <c r="O36" s="1"/>
      <c r="P36" s="1"/>
      <c r="Q36" s="1"/>
      <c r="R36" s="1"/>
      <c r="S36" s="1"/>
      <c r="T36" s="1"/>
    </row>
    <row r="37" spans="1:20" x14ac:dyDescent="0.2">
      <c r="A37" s="13">
        <v>44252.837465277778</v>
      </c>
      <c r="B37">
        <v>27946</v>
      </c>
      <c r="C37">
        <v>13</v>
      </c>
      <c r="D37" t="s">
        <v>106</v>
      </c>
      <c r="F37">
        <v>5.9560000000000004</v>
      </c>
      <c r="G37">
        <v>2</v>
      </c>
      <c r="H37" t="s">
        <v>21</v>
      </c>
      <c r="I37">
        <v>241.6</v>
      </c>
      <c r="J37">
        <v>53109</v>
      </c>
      <c r="K37">
        <v>1314590</v>
      </c>
      <c r="N37" s="1"/>
      <c r="O37" s="1"/>
      <c r="P37" s="1"/>
      <c r="Q37" s="1"/>
      <c r="R37" s="1"/>
      <c r="S37" s="1"/>
      <c r="T37" s="1"/>
    </row>
    <row r="38" spans="1:20" x14ac:dyDescent="0.2">
      <c r="A38" s="13">
        <v>44252.837465277778</v>
      </c>
      <c r="B38">
        <v>27946</v>
      </c>
      <c r="C38">
        <v>13</v>
      </c>
      <c r="D38" t="s">
        <v>106</v>
      </c>
      <c r="F38">
        <v>5.9560000000000004</v>
      </c>
      <c r="N38" s="1"/>
      <c r="O38" s="1"/>
      <c r="P38" s="1"/>
      <c r="Q38" s="1"/>
      <c r="R38" s="1"/>
      <c r="S38" s="1"/>
      <c r="T38" s="1"/>
    </row>
    <row r="39" spans="1:20" x14ac:dyDescent="0.2">
      <c r="A39" s="13">
        <v>44252.84479166667</v>
      </c>
      <c r="B39">
        <v>27947</v>
      </c>
      <c r="C39">
        <v>14</v>
      </c>
      <c r="D39" t="s">
        <v>107</v>
      </c>
      <c r="F39">
        <v>5.8090000000000002</v>
      </c>
      <c r="G39">
        <v>1</v>
      </c>
      <c r="H39" t="s">
        <v>20</v>
      </c>
      <c r="I39">
        <v>128.6</v>
      </c>
      <c r="J39">
        <v>1802</v>
      </c>
      <c r="K39">
        <v>38522</v>
      </c>
      <c r="N39" s="1"/>
      <c r="O39" s="1"/>
      <c r="P39" s="1"/>
      <c r="Q39" s="1"/>
      <c r="R39" s="1"/>
      <c r="S39" s="1"/>
      <c r="T39" s="1"/>
    </row>
    <row r="40" spans="1:20" x14ac:dyDescent="0.2">
      <c r="A40" s="13">
        <v>44252.84479166667</v>
      </c>
      <c r="B40">
        <v>27947</v>
      </c>
      <c r="C40">
        <v>14</v>
      </c>
      <c r="D40" t="s">
        <v>107</v>
      </c>
      <c r="F40">
        <v>5.8090000000000002</v>
      </c>
      <c r="G40">
        <v>2</v>
      </c>
      <c r="H40" t="s">
        <v>21</v>
      </c>
      <c r="I40">
        <v>240.6</v>
      </c>
      <c r="J40">
        <v>60905</v>
      </c>
      <c r="K40">
        <v>1513473</v>
      </c>
      <c r="N40" s="1"/>
      <c r="O40" s="1"/>
      <c r="P40" s="1"/>
      <c r="Q40" s="1"/>
      <c r="R40" s="1"/>
      <c r="S40" s="1"/>
      <c r="T40" s="1"/>
    </row>
    <row r="41" spans="1:20" x14ac:dyDescent="0.2">
      <c r="A41" s="13">
        <v>44252.84479166667</v>
      </c>
      <c r="B41">
        <v>27947</v>
      </c>
      <c r="C41">
        <v>14</v>
      </c>
      <c r="D41" t="s">
        <v>107</v>
      </c>
      <c r="F41">
        <v>5.8090000000000002</v>
      </c>
      <c r="N41" s="1"/>
      <c r="O41" s="1"/>
      <c r="P41" s="1"/>
      <c r="Q41" s="1"/>
      <c r="R41" s="1"/>
      <c r="S41" s="1"/>
      <c r="T41" s="1"/>
    </row>
    <row r="42" spans="1:20" x14ac:dyDescent="0.2">
      <c r="A42" s="13">
        <v>44252.852118055554</v>
      </c>
      <c r="B42">
        <v>27948</v>
      </c>
      <c r="C42">
        <v>15</v>
      </c>
      <c r="D42" t="s">
        <v>108</v>
      </c>
      <c r="F42">
        <v>5.6559999999999997</v>
      </c>
      <c r="G42">
        <v>1</v>
      </c>
      <c r="H42" t="s">
        <v>20</v>
      </c>
      <c r="I42">
        <v>128.5</v>
      </c>
      <c r="J42">
        <v>758</v>
      </c>
      <c r="K42">
        <v>16275</v>
      </c>
      <c r="N42" s="1"/>
      <c r="O42" s="1"/>
      <c r="P42" s="1"/>
      <c r="Q42" s="1"/>
      <c r="R42" s="1"/>
      <c r="S42" s="1"/>
      <c r="T42" s="1"/>
    </row>
    <row r="43" spans="1:20" x14ac:dyDescent="0.2">
      <c r="A43" s="13">
        <v>44252.852118055554</v>
      </c>
      <c r="B43">
        <v>27948</v>
      </c>
      <c r="C43">
        <v>15</v>
      </c>
      <c r="D43" t="s">
        <v>108</v>
      </c>
      <c r="F43">
        <v>5.6559999999999997</v>
      </c>
      <c r="G43">
        <v>2</v>
      </c>
      <c r="H43" t="s">
        <v>21</v>
      </c>
      <c r="I43">
        <v>245.5</v>
      </c>
      <c r="J43">
        <v>20124</v>
      </c>
      <c r="K43">
        <v>490006</v>
      </c>
      <c r="N43" s="1"/>
      <c r="O43" s="1"/>
      <c r="P43" s="1"/>
      <c r="Q43" s="1"/>
      <c r="R43" s="1"/>
      <c r="S43" s="1"/>
      <c r="T43" s="1"/>
    </row>
    <row r="44" spans="1:20" x14ac:dyDescent="0.2">
      <c r="A44" s="13">
        <v>44252.852118055554</v>
      </c>
      <c r="B44">
        <v>27948</v>
      </c>
      <c r="C44">
        <v>15</v>
      </c>
      <c r="D44" t="s">
        <v>108</v>
      </c>
      <c r="F44">
        <v>5.6559999999999997</v>
      </c>
      <c r="N44" s="1"/>
      <c r="O44" s="1"/>
      <c r="P44" s="1"/>
      <c r="Q44" s="1"/>
      <c r="R44" s="1"/>
      <c r="S44" s="1"/>
      <c r="T44" s="1"/>
    </row>
    <row r="45" spans="1:20" x14ac:dyDescent="0.2">
      <c r="A45" s="13">
        <v>44252.859444444446</v>
      </c>
      <c r="B45">
        <v>27949</v>
      </c>
      <c r="C45">
        <v>16</v>
      </c>
      <c r="D45" t="s">
        <v>12</v>
      </c>
      <c r="G45">
        <v>1</v>
      </c>
      <c r="H45" t="s">
        <v>20</v>
      </c>
      <c r="I45">
        <v>128.6</v>
      </c>
      <c r="J45">
        <v>12329</v>
      </c>
      <c r="K45">
        <v>270683</v>
      </c>
      <c r="N45" s="1"/>
      <c r="O45" s="1"/>
      <c r="P45" s="1"/>
      <c r="Q45" s="1"/>
      <c r="R45" s="1"/>
      <c r="S45" s="1"/>
      <c r="T45" s="1"/>
    </row>
    <row r="46" spans="1:20" x14ac:dyDescent="0.2">
      <c r="A46" s="13">
        <v>44252.859444444446</v>
      </c>
      <c r="B46">
        <v>27949</v>
      </c>
      <c r="C46">
        <v>16</v>
      </c>
      <c r="D46" t="s">
        <v>12</v>
      </c>
      <c r="G46">
        <v>2</v>
      </c>
      <c r="H46" t="s">
        <v>21</v>
      </c>
      <c r="I46">
        <v>241.6</v>
      </c>
      <c r="J46">
        <v>50922</v>
      </c>
      <c r="K46">
        <v>1271531</v>
      </c>
      <c r="N46" s="1"/>
      <c r="O46" s="1"/>
      <c r="P46" s="1"/>
      <c r="Q46" s="1"/>
      <c r="R46" s="1"/>
      <c r="S46" s="1"/>
      <c r="T46" s="1"/>
    </row>
    <row r="47" spans="1:20" x14ac:dyDescent="0.2">
      <c r="A47" s="13">
        <v>44252.859444444446</v>
      </c>
      <c r="B47">
        <v>27949</v>
      </c>
      <c r="C47">
        <v>16</v>
      </c>
      <c r="D47" t="s">
        <v>12</v>
      </c>
      <c r="N47" s="1"/>
      <c r="O47" s="1"/>
      <c r="P47" s="1"/>
      <c r="Q47" s="1"/>
      <c r="R47" s="1"/>
      <c r="S47" s="1"/>
      <c r="T47" s="1"/>
    </row>
    <row r="48" spans="1:20" x14ac:dyDescent="0.2">
      <c r="A48" s="13">
        <v>44252.866770833331</v>
      </c>
      <c r="B48">
        <v>27950</v>
      </c>
      <c r="C48">
        <v>17</v>
      </c>
      <c r="D48" t="s">
        <v>109</v>
      </c>
      <c r="F48">
        <v>5.6390000000000002</v>
      </c>
      <c r="G48">
        <v>1</v>
      </c>
      <c r="H48" t="s">
        <v>20</v>
      </c>
      <c r="I48">
        <v>128.5</v>
      </c>
      <c r="J48">
        <v>1178</v>
      </c>
      <c r="K48">
        <v>25255</v>
      </c>
      <c r="N48" s="1"/>
      <c r="O48" s="1"/>
      <c r="P48" s="1"/>
      <c r="Q48" s="1"/>
      <c r="R48" s="1"/>
      <c r="S48" s="1"/>
      <c r="T48" s="1"/>
    </row>
    <row r="49" spans="1:20" x14ac:dyDescent="0.2">
      <c r="A49" s="13">
        <v>44252.866770833331</v>
      </c>
      <c r="B49">
        <v>27950</v>
      </c>
      <c r="C49">
        <v>17</v>
      </c>
      <c r="D49" t="s">
        <v>109</v>
      </c>
      <c r="F49">
        <v>5.6390000000000002</v>
      </c>
      <c r="G49">
        <v>2</v>
      </c>
      <c r="H49" t="s">
        <v>21</v>
      </c>
      <c r="I49">
        <v>242.5</v>
      </c>
      <c r="J49">
        <v>42682</v>
      </c>
      <c r="K49">
        <v>1049903</v>
      </c>
      <c r="N49" s="1"/>
      <c r="O49" s="1"/>
      <c r="P49" s="1"/>
      <c r="Q49" s="1"/>
      <c r="R49" s="1"/>
      <c r="S49" s="1"/>
      <c r="T49" s="1"/>
    </row>
    <row r="50" spans="1:20" x14ac:dyDescent="0.2">
      <c r="A50" s="13">
        <v>44252.866770833331</v>
      </c>
      <c r="B50">
        <v>27950</v>
      </c>
      <c r="C50">
        <v>17</v>
      </c>
      <c r="D50" t="s">
        <v>109</v>
      </c>
      <c r="F50">
        <v>5.6390000000000002</v>
      </c>
      <c r="N50" s="1"/>
      <c r="O50" s="1"/>
      <c r="P50" s="1"/>
      <c r="Q50" s="1"/>
      <c r="R50" s="1"/>
      <c r="S50" s="1"/>
      <c r="T50" s="1"/>
    </row>
    <row r="51" spans="1:20" x14ac:dyDescent="0.2">
      <c r="A51" s="13">
        <v>44252.874097222222</v>
      </c>
      <c r="B51">
        <v>27951</v>
      </c>
      <c r="C51">
        <v>18</v>
      </c>
      <c r="D51" t="s">
        <v>110</v>
      </c>
      <c r="F51">
        <v>5.7060000000000004</v>
      </c>
      <c r="G51">
        <v>1</v>
      </c>
      <c r="H51" t="s">
        <v>20</v>
      </c>
      <c r="I51">
        <v>128.5</v>
      </c>
      <c r="J51">
        <v>1897</v>
      </c>
      <c r="K51">
        <v>40546</v>
      </c>
      <c r="N51" s="1"/>
      <c r="O51" s="1"/>
      <c r="P51" s="1"/>
      <c r="Q51" s="1"/>
      <c r="R51" s="1"/>
      <c r="S51" s="1"/>
      <c r="T51" s="1"/>
    </row>
    <row r="52" spans="1:20" x14ac:dyDescent="0.2">
      <c r="A52" s="13">
        <v>44252.874097222222</v>
      </c>
      <c r="B52">
        <v>27951</v>
      </c>
      <c r="C52">
        <v>18</v>
      </c>
      <c r="D52" t="s">
        <v>110</v>
      </c>
      <c r="F52">
        <v>5.7060000000000004</v>
      </c>
      <c r="G52">
        <v>2</v>
      </c>
      <c r="H52" t="s">
        <v>21</v>
      </c>
      <c r="I52">
        <v>240.5</v>
      </c>
      <c r="J52">
        <v>56297</v>
      </c>
      <c r="K52">
        <v>1392033</v>
      </c>
      <c r="N52" s="1"/>
      <c r="O52" s="1"/>
      <c r="P52" s="1"/>
      <c r="Q52" s="1"/>
      <c r="R52" s="1"/>
      <c r="S52" s="1"/>
      <c r="T52" s="1"/>
    </row>
    <row r="53" spans="1:20" x14ac:dyDescent="0.2">
      <c r="A53" s="13">
        <v>44252.874097222222</v>
      </c>
      <c r="B53">
        <v>27951</v>
      </c>
      <c r="C53">
        <v>18</v>
      </c>
      <c r="D53" t="s">
        <v>110</v>
      </c>
      <c r="F53">
        <v>5.7060000000000004</v>
      </c>
      <c r="N53" s="1"/>
      <c r="O53" s="1"/>
      <c r="P53" s="1"/>
      <c r="Q53" s="1"/>
      <c r="R53" s="1"/>
      <c r="S53" s="1"/>
      <c r="T53" s="1"/>
    </row>
    <row r="54" spans="1:20" x14ac:dyDescent="0.2">
      <c r="A54" s="13">
        <v>44252.881423611114</v>
      </c>
      <c r="B54">
        <v>27952</v>
      </c>
      <c r="C54">
        <v>19</v>
      </c>
      <c r="D54" t="s">
        <v>111</v>
      </c>
      <c r="F54">
        <v>5.59</v>
      </c>
      <c r="G54">
        <v>1</v>
      </c>
      <c r="H54" t="s">
        <v>20</v>
      </c>
      <c r="I54">
        <v>128.6</v>
      </c>
      <c r="J54">
        <v>1223</v>
      </c>
      <c r="K54">
        <v>26106</v>
      </c>
      <c r="N54" s="1"/>
      <c r="O54" s="1"/>
      <c r="P54" s="1"/>
      <c r="Q54" s="1"/>
      <c r="R54" s="1"/>
      <c r="S54" s="1"/>
      <c r="T54" s="1"/>
    </row>
    <row r="55" spans="1:20" x14ac:dyDescent="0.2">
      <c r="A55" s="13">
        <v>44252.881423611114</v>
      </c>
      <c r="B55">
        <v>27952</v>
      </c>
      <c r="C55">
        <v>19</v>
      </c>
      <c r="D55" t="s">
        <v>111</v>
      </c>
      <c r="F55">
        <v>5.59</v>
      </c>
      <c r="G55">
        <v>2</v>
      </c>
      <c r="H55" t="s">
        <v>21</v>
      </c>
      <c r="I55">
        <v>241.6</v>
      </c>
      <c r="J55">
        <v>43919</v>
      </c>
      <c r="K55">
        <v>1079325</v>
      </c>
      <c r="N55" s="1"/>
      <c r="O55" s="1"/>
      <c r="P55" s="1"/>
      <c r="Q55" s="1"/>
      <c r="R55" s="1"/>
      <c r="S55" s="1"/>
      <c r="T55" s="1"/>
    </row>
    <row r="56" spans="1:20" x14ac:dyDescent="0.2">
      <c r="A56" s="13">
        <v>44252.881423611114</v>
      </c>
      <c r="B56">
        <v>27952</v>
      </c>
      <c r="C56">
        <v>19</v>
      </c>
      <c r="D56" t="s">
        <v>111</v>
      </c>
      <c r="F56">
        <v>5.59</v>
      </c>
      <c r="N56" s="1"/>
      <c r="O56" s="1"/>
      <c r="P56" s="1"/>
      <c r="Q56" s="1"/>
      <c r="R56" s="1"/>
      <c r="S56" s="1"/>
      <c r="T56" s="1"/>
    </row>
    <row r="57" spans="1:20" x14ac:dyDescent="0.2">
      <c r="A57" s="13">
        <v>44252.888749999998</v>
      </c>
      <c r="B57">
        <v>27953</v>
      </c>
      <c r="C57">
        <v>20</v>
      </c>
      <c r="D57" t="s">
        <v>112</v>
      </c>
      <c r="F57">
        <v>5.7210000000000001</v>
      </c>
      <c r="G57">
        <v>1</v>
      </c>
      <c r="H57" t="s">
        <v>20</v>
      </c>
      <c r="I57">
        <v>128.6</v>
      </c>
      <c r="J57">
        <v>2390</v>
      </c>
      <c r="K57">
        <v>50374</v>
      </c>
      <c r="N57" s="1"/>
      <c r="O57" s="1"/>
      <c r="P57" s="1"/>
      <c r="Q57" s="1"/>
      <c r="R57" s="1"/>
      <c r="S57" s="1"/>
      <c r="T57" s="1"/>
    </row>
    <row r="58" spans="1:20" x14ac:dyDescent="0.2">
      <c r="A58" s="13">
        <v>44252.888749999998</v>
      </c>
      <c r="B58">
        <v>27953</v>
      </c>
      <c r="C58">
        <v>20</v>
      </c>
      <c r="D58" t="s">
        <v>112</v>
      </c>
      <c r="F58">
        <v>5.7210000000000001</v>
      </c>
      <c r="G58">
        <v>2</v>
      </c>
      <c r="H58" t="s">
        <v>21</v>
      </c>
      <c r="I58">
        <v>235.6</v>
      </c>
      <c r="J58">
        <v>100805</v>
      </c>
      <c r="K58">
        <v>2554311</v>
      </c>
      <c r="N58" s="1"/>
      <c r="O58" s="1"/>
      <c r="P58" s="1"/>
      <c r="Q58" s="1"/>
      <c r="R58" s="1"/>
      <c r="S58" s="1"/>
      <c r="T58" s="1"/>
    </row>
    <row r="59" spans="1:20" x14ac:dyDescent="0.2">
      <c r="A59" s="13">
        <v>44252.888749999998</v>
      </c>
      <c r="B59">
        <v>27953</v>
      </c>
      <c r="C59">
        <v>20</v>
      </c>
      <c r="D59" t="s">
        <v>112</v>
      </c>
      <c r="F59">
        <v>5.7210000000000001</v>
      </c>
      <c r="N59" s="1"/>
      <c r="O59" s="1"/>
      <c r="P59" s="1"/>
      <c r="Q59" s="1"/>
      <c r="R59" s="1"/>
      <c r="S59" s="1"/>
      <c r="T59" s="1"/>
    </row>
    <row r="60" spans="1:20" x14ac:dyDescent="0.2">
      <c r="A60" s="13">
        <v>44252.89607638889</v>
      </c>
      <c r="B60">
        <v>27954</v>
      </c>
      <c r="C60">
        <v>21</v>
      </c>
      <c r="D60" t="s">
        <v>113</v>
      </c>
      <c r="F60">
        <v>5.7469999999999999</v>
      </c>
      <c r="G60">
        <v>1</v>
      </c>
      <c r="H60" t="s">
        <v>20</v>
      </c>
      <c r="I60">
        <v>128.6</v>
      </c>
      <c r="J60">
        <v>1849</v>
      </c>
      <c r="K60">
        <v>39284</v>
      </c>
      <c r="N60" s="1"/>
      <c r="O60" s="1"/>
      <c r="P60" s="1"/>
      <c r="Q60" s="1"/>
      <c r="R60" s="1"/>
      <c r="S60" s="1"/>
      <c r="T60" s="1"/>
    </row>
    <row r="61" spans="1:20" x14ac:dyDescent="0.2">
      <c r="A61" s="13">
        <v>44252.89607638889</v>
      </c>
      <c r="B61">
        <v>27954</v>
      </c>
      <c r="C61">
        <v>21</v>
      </c>
      <c r="D61" t="s">
        <v>113</v>
      </c>
      <c r="F61">
        <v>5.7469999999999999</v>
      </c>
      <c r="G61">
        <v>2</v>
      </c>
      <c r="H61" t="s">
        <v>21</v>
      </c>
      <c r="I61">
        <v>239.6</v>
      </c>
      <c r="J61">
        <v>65859</v>
      </c>
      <c r="K61">
        <v>1634066</v>
      </c>
      <c r="N61" s="1"/>
      <c r="O61" s="1"/>
      <c r="P61" s="1"/>
      <c r="Q61" s="1"/>
      <c r="R61" s="1"/>
      <c r="S61" s="1"/>
      <c r="T61" s="1"/>
    </row>
    <row r="62" spans="1:20" x14ac:dyDescent="0.2">
      <c r="A62" s="13">
        <v>44252.89607638889</v>
      </c>
      <c r="B62">
        <v>27954</v>
      </c>
      <c r="C62">
        <v>21</v>
      </c>
      <c r="D62" t="s">
        <v>113</v>
      </c>
      <c r="F62">
        <v>5.7469999999999999</v>
      </c>
      <c r="N62" s="1"/>
      <c r="O62" s="1"/>
      <c r="P62" s="1"/>
      <c r="Q62" s="1"/>
      <c r="R62" s="1"/>
      <c r="S62" s="1"/>
      <c r="T62" s="1"/>
    </row>
    <row r="63" spans="1:20" x14ac:dyDescent="0.2">
      <c r="A63" s="13">
        <v>44252.903414351851</v>
      </c>
      <c r="B63">
        <v>27955</v>
      </c>
      <c r="C63">
        <v>22</v>
      </c>
      <c r="D63" t="s">
        <v>114</v>
      </c>
      <c r="F63">
        <v>5.7249999999999996</v>
      </c>
      <c r="G63">
        <v>1</v>
      </c>
      <c r="H63" t="s">
        <v>20</v>
      </c>
      <c r="I63">
        <v>128.6</v>
      </c>
      <c r="J63">
        <v>693</v>
      </c>
      <c r="K63">
        <v>14783</v>
      </c>
      <c r="N63" s="1"/>
      <c r="O63" s="1"/>
      <c r="P63" s="1"/>
      <c r="Q63" s="1"/>
      <c r="R63" s="1"/>
      <c r="S63" s="1"/>
      <c r="T63" s="1"/>
    </row>
    <row r="64" spans="1:20" x14ac:dyDescent="0.2">
      <c r="A64" s="13">
        <v>44252.903414351851</v>
      </c>
      <c r="B64">
        <v>27955</v>
      </c>
      <c r="C64">
        <v>22</v>
      </c>
      <c r="D64" t="s">
        <v>114</v>
      </c>
      <c r="F64">
        <v>5.7249999999999996</v>
      </c>
      <c r="G64">
        <v>2</v>
      </c>
      <c r="H64" t="s">
        <v>21</v>
      </c>
      <c r="I64">
        <v>245.6</v>
      </c>
      <c r="J64">
        <v>20525</v>
      </c>
      <c r="K64">
        <v>498462</v>
      </c>
      <c r="N64" s="1"/>
      <c r="O64" s="1"/>
      <c r="P64" s="1"/>
      <c r="Q64" s="1"/>
      <c r="R64" s="1"/>
      <c r="S64" s="1"/>
      <c r="T64" s="1"/>
    </row>
    <row r="65" spans="1:20" x14ac:dyDescent="0.2">
      <c r="A65" s="13">
        <v>44252.903414351851</v>
      </c>
      <c r="B65">
        <v>27955</v>
      </c>
      <c r="C65">
        <v>22</v>
      </c>
      <c r="D65" t="s">
        <v>114</v>
      </c>
      <c r="F65">
        <v>5.7249999999999996</v>
      </c>
      <c r="N65" s="1"/>
      <c r="O65" s="1"/>
      <c r="P65" s="1"/>
      <c r="Q65" s="1"/>
      <c r="R65" s="1"/>
      <c r="S65" s="1"/>
      <c r="T65" s="1"/>
    </row>
    <row r="66" spans="1:20" x14ac:dyDescent="0.2">
      <c r="A66" s="13">
        <v>44252.910752314812</v>
      </c>
      <c r="B66">
        <v>27956</v>
      </c>
      <c r="C66">
        <v>23</v>
      </c>
      <c r="D66" t="s">
        <v>115</v>
      </c>
      <c r="F66">
        <v>5.742</v>
      </c>
      <c r="G66">
        <v>1</v>
      </c>
      <c r="H66" t="s">
        <v>20</v>
      </c>
      <c r="I66">
        <v>128.5</v>
      </c>
      <c r="J66">
        <v>849</v>
      </c>
      <c r="K66">
        <v>18160</v>
      </c>
      <c r="N66" s="1"/>
      <c r="O66" s="1"/>
      <c r="P66" s="1"/>
      <c r="Q66" s="1"/>
      <c r="R66" s="1"/>
      <c r="S66" s="1"/>
      <c r="T66" s="1"/>
    </row>
    <row r="67" spans="1:20" x14ac:dyDescent="0.2">
      <c r="A67" s="13">
        <v>44252.910752314812</v>
      </c>
      <c r="B67">
        <v>27956</v>
      </c>
      <c r="C67">
        <v>23</v>
      </c>
      <c r="D67" t="s">
        <v>115</v>
      </c>
      <c r="F67">
        <v>5.742</v>
      </c>
      <c r="G67">
        <v>2</v>
      </c>
      <c r="H67" t="s">
        <v>21</v>
      </c>
      <c r="I67">
        <v>244.5</v>
      </c>
      <c r="J67">
        <v>27450</v>
      </c>
      <c r="K67">
        <v>669416</v>
      </c>
      <c r="N67" s="1"/>
      <c r="O67" s="1"/>
      <c r="P67" s="1"/>
      <c r="Q67" s="1"/>
      <c r="R67" s="1"/>
      <c r="S67" s="1"/>
      <c r="T67" s="1"/>
    </row>
    <row r="68" spans="1:20" x14ac:dyDescent="0.2">
      <c r="A68" s="13">
        <v>44252.910752314812</v>
      </c>
      <c r="B68">
        <v>27956</v>
      </c>
      <c r="C68">
        <v>23</v>
      </c>
      <c r="D68" t="s">
        <v>115</v>
      </c>
      <c r="F68">
        <v>5.742</v>
      </c>
      <c r="N68" s="1"/>
      <c r="O68" s="1"/>
      <c r="P68" s="1"/>
      <c r="Q68" s="1"/>
      <c r="R68" s="1"/>
      <c r="S68" s="1"/>
      <c r="T68" s="1"/>
    </row>
    <row r="69" spans="1:20" x14ac:dyDescent="0.2">
      <c r="A69" s="13">
        <v>44252.918078703704</v>
      </c>
      <c r="B69">
        <v>27957</v>
      </c>
      <c r="C69">
        <v>24</v>
      </c>
      <c r="D69" t="s">
        <v>116</v>
      </c>
      <c r="F69">
        <v>5.7069999999999999</v>
      </c>
      <c r="G69">
        <v>1</v>
      </c>
      <c r="H69" t="s">
        <v>20</v>
      </c>
      <c r="I69">
        <v>128.80000000000001</v>
      </c>
      <c r="J69">
        <v>2371</v>
      </c>
      <c r="K69">
        <v>49928</v>
      </c>
      <c r="N69" s="1"/>
      <c r="O69" s="1"/>
      <c r="P69" s="1"/>
      <c r="Q69" s="1"/>
      <c r="R69" s="1"/>
      <c r="S69" s="1"/>
      <c r="T69" s="1"/>
    </row>
    <row r="70" spans="1:20" x14ac:dyDescent="0.2">
      <c r="A70" s="13">
        <v>44252.918078703704</v>
      </c>
      <c r="B70">
        <v>27957</v>
      </c>
      <c r="C70">
        <v>24</v>
      </c>
      <c r="D70" t="s">
        <v>116</v>
      </c>
      <c r="F70">
        <v>5.7069999999999999</v>
      </c>
      <c r="G70">
        <v>2</v>
      </c>
      <c r="H70" t="s">
        <v>21</v>
      </c>
      <c r="I70">
        <v>236.8</v>
      </c>
      <c r="J70">
        <v>91463</v>
      </c>
      <c r="K70">
        <v>2298090</v>
      </c>
      <c r="N70" s="1"/>
      <c r="O70" s="1"/>
      <c r="P70" s="1"/>
      <c r="Q70" s="1"/>
      <c r="R70" s="1"/>
      <c r="S70" s="1"/>
      <c r="T70" s="1"/>
    </row>
    <row r="71" spans="1:20" x14ac:dyDescent="0.2">
      <c r="A71" s="13">
        <v>44252.918078703704</v>
      </c>
      <c r="B71">
        <v>27957</v>
      </c>
      <c r="C71">
        <v>24</v>
      </c>
      <c r="D71" t="s">
        <v>116</v>
      </c>
      <c r="F71">
        <v>5.7069999999999999</v>
      </c>
      <c r="N71" s="1"/>
      <c r="O71" s="1"/>
      <c r="P71" s="1"/>
      <c r="Q71" s="1"/>
      <c r="R71" s="1"/>
      <c r="S71" s="1"/>
      <c r="T71" s="1"/>
    </row>
    <row r="72" spans="1:20" x14ac:dyDescent="0.2">
      <c r="A72" s="13">
        <v>44252.925393518519</v>
      </c>
      <c r="B72">
        <v>27958</v>
      </c>
      <c r="C72">
        <v>25</v>
      </c>
      <c r="D72" t="s">
        <v>117</v>
      </c>
      <c r="F72">
        <v>5.9</v>
      </c>
      <c r="G72">
        <v>1</v>
      </c>
      <c r="H72" t="s">
        <v>20</v>
      </c>
      <c r="I72">
        <v>128.6</v>
      </c>
      <c r="J72">
        <v>757</v>
      </c>
      <c r="K72">
        <v>16195</v>
      </c>
      <c r="N72" s="1"/>
      <c r="O72" s="1"/>
      <c r="P72" s="1"/>
      <c r="Q72" s="1"/>
      <c r="R72" s="1"/>
      <c r="S72" s="1"/>
      <c r="T72" s="1"/>
    </row>
    <row r="73" spans="1:20" x14ac:dyDescent="0.2">
      <c r="A73" s="13">
        <v>44252.925393518519</v>
      </c>
      <c r="B73">
        <v>27958</v>
      </c>
      <c r="C73">
        <v>25</v>
      </c>
      <c r="D73" t="s">
        <v>117</v>
      </c>
      <c r="F73">
        <v>5.9</v>
      </c>
      <c r="G73">
        <v>2</v>
      </c>
      <c r="H73" t="s">
        <v>21</v>
      </c>
      <c r="I73">
        <v>244.6</v>
      </c>
      <c r="J73">
        <v>25880</v>
      </c>
      <c r="K73">
        <v>630417</v>
      </c>
      <c r="N73" s="1"/>
      <c r="O73" s="1"/>
      <c r="P73" s="1"/>
      <c r="Q73" s="1"/>
      <c r="R73" s="1"/>
      <c r="S73" s="1"/>
      <c r="T73" s="1"/>
    </row>
    <row r="74" spans="1:20" x14ac:dyDescent="0.2">
      <c r="A74" s="13">
        <v>44252.925393518519</v>
      </c>
      <c r="B74">
        <v>27958</v>
      </c>
      <c r="C74">
        <v>25</v>
      </c>
      <c r="D74" t="s">
        <v>117</v>
      </c>
      <c r="F74">
        <v>5.9</v>
      </c>
      <c r="N74" s="1"/>
      <c r="O74" s="1"/>
      <c r="P74" s="1"/>
      <c r="Q74" s="1"/>
      <c r="R74" s="1"/>
      <c r="S74" s="1"/>
      <c r="T74" s="1"/>
    </row>
    <row r="75" spans="1:20" x14ac:dyDescent="0.2">
      <c r="A75" s="13">
        <v>44252.932719907411</v>
      </c>
      <c r="B75">
        <v>27959</v>
      </c>
      <c r="C75">
        <v>26</v>
      </c>
      <c r="D75" t="s">
        <v>118</v>
      </c>
      <c r="F75">
        <v>5.7190000000000003</v>
      </c>
      <c r="G75">
        <v>1</v>
      </c>
      <c r="H75" t="s">
        <v>20</v>
      </c>
      <c r="I75">
        <v>128.6</v>
      </c>
      <c r="J75">
        <v>1849</v>
      </c>
      <c r="K75">
        <v>39001</v>
      </c>
      <c r="N75" s="1"/>
      <c r="O75" s="1"/>
      <c r="P75" s="1"/>
      <c r="Q75" s="1"/>
      <c r="R75" s="1"/>
      <c r="S75" s="1"/>
      <c r="T75" s="1"/>
    </row>
    <row r="76" spans="1:20" x14ac:dyDescent="0.2">
      <c r="A76" s="13">
        <v>44252.932719907411</v>
      </c>
      <c r="B76">
        <v>27959</v>
      </c>
      <c r="C76">
        <v>26</v>
      </c>
      <c r="D76" t="s">
        <v>118</v>
      </c>
      <c r="F76">
        <v>5.7190000000000003</v>
      </c>
      <c r="G76">
        <v>2</v>
      </c>
      <c r="H76" t="s">
        <v>21</v>
      </c>
      <c r="I76">
        <v>238.6</v>
      </c>
      <c r="J76">
        <v>78348</v>
      </c>
      <c r="K76">
        <v>1953507</v>
      </c>
      <c r="N76" s="1"/>
      <c r="O76" s="1"/>
      <c r="P76" s="1"/>
      <c r="Q76" s="1"/>
      <c r="R76" s="1"/>
      <c r="S76" s="1"/>
      <c r="T76" s="1"/>
    </row>
    <row r="77" spans="1:20" x14ac:dyDescent="0.2">
      <c r="A77" s="13">
        <v>44252.932719907411</v>
      </c>
      <c r="B77">
        <v>27959</v>
      </c>
      <c r="C77">
        <v>26</v>
      </c>
      <c r="D77" t="s">
        <v>118</v>
      </c>
      <c r="F77">
        <v>5.7190000000000003</v>
      </c>
      <c r="N77" s="1"/>
      <c r="O77" s="1"/>
      <c r="P77" s="1"/>
      <c r="Q77" s="1"/>
      <c r="R77" s="1"/>
      <c r="S77" s="1"/>
      <c r="T77" s="1"/>
    </row>
    <row r="78" spans="1:20" x14ac:dyDescent="0.2">
      <c r="A78" s="13">
        <v>44252.940046296295</v>
      </c>
      <c r="B78">
        <v>27960</v>
      </c>
      <c r="C78">
        <v>27</v>
      </c>
      <c r="D78" t="s">
        <v>12</v>
      </c>
      <c r="G78">
        <v>1</v>
      </c>
      <c r="H78" t="s">
        <v>20</v>
      </c>
      <c r="I78">
        <v>128.6</v>
      </c>
      <c r="J78">
        <v>12518</v>
      </c>
      <c r="K78">
        <v>273397</v>
      </c>
      <c r="N78" s="1"/>
      <c r="O78" s="1"/>
      <c r="P78" s="1"/>
      <c r="Q78" s="1"/>
      <c r="R78" s="1"/>
      <c r="S78" s="1"/>
      <c r="T78" s="1"/>
    </row>
    <row r="79" spans="1:20" x14ac:dyDescent="0.2">
      <c r="A79" s="13">
        <v>44252.940046296295</v>
      </c>
      <c r="B79">
        <v>27960</v>
      </c>
      <c r="C79">
        <v>27</v>
      </c>
      <c r="D79" t="s">
        <v>12</v>
      </c>
      <c r="G79">
        <v>2</v>
      </c>
      <c r="H79" t="s">
        <v>21</v>
      </c>
      <c r="I79">
        <v>241.6</v>
      </c>
      <c r="J79">
        <v>51520</v>
      </c>
      <c r="K79">
        <v>1282417</v>
      </c>
      <c r="N79" s="1"/>
      <c r="O79" s="1"/>
      <c r="P79" s="1"/>
      <c r="Q79" s="1"/>
      <c r="R79" s="1"/>
      <c r="S79" s="1"/>
      <c r="T79" s="1"/>
    </row>
    <row r="80" spans="1:20" x14ac:dyDescent="0.2">
      <c r="A80" s="13">
        <v>44252.940046296295</v>
      </c>
      <c r="B80">
        <v>27960</v>
      </c>
      <c r="C80">
        <v>27</v>
      </c>
      <c r="D80" t="s">
        <v>12</v>
      </c>
      <c r="N80" s="1"/>
      <c r="O80" s="1"/>
      <c r="P80" s="1"/>
      <c r="Q80" s="1"/>
      <c r="R80" s="1"/>
      <c r="S80" s="1"/>
      <c r="T80" s="1"/>
    </row>
    <row r="81" spans="1:20" x14ac:dyDescent="0.2">
      <c r="A81" s="13">
        <v>44252.947372685187</v>
      </c>
      <c r="B81">
        <v>27961</v>
      </c>
      <c r="C81">
        <v>28</v>
      </c>
      <c r="D81" t="s">
        <v>119</v>
      </c>
      <c r="F81">
        <v>5.8710000000000004</v>
      </c>
      <c r="G81">
        <v>1</v>
      </c>
      <c r="H81" t="s">
        <v>20</v>
      </c>
      <c r="I81">
        <v>128.6</v>
      </c>
      <c r="J81">
        <v>4248</v>
      </c>
      <c r="K81">
        <v>88002</v>
      </c>
      <c r="N81" s="1"/>
      <c r="O81" s="1"/>
      <c r="P81" s="1"/>
      <c r="Q81" s="1"/>
      <c r="R81" s="1"/>
      <c r="S81" s="1"/>
      <c r="T81" s="1"/>
    </row>
    <row r="82" spans="1:20" x14ac:dyDescent="0.2">
      <c r="A82" s="13">
        <v>44252.947372685187</v>
      </c>
      <c r="B82">
        <v>27961</v>
      </c>
      <c r="C82">
        <v>28</v>
      </c>
      <c r="D82" t="s">
        <v>119</v>
      </c>
      <c r="F82">
        <v>5.8710000000000004</v>
      </c>
      <c r="G82">
        <v>2</v>
      </c>
      <c r="H82" t="s">
        <v>21</v>
      </c>
      <c r="I82">
        <v>230.6</v>
      </c>
      <c r="J82">
        <v>146301</v>
      </c>
      <c r="K82">
        <v>3856988</v>
      </c>
      <c r="N82" s="1"/>
      <c r="O82" s="1"/>
      <c r="P82" s="1"/>
      <c r="Q82" s="1"/>
      <c r="R82" s="1"/>
      <c r="S82" s="1"/>
      <c r="T82" s="1"/>
    </row>
    <row r="83" spans="1:20" x14ac:dyDescent="0.2">
      <c r="A83" s="13">
        <v>44252.947372685187</v>
      </c>
      <c r="B83">
        <v>27961</v>
      </c>
      <c r="C83">
        <v>28</v>
      </c>
      <c r="D83" t="s">
        <v>119</v>
      </c>
      <c r="F83">
        <v>5.8710000000000004</v>
      </c>
      <c r="N83" s="1"/>
      <c r="O83" s="1"/>
      <c r="P83" s="1"/>
      <c r="Q83" s="1"/>
      <c r="R83" s="1"/>
      <c r="S83" s="1"/>
      <c r="T83" s="1"/>
    </row>
    <row r="84" spans="1:20" x14ac:dyDescent="0.2">
      <c r="A84" s="13">
        <v>44252.954710648148</v>
      </c>
      <c r="B84">
        <v>27962</v>
      </c>
      <c r="C84">
        <v>29</v>
      </c>
      <c r="D84" t="s">
        <v>120</v>
      </c>
      <c r="F84">
        <v>5.7469999999999999</v>
      </c>
      <c r="G84">
        <v>1</v>
      </c>
      <c r="H84" t="s">
        <v>20</v>
      </c>
      <c r="I84">
        <v>128.80000000000001</v>
      </c>
      <c r="J84">
        <v>936</v>
      </c>
      <c r="K84">
        <v>20081</v>
      </c>
      <c r="N84" s="1"/>
      <c r="O84" s="1"/>
      <c r="P84" s="1"/>
      <c r="Q84" s="1"/>
      <c r="R84" s="1"/>
      <c r="S84" s="1"/>
      <c r="T84" s="1"/>
    </row>
    <row r="85" spans="1:20" x14ac:dyDescent="0.2">
      <c r="A85" s="13">
        <v>44252.954710648148</v>
      </c>
      <c r="B85">
        <v>27962</v>
      </c>
      <c r="C85">
        <v>29</v>
      </c>
      <c r="D85" t="s">
        <v>120</v>
      </c>
      <c r="F85">
        <v>5.7469999999999999</v>
      </c>
      <c r="G85">
        <v>2</v>
      </c>
      <c r="H85" t="s">
        <v>21</v>
      </c>
      <c r="I85">
        <v>243.8</v>
      </c>
      <c r="J85">
        <v>31651</v>
      </c>
      <c r="K85">
        <v>773904</v>
      </c>
      <c r="N85" s="1"/>
      <c r="O85" s="1"/>
      <c r="P85" s="1"/>
      <c r="Q85" s="1"/>
      <c r="R85" s="1"/>
      <c r="S85" s="1"/>
      <c r="T85" s="1"/>
    </row>
    <row r="86" spans="1:20" x14ac:dyDescent="0.2">
      <c r="A86" s="13">
        <v>44252.954710648148</v>
      </c>
      <c r="B86">
        <v>27962</v>
      </c>
      <c r="C86">
        <v>29</v>
      </c>
      <c r="D86" t="s">
        <v>120</v>
      </c>
      <c r="F86">
        <v>5.7469999999999999</v>
      </c>
      <c r="N86" s="1"/>
      <c r="O86" s="1"/>
      <c r="P86" s="1"/>
      <c r="Q86" s="1"/>
      <c r="R86" s="1"/>
      <c r="S86" s="1"/>
      <c r="T86" s="1"/>
    </row>
    <row r="87" spans="1:20" x14ac:dyDescent="0.2">
      <c r="A87" s="13">
        <v>44252.962037037039</v>
      </c>
      <c r="B87">
        <v>27963</v>
      </c>
      <c r="C87">
        <v>30</v>
      </c>
      <c r="D87" t="s">
        <v>121</v>
      </c>
      <c r="F87">
        <v>5.8460000000000001</v>
      </c>
      <c r="G87">
        <v>1</v>
      </c>
      <c r="H87" t="s">
        <v>20</v>
      </c>
      <c r="I87">
        <v>128.80000000000001</v>
      </c>
      <c r="J87">
        <v>4305</v>
      </c>
      <c r="K87">
        <v>88954</v>
      </c>
      <c r="N87" s="1"/>
      <c r="O87" s="1"/>
      <c r="P87" s="1"/>
      <c r="Q87" s="1"/>
      <c r="R87" s="1"/>
      <c r="S87" s="1"/>
      <c r="T87" s="1"/>
    </row>
    <row r="88" spans="1:20" x14ac:dyDescent="0.2">
      <c r="A88" s="13">
        <v>44252.962037037039</v>
      </c>
      <c r="B88">
        <v>27963</v>
      </c>
      <c r="C88">
        <v>30</v>
      </c>
      <c r="D88" t="s">
        <v>121</v>
      </c>
      <c r="F88">
        <v>5.8460000000000001</v>
      </c>
      <c r="G88">
        <v>2</v>
      </c>
      <c r="H88" t="s">
        <v>21</v>
      </c>
      <c r="I88">
        <v>230.8</v>
      </c>
      <c r="J88">
        <v>146971</v>
      </c>
      <c r="K88">
        <v>3871741</v>
      </c>
      <c r="N88" s="1"/>
      <c r="O88" s="1"/>
      <c r="P88" s="1"/>
      <c r="Q88" s="1"/>
      <c r="R88" s="1"/>
      <c r="S88" s="1"/>
      <c r="T88" s="1"/>
    </row>
    <row r="89" spans="1:20" x14ac:dyDescent="0.2">
      <c r="A89" s="13">
        <v>44252.962037037039</v>
      </c>
      <c r="B89">
        <v>27963</v>
      </c>
      <c r="C89">
        <v>30</v>
      </c>
      <c r="D89" t="s">
        <v>121</v>
      </c>
      <c r="F89">
        <v>5.8460000000000001</v>
      </c>
      <c r="N89" s="1"/>
      <c r="O89" s="1"/>
      <c r="P89" s="1"/>
      <c r="Q89" s="1"/>
      <c r="R89" s="1"/>
      <c r="S89" s="1"/>
      <c r="T89" s="1"/>
    </row>
    <row r="90" spans="1:20" x14ac:dyDescent="0.2">
      <c r="A90" s="13">
        <v>44252.969363425924</v>
      </c>
      <c r="B90">
        <v>27964</v>
      </c>
      <c r="C90">
        <v>31</v>
      </c>
      <c r="D90" t="s">
        <v>122</v>
      </c>
      <c r="F90">
        <v>5.8170000000000002</v>
      </c>
      <c r="G90">
        <v>1</v>
      </c>
      <c r="H90" t="s">
        <v>20</v>
      </c>
      <c r="I90">
        <v>128.6</v>
      </c>
      <c r="J90">
        <v>1333</v>
      </c>
      <c r="K90">
        <v>28449</v>
      </c>
      <c r="N90" s="1"/>
      <c r="O90" s="1"/>
      <c r="P90" s="1"/>
      <c r="Q90" s="1"/>
      <c r="R90" s="1"/>
      <c r="S90" s="1"/>
      <c r="T90" s="1"/>
    </row>
    <row r="91" spans="1:20" x14ac:dyDescent="0.2">
      <c r="A91" s="13">
        <v>44252.969363425924</v>
      </c>
      <c r="B91">
        <v>27964</v>
      </c>
      <c r="C91">
        <v>31</v>
      </c>
      <c r="D91" t="s">
        <v>122</v>
      </c>
      <c r="F91">
        <v>5.8170000000000002</v>
      </c>
      <c r="G91">
        <v>2</v>
      </c>
      <c r="H91" t="s">
        <v>21</v>
      </c>
      <c r="I91">
        <v>242.6</v>
      </c>
      <c r="J91">
        <v>46912</v>
      </c>
      <c r="K91">
        <v>1154040</v>
      </c>
      <c r="N91" s="1"/>
      <c r="O91" s="1"/>
      <c r="P91" s="1"/>
      <c r="Q91" s="1"/>
      <c r="R91" s="1"/>
      <c r="S91" s="1"/>
      <c r="T91" s="1"/>
    </row>
    <row r="92" spans="1:20" x14ac:dyDescent="0.2">
      <c r="A92" s="13">
        <v>44252.969363425924</v>
      </c>
      <c r="B92">
        <v>27964</v>
      </c>
      <c r="C92">
        <v>31</v>
      </c>
      <c r="D92" t="s">
        <v>122</v>
      </c>
      <c r="F92">
        <v>5.8170000000000002</v>
      </c>
      <c r="N92" s="1"/>
      <c r="O92" s="1"/>
      <c r="P92" s="1"/>
      <c r="Q92" s="1"/>
      <c r="R92" s="1"/>
      <c r="S92" s="1"/>
      <c r="T92" s="1"/>
    </row>
    <row r="93" spans="1:20" x14ac:dyDescent="0.2">
      <c r="A93" s="13">
        <v>44252.976689814815</v>
      </c>
      <c r="B93">
        <v>27965</v>
      </c>
      <c r="C93">
        <v>32</v>
      </c>
      <c r="D93" t="s">
        <v>123</v>
      </c>
      <c r="F93">
        <v>5.8470000000000004</v>
      </c>
      <c r="G93">
        <v>1</v>
      </c>
      <c r="H93" t="s">
        <v>20</v>
      </c>
      <c r="I93">
        <v>129.5</v>
      </c>
      <c r="J93">
        <v>1510</v>
      </c>
      <c r="K93">
        <v>32172</v>
      </c>
      <c r="N93" s="1"/>
      <c r="O93" s="1"/>
      <c r="P93" s="1"/>
      <c r="Q93" s="1"/>
      <c r="R93" s="1"/>
      <c r="S93" s="1"/>
      <c r="T93" s="1"/>
    </row>
    <row r="94" spans="1:20" x14ac:dyDescent="0.2">
      <c r="A94" s="13">
        <v>44252.976689814815</v>
      </c>
      <c r="B94">
        <v>27965</v>
      </c>
      <c r="C94">
        <v>32</v>
      </c>
      <c r="D94" t="s">
        <v>123</v>
      </c>
      <c r="F94">
        <v>5.8470000000000004</v>
      </c>
      <c r="G94">
        <v>2</v>
      </c>
      <c r="H94" t="s">
        <v>21</v>
      </c>
      <c r="I94">
        <v>240.5</v>
      </c>
      <c r="J94">
        <v>60187</v>
      </c>
      <c r="K94">
        <v>1488502</v>
      </c>
      <c r="N94" s="1"/>
      <c r="O94" s="1"/>
      <c r="P94" s="1"/>
      <c r="Q94" s="1"/>
      <c r="R94" s="1"/>
      <c r="S94" s="1"/>
      <c r="T94" s="1"/>
    </row>
    <row r="95" spans="1:20" x14ac:dyDescent="0.2">
      <c r="A95" s="13">
        <v>44252.976689814815</v>
      </c>
      <c r="B95">
        <v>27965</v>
      </c>
      <c r="C95">
        <v>32</v>
      </c>
      <c r="D95" t="s">
        <v>123</v>
      </c>
      <c r="F95">
        <v>5.8470000000000004</v>
      </c>
      <c r="N95" s="1"/>
      <c r="O95" s="1"/>
      <c r="P95" s="1"/>
      <c r="Q95" s="1"/>
      <c r="R95" s="1"/>
      <c r="S95" s="1"/>
      <c r="T95" s="1"/>
    </row>
    <row r="96" spans="1:20" x14ac:dyDescent="0.2">
      <c r="A96" s="13">
        <v>44252.984016203707</v>
      </c>
      <c r="B96">
        <v>27966</v>
      </c>
      <c r="C96">
        <v>33</v>
      </c>
      <c r="D96" t="s">
        <v>12</v>
      </c>
      <c r="G96">
        <v>1</v>
      </c>
      <c r="H96" t="s">
        <v>20</v>
      </c>
      <c r="I96">
        <v>128.6</v>
      </c>
      <c r="J96">
        <v>12451</v>
      </c>
      <c r="K96">
        <v>271891</v>
      </c>
      <c r="N96" s="1"/>
      <c r="O96" s="1"/>
      <c r="P96" s="1"/>
      <c r="Q96" s="1"/>
      <c r="R96" s="1"/>
      <c r="S96" s="1"/>
      <c r="T96" s="1"/>
    </row>
    <row r="97" spans="1:20" x14ac:dyDescent="0.2">
      <c r="A97" s="13">
        <v>44252.984016203707</v>
      </c>
      <c r="B97">
        <v>27966</v>
      </c>
      <c r="C97">
        <v>33</v>
      </c>
      <c r="D97" t="s">
        <v>12</v>
      </c>
      <c r="G97">
        <v>2</v>
      </c>
      <c r="H97" t="s">
        <v>21</v>
      </c>
      <c r="I97">
        <v>241.6</v>
      </c>
      <c r="J97">
        <v>51128</v>
      </c>
      <c r="K97">
        <v>1272872</v>
      </c>
      <c r="N97" s="1"/>
      <c r="O97" s="1"/>
      <c r="P97" s="1"/>
      <c r="Q97" s="1"/>
      <c r="R97" s="1"/>
      <c r="S97" s="1"/>
      <c r="T97" s="1"/>
    </row>
    <row r="98" spans="1:20" x14ac:dyDescent="0.2">
      <c r="A98" s="13">
        <v>44252.984016203707</v>
      </c>
      <c r="B98">
        <v>27966</v>
      </c>
      <c r="C98">
        <v>33</v>
      </c>
      <c r="D98" t="s">
        <v>12</v>
      </c>
      <c r="N98" s="1"/>
      <c r="O98" s="1"/>
      <c r="P98" s="1"/>
      <c r="Q98" s="1"/>
      <c r="R98" s="1"/>
      <c r="S98" s="1"/>
      <c r="T98" s="1"/>
    </row>
    <row r="99" spans="1:20" x14ac:dyDescent="0.2">
      <c r="A99" s="13">
        <v>44252.991342592592</v>
      </c>
      <c r="B99">
        <v>27967</v>
      </c>
      <c r="C99">
        <v>34</v>
      </c>
      <c r="D99" t="s">
        <v>102</v>
      </c>
      <c r="G99">
        <v>1</v>
      </c>
      <c r="H99" t="s">
        <v>20</v>
      </c>
      <c r="I99">
        <v>129.6</v>
      </c>
      <c r="J99">
        <v>1098</v>
      </c>
      <c r="K99">
        <v>23876</v>
      </c>
      <c r="N99" s="1"/>
      <c r="O99" s="1"/>
      <c r="P99" s="1"/>
      <c r="Q99" s="1"/>
      <c r="R99" s="1"/>
      <c r="S99" s="1"/>
      <c r="T99" s="1"/>
    </row>
    <row r="100" spans="1:20" x14ac:dyDescent="0.2">
      <c r="A100" s="13">
        <v>44252.991342592592</v>
      </c>
      <c r="B100">
        <v>27967</v>
      </c>
      <c r="C100">
        <v>34</v>
      </c>
      <c r="D100" t="s">
        <v>102</v>
      </c>
      <c r="G100">
        <v>2</v>
      </c>
      <c r="H100" t="s">
        <v>21</v>
      </c>
      <c r="I100">
        <v>243.6</v>
      </c>
      <c r="J100">
        <v>40153</v>
      </c>
      <c r="K100">
        <v>994753</v>
      </c>
      <c r="N100" s="1"/>
      <c r="O100" s="1"/>
      <c r="P100" s="1"/>
      <c r="Q100" s="1"/>
      <c r="R100" s="1"/>
      <c r="S100" s="1"/>
      <c r="T100" s="1"/>
    </row>
    <row r="101" spans="1:20" x14ac:dyDescent="0.2">
      <c r="A101" s="13">
        <v>44252.991342592592</v>
      </c>
      <c r="B101">
        <v>27967</v>
      </c>
      <c r="C101">
        <v>34</v>
      </c>
      <c r="D101" t="s">
        <v>102</v>
      </c>
      <c r="N101" s="1"/>
      <c r="O101" s="1"/>
      <c r="P101" s="1"/>
      <c r="Q101" s="1"/>
      <c r="R101" s="1"/>
      <c r="S101" s="1"/>
      <c r="T101" s="1"/>
    </row>
    <row r="102" spans="1:20" x14ac:dyDescent="0.2">
      <c r="A102" s="13">
        <v>44252.998680555553</v>
      </c>
      <c r="B102">
        <v>27968</v>
      </c>
      <c r="C102">
        <v>35</v>
      </c>
      <c r="D102" t="s">
        <v>11</v>
      </c>
      <c r="G102">
        <v>1</v>
      </c>
      <c r="H102" t="s">
        <v>20</v>
      </c>
      <c r="I102">
        <v>128.6</v>
      </c>
      <c r="J102">
        <v>9641</v>
      </c>
      <c r="K102">
        <v>213863</v>
      </c>
      <c r="N102" s="1"/>
      <c r="O102" s="1"/>
      <c r="P102" s="1"/>
      <c r="Q102" s="1"/>
      <c r="R102" s="1"/>
      <c r="S102" s="1"/>
      <c r="T102" s="1"/>
    </row>
    <row r="103" spans="1:20" x14ac:dyDescent="0.2">
      <c r="A103" s="13">
        <v>44252.998680555553</v>
      </c>
      <c r="B103">
        <v>27968</v>
      </c>
      <c r="C103">
        <v>35</v>
      </c>
      <c r="D103" t="s">
        <v>11</v>
      </c>
      <c r="G103">
        <v>2</v>
      </c>
      <c r="H103" t="s">
        <v>21</v>
      </c>
      <c r="I103">
        <v>246.6</v>
      </c>
      <c r="J103">
        <v>10309</v>
      </c>
      <c r="K103">
        <v>252183</v>
      </c>
      <c r="N103" s="1"/>
      <c r="O103" s="1"/>
      <c r="P103" s="1"/>
      <c r="Q103" s="1"/>
      <c r="R103" s="1"/>
      <c r="S103" s="1"/>
      <c r="T103" s="1"/>
    </row>
    <row r="104" spans="1:20" x14ac:dyDescent="0.2">
      <c r="A104" s="13">
        <v>44252.998680555553</v>
      </c>
      <c r="B104">
        <v>27968</v>
      </c>
      <c r="C104">
        <v>35</v>
      </c>
      <c r="D104" t="s">
        <v>11</v>
      </c>
      <c r="N104" s="1"/>
      <c r="O104" s="1"/>
      <c r="P104" s="1"/>
      <c r="Q104" s="1"/>
      <c r="R104" s="1"/>
      <c r="S104" s="1"/>
      <c r="T104" s="1"/>
    </row>
    <row r="105" spans="1:20" x14ac:dyDescent="0.2">
      <c r="A105" s="13">
        <v>44253.005995370368</v>
      </c>
      <c r="B105">
        <v>27969</v>
      </c>
      <c r="C105">
        <v>36</v>
      </c>
      <c r="D105" t="s">
        <v>13</v>
      </c>
      <c r="G105">
        <v>1</v>
      </c>
      <c r="H105" t="s">
        <v>21</v>
      </c>
      <c r="I105">
        <v>243.6</v>
      </c>
      <c r="J105">
        <v>28731</v>
      </c>
      <c r="K105">
        <v>709411</v>
      </c>
      <c r="N105" s="1"/>
      <c r="O105" s="1"/>
      <c r="P105" s="1"/>
      <c r="Q105" s="1"/>
      <c r="R105" s="1"/>
      <c r="S105" s="1"/>
      <c r="T105" s="1"/>
    </row>
    <row r="106" spans="1:20" x14ac:dyDescent="0.2">
      <c r="A106" s="13">
        <v>44253.005995370368</v>
      </c>
      <c r="B106">
        <v>27969</v>
      </c>
      <c r="C106">
        <v>36</v>
      </c>
      <c r="D106" t="s">
        <v>13</v>
      </c>
      <c r="N106" s="1"/>
      <c r="O106" s="1"/>
      <c r="P106" s="1"/>
      <c r="Q106" s="1"/>
      <c r="R106" s="1"/>
      <c r="S106" s="1"/>
      <c r="T106" s="1"/>
    </row>
    <row r="107" spans="1:20" x14ac:dyDescent="0.2">
      <c r="A107" s="13">
        <v>44253.013333333336</v>
      </c>
      <c r="B107">
        <v>27970</v>
      </c>
      <c r="C107">
        <v>37</v>
      </c>
      <c r="D107" t="s">
        <v>14</v>
      </c>
      <c r="G107">
        <v>1</v>
      </c>
      <c r="H107" t="s">
        <v>20</v>
      </c>
      <c r="I107">
        <v>128.5</v>
      </c>
      <c r="J107">
        <v>1875</v>
      </c>
      <c r="K107">
        <v>41136</v>
      </c>
      <c r="N107" s="1"/>
      <c r="O107" s="1"/>
      <c r="P107" s="1"/>
      <c r="Q107" s="1"/>
      <c r="R107" s="1"/>
      <c r="S107" s="1"/>
      <c r="T107" s="1"/>
    </row>
    <row r="108" spans="1:20" x14ac:dyDescent="0.2">
      <c r="A108" s="13">
        <v>44253.013333333336</v>
      </c>
      <c r="B108">
        <v>27970</v>
      </c>
      <c r="C108">
        <v>37</v>
      </c>
      <c r="D108" t="s">
        <v>14</v>
      </c>
      <c r="G108">
        <v>2</v>
      </c>
      <c r="H108" t="s">
        <v>21</v>
      </c>
      <c r="I108">
        <v>245.5</v>
      </c>
      <c r="J108">
        <v>20468</v>
      </c>
      <c r="K108">
        <v>504014</v>
      </c>
      <c r="N108" s="1"/>
      <c r="O108" s="1"/>
      <c r="P108" s="1"/>
      <c r="Q108" s="1"/>
      <c r="R108" s="1"/>
      <c r="S108" s="1"/>
      <c r="T108" s="1"/>
    </row>
    <row r="109" spans="1:20" x14ac:dyDescent="0.2">
      <c r="A109" s="13">
        <v>44253.013333333336</v>
      </c>
      <c r="B109">
        <v>27970</v>
      </c>
      <c r="C109">
        <v>37</v>
      </c>
      <c r="D109" t="s">
        <v>14</v>
      </c>
      <c r="N109" s="1"/>
      <c r="O109" s="1"/>
      <c r="P109" s="1"/>
      <c r="Q109" s="1"/>
      <c r="R109" s="1"/>
      <c r="S109" s="1"/>
      <c r="T109" s="1"/>
    </row>
    <row r="110" spans="1:20" x14ac:dyDescent="0.2">
      <c r="A110" s="13">
        <v>44253.02065972222</v>
      </c>
      <c r="B110">
        <v>27971</v>
      </c>
      <c r="C110">
        <v>38</v>
      </c>
      <c r="D110" t="s">
        <v>124</v>
      </c>
      <c r="F110">
        <v>0.248</v>
      </c>
      <c r="G110">
        <v>1</v>
      </c>
      <c r="H110" t="s">
        <v>20</v>
      </c>
      <c r="I110">
        <v>128.6</v>
      </c>
      <c r="J110">
        <v>364</v>
      </c>
      <c r="K110">
        <v>7974</v>
      </c>
      <c r="N110" s="1"/>
      <c r="O110" s="1"/>
      <c r="P110" s="1"/>
      <c r="Q110" s="1"/>
      <c r="R110" s="1"/>
      <c r="S110" s="1"/>
      <c r="T110" s="1"/>
    </row>
    <row r="111" spans="1:20" x14ac:dyDescent="0.2">
      <c r="A111" s="13">
        <v>44253.02065972222</v>
      </c>
      <c r="B111">
        <v>27971</v>
      </c>
      <c r="C111">
        <v>38</v>
      </c>
      <c r="D111" t="s">
        <v>124</v>
      </c>
      <c r="F111">
        <v>0.248</v>
      </c>
      <c r="G111">
        <v>2</v>
      </c>
      <c r="H111" t="s">
        <v>21</v>
      </c>
      <c r="I111">
        <v>246.6</v>
      </c>
      <c r="J111">
        <v>13150</v>
      </c>
      <c r="K111">
        <v>323832</v>
      </c>
      <c r="N111" s="1"/>
      <c r="O111" s="1"/>
      <c r="P111" s="1"/>
      <c r="Q111" s="1"/>
      <c r="R111" s="1"/>
      <c r="S111" s="1"/>
      <c r="T111" s="1"/>
    </row>
    <row r="112" spans="1:20" x14ac:dyDescent="0.2">
      <c r="A112" s="13">
        <v>44253.02065972222</v>
      </c>
      <c r="B112">
        <v>27971</v>
      </c>
      <c r="C112">
        <v>38</v>
      </c>
      <c r="D112" t="s">
        <v>124</v>
      </c>
      <c r="F112">
        <v>0.248</v>
      </c>
      <c r="N112" s="1"/>
      <c r="O112" s="1"/>
      <c r="P112" s="1"/>
      <c r="Q112" s="1"/>
      <c r="R112" s="1"/>
      <c r="S112" s="1"/>
      <c r="T112" s="1"/>
    </row>
    <row r="113" spans="1:20" x14ac:dyDescent="0.2">
      <c r="A113" s="13">
        <v>44253.027986111112</v>
      </c>
      <c r="B113">
        <v>27972</v>
      </c>
      <c r="C113">
        <v>39</v>
      </c>
      <c r="D113" t="s">
        <v>125</v>
      </c>
      <c r="F113">
        <v>0.245</v>
      </c>
      <c r="G113">
        <v>1</v>
      </c>
      <c r="H113" t="s">
        <v>20</v>
      </c>
      <c r="I113">
        <v>129.6</v>
      </c>
      <c r="J113">
        <v>333</v>
      </c>
      <c r="K113">
        <v>7277</v>
      </c>
      <c r="N113" s="1"/>
      <c r="O113" s="1"/>
      <c r="P113" s="1"/>
      <c r="Q113" s="1"/>
      <c r="R113" s="1"/>
      <c r="S113" s="1"/>
      <c r="T113" s="1"/>
    </row>
    <row r="114" spans="1:20" x14ac:dyDescent="0.2">
      <c r="A114" s="13">
        <v>44253.027986111112</v>
      </c>
      <c r="B114">
        <v>27972</v>
      </c>
      <c r="C114">
        <v>39</v>
      </c>
      <c r="D114" t="s">
        <v>125</v>
      </c>
      <c r="F114">
        <v>0.245</v>
      </c>
      <c r="G114">
        <v>2</v>
      </c>
      <c r="H114" t="s">
        <v>21</v>
      </c>
      <c r="I114">
        <v>246.6</v>
      </c>
      <c r="J114">
        <v>13086</v>
      </c>
      <c r="K114">
        <v>322066</v>
      </c>
      <c r="N114" s="1"/>
      <c r="O114" s="1"/>
      <c r="P114" s="1"/>
      <c r="Q114" s="1"/>
      <c r="R114" s="1"/>
      <c r="S114" s="1"/>
      <c r="T114" s="1"/>
    </row>
    <row r="115" spans="1:20" x14ac:dyDescent="0.2">
      <c r="A115" s="13">
        <v>44253.027986111112</v>
      </c>
      <c r="B115">
        <v>27972</v>
      </c>
      <c r="C115">
        <v>39</v>
      </c>
      <c r="D115" t="s">
        <v>125</v>
      </c>
      <c r="F115">
        <v>0.245</v>
      </c>
      <c r="N115" s="1"/>
      <c r="O115" s="1"/>
      <c r="P115" s="1"/>
      <c r="Q115" s="1"/>
      <c r="R115" s="1"/>
      <c r="S115" s="1"/>
      <c r="T115" s="1"/>
    </row>
    <row r="116" spans="1:20" x14ac:dyDescent="0.2">
      <c r="A116" s="13">
        <v>44253.035312499997</v>
      </c>
      <c r="B116">
        <v>27973</v>
      </c>
      <c r="C116">
        <v>40</v>
      </c>
      <c r="D116" t="s">
        <v>126</v>
      </c>
      <c r="F116">
        <v>0.245</v>
      </c>
      <c r="G116">
        <v>1</v>
      </c>
      <c r="H116" t="s">
        <v>20</v>
      </c>
      <c r="I116">
        <v>128.6</v>
      </c>
      <c r="J116">
        <v>443</v>
      </c>
      <c r="K116">
        <v>9653</v>
      </c>
      <c r="N116" s="1"/>
      <c r="O116" s="1"/>
      <c r="P116" s="1"/>
      <c r="Q116" s="1"/>
      <c r="R116" s="1"/>
      <c r="S116" s="1"/>
      <c r="T116" s="1"/>
    </row>
    <row r="117" spans="1:20" x14ac:dyDescent="0.2">
      <c r="A117" s="13">
        <v>44253.035312499997</v>
      </c>
      <c r="B117">
        <v>27973</v>
      </c>
      <c r="C117">
        <v>40</v>
      </c>
      <c r="D117" t="s">
        <v>126</v>
      </c>
      <c r="F117">
        <v>0.245</v>
      </c>
      <c r="G117">
        <v>2</v>
      </c>
      <c r="H117" t="s">
        <v>21</v>
      </c>
      <c r="I117">
        <v>246.6</v>
      </c>
      <c r="J117">
        <v>12475</v>
      </c>
      <c r="K117">
        <v>306405</v>
      </c>
      <c r="N117" s="1"/>
      <c r="O117" s="1"/>
      <c r="P117" s="1"/>
      <c r="Q117" s="1"/>
      <c r="R117" s="1"/>
      <c r="S117" s="1"/>
      <c r="T117" s="1"/>
    </row>
    <row r="118" spans="1:20" x14ac:dyDescent="0.2">
      <c r="A118" s="13">
        <v>44253.035312499997</v>
      </c>
      <c r="B118">
        <v>27973</v>
      </c>
      <c r="C118">
        <v>40</v>
      </c>
      <c r="D118" t="s">
        <v>126</v>
      </c>
      <c r="F118">
        <v>0.245</v>
      </c>
      <c r="N118" s="1"/>
      <c r="O118" s="1"/>
      <c r="P118" s="1"/>
      <c r="Q118" s="1"/>
      <c r="R118" s="1"/>
      <c r="S118" s="1"/>
      <c r="T118" s="1"/>
    </row>
    <row r="119" spans="1:20" x14ac:dyDescent="0.2">
      <c r="A119" s="13">
        <v>44253.042627314811</v>
      </c>
      <c r="B119">
        <v>27974</v>
      </c>
      <c r="C119">
        <v>41</v>
      </c>
      <c r="D119" t="s">
        <v>127</v>
      </c>
      <c r="F119">
        <v>0.27500000000000002</v>
      </c>
      <c r="G119">
        <v>1</v>
      </c>
      <c r="H119" t="s">
        <v>20</v>
      </c>
      <c r="I119">
        <v>128.6</v>
      </c>
      <c r="J119">
        <v>480</v>
      </c>
      <c r="K119">
        <v>10457</v>
      </c>
      <c r="N119" s="1"/>
      <c r="O119" s="1"/>
      <c r="P119" s="1"/>
      <c r="Q119" s="1"/>
      <c r="R119" s="1"/>
      <c r="S119" s="1"/>
      <c r="T119" s="1"/>
    </row>
    <row r="120" spans="1:20" x14ac:dyDescent="0.2">
      <c r="A120" s="13">
        <v>44253.042627314811</v>
      </c>
      <c r="B120">
        <v>27974</v>
      </c>
      <c r="C120">
        <v>41</v>
      </c>
      <c r="D120" t="s">
        <v>127</v>
      </c>
      <c r="F120">
        <v>0.27500000000000002</v>
      </c>
      <c r="G120">
        <v>2</v>
      </c>
      <c r="H120" t="s">
        <v>21</v>
      </c>
      <c r="I120">
        <v>245.6</v>
      </c>
      <c r="J120">
        <v>14254</v>
      </c>
      <c r="K120">
        <v>350501</v>
      </c>
      <c r="N120" s="1"/>
      <c r="O120" s="1"/>
      <c r="P120" s="1"/>
      <c r="Q120" s="1"/>
      <c r="R120" s="1"/>
      <c r="S120" s="1"/>
      <c r="T120" s="1"/>
    </row>
    <row r="121" spans="1:20" x14ac:dyDescent="0.2">
      <c r="A121" s="13">
        <v>44253.042627314811</v>
      </c>
      <c r="B121">
        <v>27974</v>
      </c>
      <c r="C121">
        <v>41</v>
      </c>
      <c r="D121" t="s">
        <v>127</v>
      </c>
      <c r="F121">
        <v>0.27500000000000002</v>
      </c>
      <c r="N121" s="1"/>
      <c r="O121" s="1"/>
      <c r="P121" s="1"/>
      <c r="Q121" s="1"/>
      <c r="R121" s="1"/>
      <c r="S121" s="1"/>
      <c r="T121" s="1"/>
    </row>
    <row r="122" spans="1:20" x14ac:dyDescent="0.2">
      <c r="A122" s="13">
        <v>44253.04996527778</v>
      </c>
      <c r="B122">
        <v>27975</v>
      </c>
      <c r="C122">
        <v>42</v>
      </c>
      <c r="D122" t="s">
        <v>128</v>
      </c>
      <c r="F122">
        <v>0.24</v>
      </c>
      <c r="G122">
        <v>1</v>
      </c>
      <c r="H122" t="s">
        <v>20</v>
      </c>
      <c r="I122">
        <v>129.6</v>
      </c>
      <c r="J122">
        <v>517</v>
      </c>
      <c r="K122">
        <v>11268</v>
      </c>
      <c r="N122" s="1"/>
      <c r="O122" s="1"/>
      <c r="P122" s="1"/>
      <c r="Q122" s="1"/>
      <c r="R122" s="1"/>
      <c r="S122" s="1"/>
      <c r="T122" s="1"/>
    </row>
    <row r="123" spans="1:20" x14ac:dyDescent="0.2">
      <c r="A123" s="13">
        <v>44253.04996527778</v>
      </c>
      <c r="B123">
        <v>27975</v>
      </c>
      <c r="C123">
        <v>42</v>
      </c>
      <c r="D123" t="s">
        <v>128</v>
      </c>
      <c r="F123">
        <v>0.24</v>
      </c>
      <c r="G123">
        <v>2</v>
      </c>
      <c r="H123" t="s">
        <v>21</v>
      </c>
      <c r="I123">
        <v>246.6</v>
      </c>
      <c r="J123">
        <v>13483</v>
      </c>
      <c r="K123">
        <v>330824</v>
      </c>
      <c r="N123" s="1"/>
      <c r="O123" s="1"/>
      <c r="P123" s="1"/>
      <c r="Q123" s="1"/>
      <c r="R123" s="1"/>
      <c r="S123" s="1"/>
      <c r="T123" s="1"/>
    </row>
    <row r="124" spans="1:20" x14ac:dyDescent="0.2">
      <c r="A124" s="13">
        <v>44253.04996527778</v>
      </c>
      <c r="B124">
        <v>27975</v>
      </c>
      <c r="C124">
        <v>42</v>
      </c>
      <c r="D124" t="s">
        <v>128</v>
      </c>
      <c r="F124">
        <v>0.24</v>
      </c>
      <c r="N124" s="1"/>
      <c r="O124" s="1"/>
      <c r="P124" s="1"/>
      <c r="Q124" s="1"/>
      <c r="R124" s="1"/>
      <c r="S124" s="1"/>
      <c r="T124" s="1"/>
    </row>
    <row r="125" spans="1:20" x14ac:dyDescent="0.2">
      <c r="A125" s="13">
        <v>44253.057291666664</v>
      </c>
      <c r="B125">
        <v>27976</v>
      </c>
      <c r="C125">
        <v>43</v>
      </c>
      <c r="D125" t="s">
        <v>12</v>
      </c>
      <c r="G125">
        <v>1</v>
      </c>
      <c r="H125" t="s">
        <v>20</v>
      </c>
      <c r="I125">
        <v>128.5</v>
      </c>
      <c r="J125">
        <v>11983</v>
      </c>
      <c r="K125">
        <v>262885</v>
      </c>
      <c r="N125" s="1"/>
      <c r="O125" s="1"/>
      <c r="P125" s="1"/>
      <c r="Q125" s="1"/>
      <c r="R125" s="1"/>
      <c r="S125" s="1"/>
      <c r="T125" s="1"/>
    </row>
    <row r="126" spans="1:20" x14ac:dyDescent="0.2">
      <c r="A126" s="13">
        <v>44253.057291666664</v>
      </c>
      <c r="B126">
        <v>27976</v>
      </c>
      <c r="C126">
        <v>43</v>
      </c>
      <c r="D126" t="s">
        <v>12</v>
      </c>
      <c r="G126">
        <v>2</v>
      </c>
      <c r="H126" t="s">
        <v>21</v>
      </c>
      <c r="I126">
        <v>241.5</v>
      </c>
      <c r="J126">
        <v>49560</v>
      </c>
      <c r="K126">
        <v>1235095</v>
      </c>
      <c r="N126" s="1"/>
      <c r="O126" s="1"/>
      <c r="P126" s="1"/>
      <c r="Q126" s="1"/>
      <c r="R126" s="1"/>
      <c r="S126" s="1"/>
      <c r="T126" s="1"/>
    </row>
    <row r="127" spans="1:20" x14ac:dyDescent="0.2">
      <c r="A127" s="13">
        <v>44253.057291666664</v>
      </c>
      <c r="B127">
        <v>27976</v>
      </c>
      <c r="C127">
        <v>43</v>
      </c>
      <c r="D127" t="s">
        <v>12</v>
      </c>
    </row>
    <row r="128" spans="1:20" x14ac:dyDescent="0.2">
      <c r="A128" s="13">
        <v>44253.064618055556</v>
      </c>
      <c r="B128">
        <v>27977</v>
      </c>
      <c r="C128">
        <v>44</v>
      </c>
      <c r="D128" t="s">
        <v>129</v>
      </c>
      <c r="F128">
        <v>0.23899999999999999</v>
      </c>
      <c r="G128">
        <v>1</v>
      </c>
      <c r="H128" t="s">
        <v>20</v>
      </c>
      <c r="I128">
        <v>129.6</v>
      </c>
      <c r="J128">
        <v>452</v>
      </c>
      <c r="K128">
        <v>9849</v>
      </c>
    </row>
    <row r="129" spans="1:11" x14ac:dyDescent="0.2">
      <c r="A129" s="13">
        <v>44253.064618055556</v>
      </c>
      <c r="B129">
        <v>27977</v>
      </c>
      <c r="C129">
        <v>44</v>
      </c>
      <c r="D129" t="s">
        <v>129</v>
      </c>
      <c r="F129">
        <v>0.23899999999999999</v>
      </c>
      <c r="G129">
        <v>2</v>
      </c>
      <c r="H129" t="s">
        <v>21</v>
      </c>
      <c r="I129">
        <v>246.6</v>
      </c>
      <c r="J129">
        <v>12692</v>
      </c>
      <c r="K129">
        <v>312144</v>
      </c>
    </row>
    <row r="130" spans="1:11" x14ac:dyDescent="0.2">
      <c r="A130" s="13">
        <v>44253.064618055556</v>
      </c>
      <c r="B130">
        <v>27977</v>
      </c>
      <c r="C130">
        <v>44</v>
      </c>
      <c r="D130" t="s">
        <v>129</v>
      </c>
      <c r="F130">
        <v>0.23899999999999999</v>
      </c>
    </row>
    <row r="131" spans="1:11" x14ac:dyDescent="0.2">
      <c r="A131" s="13">
        <v>44253.071944444448</v>
      </c>
      <c r="B131">
        <v>27978</v>
      </c>
      <c r="C131">
        <v>45</v>
      </c>
      <c r="D131" t="s">
        <v>130</v>
      </c>
      <c r="F131">
        <v>0.26</v>
      </c>
      <c r="G131">
        <v>1</v>
      </c>
      <c r="H131" t="s">
        <v>20</v>
      </c>
      <c r="I131">
        <v>129.6</v>
      </c>
      <c r="J131">
        <v>639</v>
      </c>
      <c r="K131">
        <v>14043</v>
      </c>
    </row>
    <row r="132" spans="1:11" x14ac:dyDescent="0.2">
      <c r="A132" s="13">
        <v>44253.071944444448</v>
      </c>
      <c r="B132">
        <v>27978</v>
      </c>
      <c r="C132">
        <v>45</v>
      </c>
      <c r="D132" t="s">
        <v>130</v>
      </c>
      <c r="F132">
        <v>0.26</v>
      </c>
      <c r="G132">
        <v>2</v>
      </c>
      <c r="H132" t="s">
        <v>21</v>
      </c>
      <c r="I132">
        <v>246.6</v>
      </c>
      <c r="J132">
        <v>14762</v>
      </c>
      <c r="K132">
        <v>363272</v>
      </c>
    </row>
    <row r="133" spans="1:11" x14ac:dyDescent="0.2">
      <c r="A133" s="13">
        <v>44253.071944444448</v>
      </c>
      <c r="B133">
        <v>27978</v>
      </c>
      <c r="C133">
        <v>45</v>
      </c>
      <c r="D133" t="s">
        <v>130</v>
      </c>
      <c r="F133">
        <v>0.26</v>
      </c>
    </row>
    <row r="134" spans="1:11" x14ac:dyDescent="0.2">
      <c r="A134" s="13">
        <v>44253.079270833332</v>
      </c>
      <c r="B134">
        <v>27979</v>
      </c>
      <c r="C134">
        <v>46</v>
      </c>
      <c r="D134" t="s">
        <v>131</v>
      </c>
      <c r="F134">
        <v>0.27500000000000002</v>
      </c>
      <c r="G134">
        <v>1</v>
      </c>
      <c r="H134" t="s">
        <v>20</v>
      </c>
      <c r="I134">
        <v>129.6</v>
      </c>
      <c r="J134">
        <v>389</v>
      </c>
      <c r="K134">
        <v>8512</v>
      </c>
    </row>
    <row r="135" spans="1:11" x14ac:dyDescent="0.2">
      <c r="A135" s="13">
        <v>44253.079270833332</v>
      </c>
      <c r="B135">
        <v>27979</v>
      </c>
      <c r="C135">
        <v>46</v>
      </c>
      <c r="D135" t="s">
        <v>131</v>
      </c>
      <c r="F135">
        <v>0.27500000000000002</v>
      </c>
      <c r="G135">
        <v>2</v>
      </c>
      <c r="H135" t="s">
        <v>21</v>
      </c>
      <c r="I135">
        <v>245.6</v>
      </c>
      <c r="J135">
        <v>14566</v>
      </c>
      <c r="K135">
        <v>357967</v>
      </c>
    </row>
    <row r="136" spans="1:11" x14ac:dyDescent="0.2">
      <c r="A136" s="13">
        <v>44253.079270833332</v>
      </c>
      <c r="B136">
        <v>27979</v>
      </c>
      <c r="C136">
        <v>46</v>
      </c>
      <c r="D136" t="s">
        <v>131</v>
      </c>
      <c r="F136">
        <v>0.27500000000000002</v>
      </c>
    </row>
    <row r="137" spans="1:11" x14ac:dyDescent="0.2">
      <c r="A137" s="13">
        <v>44253.086608796293</v>
      </c>
      <c r="B137">
        <v>27980</v>
      </c>
      <c r="C137">
        <v>47</v>
      </c>
      <c r="D137" t="s">
        <v>132</v>
      </c>
      <c r="F137">
        <v>0.27700000000000002</v>
      </c>
      <c r="G137">
        <v>1</v>
      </c>
      <c r="H137" t="s">
        <v>20</v>
      </c>
      <c r="I137">
        <v>129.6</v>
      </c>
      <c r="J137">
        <v>466</v>
      </c>
      <c r="K137">
        <v>10224</v>
      </c>
    </row>
    <row r="138" spans="1:11" x14ac:dyDescent="0.2">
      <c r="A138" s="13">
        <v>44253.086608796293</v>
      </c>
      <c r="B138">
        <v>27980</v>
      </c>
      <c r="C138">
        <v>47</v>
      </c>
      <c r="D138" t="s">
        <v>132</v>
      </c>
      <c r="F138">
        <v>0.27700000000000002</v>
      </c>
      <c r="G138">
        <v>2</v>
      </c>
      <c r="H138" t="s">
        <v>21</v>
      </c>
      <c r="I138">
        <v>246.6</v>
      </c>
      <c r="J138">
        <v>14125</v>
      </c>
      <c r="K138">
        <v>347345</v>
      </c>
    </row>
    <row r="139" spans="1:11" x14ac:dyDescent="0.2">
      <c r="A139" s="13">
        <v>44253.086608796293</v>
      </c>
      <c r="B139">
        <v>27980</v>
      </c>
      <c r="C139">
        <v>47</v>
      </c>
      <c r="D139" t="s">
        <v>132</v>
      </c>
      <c r="F139">
        <v>0.27700000000000002</v>
      </c>
    </row>
    <row r="140" spans="1:11" x14ac:dyDescent="0.2">
      <c r="A140" s="13">
        <v>44253.093935185185</v>
      </c>
      <c r="B140">
        <v>27981</v>
      </c>
      <c r="C140">
        <v>48</v>
      </c>
      <c r="D140" t="s">
        <v>133</v>
      </c>
      <c r="F140">
        <v>0.26800000000000002</v>
      </c>
      <c r="G140">
        <v>1</v>
      </c>
      <c r="H140" t="s">
        <v>20</v>
      </c>
      <c r="I140">
        <v>129.6</v>
      </c>
      <c r="J140">
        <v>414</v>
      </c>
      <c r="K140">
        <v>9044</v>
      </c>
    </row>
    <row r="141" spans="1:11" x14ac:dyDescent="0.2">
      <c r="A141" s="13">
        <v>44253.093935185185</v>
      </c>
      <c r="B141">
        <v>27981</v>
      </c>
      <c r="C141">
        <v>48</v>
      </c>
      <c r="D141" t="s">
        <v>133</v>
      </c>
      <c r="F141">
        <v>0.26800000000000002</v>
      </c>
      <c r="G141">
        <v>2</v>
      </c>
      <c r="H141" t="s">
        <v>21</v>
      </c>
      <c r="I141">
        <v>246.6</v>
      </c>
      <c r="J141">
        <v>16053</v>
      </c>
      <c r="K141">
        <v>394944</v>
      </c>
    </row>
    <row r="142" spans="1:11" x14ac:dyDescent="0.2">
      <c r="A142" s="13">
        <v>44253.093935185185</v>
      </c>
      <c r="B142">
        <v>27981</v>
      </c>
      <c r="C142">
        <v>48</v>
      </c>
      <c r="D142" t="s">
        <v>133</v>
      </c>
      <c r="F142">
        <v>0.26800000000000002</v>
      </c>
    </row>
    <row r="143" spans="1:11" x14ac:dyDescent="0.2">
      <c r="A143" s="13">
        <v>44253.101261574076</v>
      </c>
      <c r="B143">
        <v>27982</v>
      </c>
      <c r="C143">
        <v>49</v>
      </c>
      <c r="D143" t="s">
        <v>134</v>
      </c>
      <c r="F143">
        <v>0.25600000000000001</v>
      </c>
      <c r="G143">
        <v>1</v>
      </c>
      <c r="H143" t="s">
        <v>20</v>
      </c>
      <c r="I143">
        <v>129.6</v>
      </c>
      <c r="J143">
        <v>131</v>
      </c>
      <c r="K143">
        <v>2882</v>
      </c>
    </row>
    <row r="144" spans="1:11" x14ac:dyDescent="0.2">
      <c r="A144" s="13">
        <v>44253.101261574076</v>
      </c>
      <c r="B144">
        <v>27982</v>
      </c>
      <c r="C144">
        <v>49</v>
      </c>
      <c r="D144" t="s">
        <v>134</v>
      </c>
      <c r="F144">
        <v>0.25600000000000001</v>
      </c>
      <c r="G144">
        <v>2</v>
      </c>
      <c r="H144" t="s">
        <v>21</v>
      </c>
      <c r="I144">
        <v>246.6</v>
      </c>
      <c r="J144">
        <v>12219</v>
      </c>
      <c r="K144">
        <v>301053</v>
      </c>
    </row>
    <row r="145" spans="1:11" x14ac:dyDescent="0.2">
      <c r="A145" s="13">
        <v>44253.101261574076</v>
      </c>
      <c r="B145">
        <v>27982</v>
      </c>
      <c r="C145">
        <v>49</v>
      </c>
      <c r="D145" t="s">
        <v>134</v>
      </c>
      <c r="F145">
        <v>0.25600000000000001</v>
      </c>
    </row>
    <row r="146" spans="1:11" x14ac:dyDescent="0.2">
      <c r="A146" s="13">
        <v>44253.108587962961</v>
      </c>
      <c r="B146">
        <v>27983</v>
      </c>
      <c r="C146">
        <v>50</v>
      </c>
      <c r="D146" t="s">
        <v>135</v>
      </c>
      <c r="F146">
        <v>0.24</v>
      </c>
      <c r="G146">
        <v>1</v>
      </c>
      <c r="H146" t="s">
        <v>20</v>
      </c>
      <c r="I146">
        <v>128.80000000000001</v>
      </c>
      <c r="J146">
        <v>365</v>
      </c>
      <c r="K146">
        <v>7978</v>
      </c>
    </row>
    <row r="147" spans="1:11" x14ac:dyDescent="0.2">
      <c r="A147" s="13">
        <v>44253.108587962961</v>
      </c>
      <c r="B147">
        <v>27983</v>
      </c>
      <c r="C147">
        <v>50</v>
      </c>
      <c r="D147" t="s">
        <v>135</v>
      </c>
      <c r="F147">
        <v>0.24</v>
      </c>
      <c r="G147">
        <v>2</v>
      </c>
      <c r="H147" t="s">
        <v>21</v>
      </c>
      <c r="I147">
        <v>245.8</v>
      </c>
      <c r="J147">
        <v>14104</v>
      </c>
      <c r="K147">
        <v>345265</v>
      </c>
    </row>
    <row r="148" spans="1:11" x14ac:dyDescent="0.2">
      <c r="A148" s="13">
        <v>44253.108587962961</v>
      </c>
      <c r="B148">
        <v>27983</v>
      </c>
      <c r="C148">
        <v>50</v>
      </c>
      <c r="D148" t="s">
        <v>135</v>
      </c>
      <c r="F148">
        <v>0.24</v>
      </c>
    </row>
    <row r="149" spans="1:11" x14ac:dyDescent="0.2">
      <c r="A149" s="13">
        <v>44253.115925925929</v>
      </c>
      <c r="B149">
        <v>27984</v>
      </c>
      <c r="C149">
        <v>51</v>
      </c>
      <c r="D149" t="s">
        <v>102</v>
      </c>
      <c r="G149">
        <v>1</v>
      </c>
      <c r="H149" t="s">
        <v>20</v>
      </c>
      <c r="I149">
        <v>129.6</v>
      </c>
      <c r="J149">
        <v>1059</v>
      </c>
      <c r="K149">
        <v>22959</v>
      </c>
    </row>
    <row r="150" spans="1:11" x14ac:dyDescent="0.2">
      <c r="A150" s="13">
        <v>44253.115925925929</v>
      </c>
      <c r="B150">
        <v>27984</v>
      </c>
      <c r="C150">
        <v>51</v>
      </c>
      <c r="D150" t="s">
        <v>102</v>
      </c>
      <c r="G150">
        <v>2</v>
      </c>
      <c r="H150" t="s">
        <v>21</v>
      </c>
      <c r="I150">
        <v>243.6</v>
      </c>
      <c r="J150">
        <v>38980</v>
      </c>
      <c r="K150">
        <v>963191</v>
      </c>
    </row>
    <row r="151" spans="1:11" x14ac:dyDescent="0.2">
      <c r="A151" s="13">
        <v>44253.115925925929</v>
      </c>
      <c r="B151">
        <v>27984</v>
      </c>
      <c r="C151">
        <v>51</v>
      </c>
      <c r="D151" t="s">
        <v>102</v>
      </c>
    </row>
    <row r="152" spans="1:11" x14ac:dyDescent="0.2">
      <c r="A152" s="13">
        <v>44253.123252314814</v>
      </c>
      <c r="B152">
        <v>27985</v>
      </c>
      <c r="C152">
        <v>52</v>
      </c>
      <c r="D152" t="s">
        <v>11</v>
      </c>
      <c r="G152">
        <v>1</v>
      </c>
      <c r="H152" t="s">
        <v>20</v>
      </c>
      <c r="I152">
        <v>128.6</v>
      </c>
      <c r="J152">
        <v>10390</v>
      </c>
      <c r="K152">
        <v>230992</v>
      </c>
    </row>
    <row r="153" spans="1:11" x14ac:dyDescent="0.2">
      <c r="A153" s="13">
        <v>44253.123252314814</v>
      </c>
      <c r="B153">
        <v>27985</v>
      </c>
      <c r="C153">
        <v>52</v>
      </c>
      <c r="D153" t="s">
        <v>11</v>
      </c>
      <c r="G153">
        <v>2</v>
      </c>
      <c r="H153" t="s">
        <v>21</v>
      </c>
      <c r="I153">
        <v>246.6</v>
      </c>
      <c r="J153">
        <v>11130</v>
      </c>
      <c r="K153">
        <v>271994</v>
      </c>
    </row>
    <row r="154" spans="1:11" x14ac:dyDescent="0.2">
      <c r="A154" s="13">
        <v>44253.123252314814</v>
      </c>
      <c r="B154">
        <v>27985</v>
      </c>
      <c r="C154">
        <v>52</v>
      </c>
      <c r="D154" t="s">
        <v>11</v>
      </c>
    </row>
    <row r="155" spans="1:11" x14ac:dyDescent="0.2">
      <c r="A155" s="13">
        <v>44253.130590277775</v>
      </c>
      <c r="B155">
        <v>27986</v>
      </c>
      <c r="C155">
        <v>53</v>
      </c>
      <c r="D155" t="s">
        <v>13</v>
      </c>
      <c r="G155">
        <v>1</v>
      </c>
      <c r="H155" t="s">
        <v>21</v>
      </c>
      <c r="I155">
        <v>244.8</v>
      </c>
      <c r="J155">
        <v>23248</v>
      </c>
      <c r="K155">
        <v>572653</v>
      </c>
    </row>
    <row r="156" spans="1:11" x14ac:dyDescent="0.2">
      <c r="A156" s="13">
        <v>44253.130590277775</v>
      </c>
      <c r="B156">
        <v>27986</v>
      </c>
      <c r="C156">
        <v>53</v>
      </c>
      <c r="D156" t="s">
        <v>13</v>
      </c>
    </row>
    <row r="157" spans="1:11" x14ac:dyDescent="0.2">
      <c r="A157" s="13">
        <v>44253.137916666667</v>
      </c>
      <c r="B157">
        <v>27987</v>
      </c>
      <c r="C157">
        <v>54</v>
      </c>
      <c r="D157" t="s">
        <v>14</v>
      </c>
      <c r="G157">
        <v>1</v>
      </c>
      <c r="H157" t="s">
        <v>20</v>
      </c>
      <c r="I157">
        <v>128.6</v>
      </c>
      <c r="J157">
        <v>2175</v>
      </c>
      <c r="K157">
        <v>47709</v>
      </c>
    </row>
    <row r="158" spans="1:11" x14ac:dyDescent="0.2">
      <c r="A158" s="13">
        <v>44253.137916666667</v>
      </c>
      <c r="B158">
        <v>27987</v>
      </c>
      <c r="C158">
        <v>54</v>
      </c>
      <c r="D158" t="s">
        <v>14</v>
      </c>
      <c r="G158">
        <v>2</v>
      </c>
      <c r="H158" t="s">
        <v>21</v>
      </c>
      <c r="I158">
        <v>245.6</v>
      </c>
      <c r="J158">
        <v>23599</v>
      </c>
      <c r="K158">
        <v>581805</v>
      </c>
    </row>
    <row r="159" spans="1:11" x14ac:dyDescent="0.2">
      <c r="A159" s="13">
        <v>44253.137916666667</v>
      </c>
      <c r="B159">
        <v>27987</v>
      </c>
      <c r="C159">
        <v>54</v>
      </c>
      <c r="D159" t="s">
        <v>14</v>
      </c>
    </row>
    <row r="160" spans="1:11" x14ac:dyDescent="0.2">
      <c r="A160" s="13">
        <v>44253.145266203705</v>
      </c>
      <c r="B160">
        <v>27988</v>
      </c>
      <c r="C160">
        <v>55</v>
      </c>
      <c r="D160" t="s">
        <v>12</v>
      </c>
      <c r="G160">
        <v>1</v>
      </c>
      <c r="H160" t="s">
        <v>20</v>
      </c>
      <c r="I160">
        <v>128.6</v>
      </c>
      <c r="J160">
        <v>11569</v>
      </c>
      <c r="K160">
        <v>253442</v>
      </c>
    </row>
    <row r="161" spans="1:11" x14ac:dyDescent="0.2">
      <c r="A161" s="13">
        <v>44253.145266203705</v>
      </c>
      <c r="B161">
        <v>27988</v>
      </c>
      <c r="C161">
        <v>55</v>
      </c>
      <c r="D161" t="s">
        <v>12</v>
      </c>
      <c r="G161">
        <v>2</v>
      </c>
      <c r="H161" t="s">
        <v>21</v>
      </c>
      <c r="I161">
        <v>241.6</v>
      </c>
      <c r="J161">
        <v>47817</v>
      </c>
      <c r="K161">
        <v>1188445</v>
      </c>
    </row>
    <row r="162" spans="1:11" x14ac:dyDescent="0.2">
      <c r="A162" s="13">
        <v>44253.145266203705</v>
      </c>
      <c r="B162">
        <v>27988</v>
      </c>
      <c r="C162">
        <v>55</v>
      </c>
      <c r="D162" t="s">
        <v>12</v>
      </c>
    </row>
    <row r="163" spans="1:11" x14ac:dyDescent="0.2">
      <c r="A163" s="13">
        <v>44253.152592592596</v>
      </c>
      <c r="B163">
        <v>27989</v>
      </c>
      <c r="C163">
        <v>56</v>
      </c>
      <c r="D163" t="s">
        <v>12</v>
      </c>
      <c r="G163">
        <v>1</v>
      </c>
      <c r="H163" t="s">
        <v>20</v>
      </c>
      <c r="I163">
        <v>128.6</v>
      </c>
      <c r="J163">
        <v>12569</v>
      </c>
      <c r="K163">
        <v>275410</v>
      </c>
    </row>
    <row r="164" spans="1:11" x14ac:dyDescent="0.2">
      <c r="A164" s="13">
        <v>44253.152592592596</v>
      </c>
      <c r="B164">
        <v>27989</v>
      </c>
      <c r="C164">
        <v>56</v>
      </c>
      <c r="D164" t="s">
        <v>12</v>
      </c>
      <c r="G164">
        <v>2</v>
      </c>
      <c r="H164" t="s">
        <v>21</v>
      </c>
      <c r="I164">
        <v>241.6</v>
      </c>
      <c r="J164">
        <v>51742</v>
      </c>
      <c r="K164">
        <v>1289422</v>
      </c>
    </row>
    <row r="165" spans="1:11" x14ac:dyDescent="0.2">
      <c r="A165" s="13">
        <v>44253.152592592596</v>
      </c>
      <c r="B165">
        <v>27989</v>
      </c>
      <c r="C165">
        <v>56</v>
      </c>
      <c r="D165" t="s">
        <v>12</v>
      </c>
    </row>
    <row r="166" spans="1:11" x14ac:dyDescent="0.2">
      <c r="A166" s="13"/>
    </row>
    <row r="167" spans="1:11" x14ac:dyDescent="0.2">
      <c r="A167" s="13"/>
    </row>
    <row r="168" spans="1:11" x14ac:dyDescent="0.2">
      <c r="A168" s="13"/>
    </row>
    <row r="169" spans="1:11" x14ac:dyDescent="0.2">
      <c r="A169" s="13"/>
    </row>
    <row r="170" spans="1:11" x14ac:dyDescent="0.2">
      <c r="A170" s="13"/>
    </row>
    <row r="171" spans="1:11" x14ac:dyDescent="0.2">
      <c r="A171" s="13"/>
    </row>
    <row r="172" spans="1:11" x14ac:dyDescent="0.2">
      <c r="A172" s="13"/>
    </row>
    <row r="173" spans="1:11" x14ac:dyDescent="0.2">
      <c r="A173" s="13"/>
    </row>
    <row r="174" spans="1:11" x14ac:dyDescent="0.2">
      <c r="A174" s="13"/>
    </row>
    <row r="175" spans="1:11" x14ac:dyDescent="0.2">
      <c r="A175" s="13"/>
    </row>
    <row r="176" spans="1:11" x14ac:dyDescent="0.2">
      <c r="A176" s="13"/>
    </row>
    <row r="177" spans="1:1" x14ac:dyDescent="0.2">
      <c r="A177" s="13"/>
    </row>
    <row r="178" spans="1:1" x14ac:dyDescent="0.2">
      <c r="A178" s="13"/>
    </row>
    <row r="179" spans="1:1" x14ac:dyDescent="0.2">
      <c r="A179" s="13"/>
    </row>
    <row r="180" spans="1:1" x14ac:dyDescent="0.2">
      <c r="A180" s="13"/>
    </row>
    <row r="181" spans="1:1" x14ac:dyDescent="0.2">
      <c r="A181" s="13"/>
    </row>
    <row r="182" spans="1:1" x14ac:dyDescent="0.2">
      <c r="A182" s="13"/>
    </row>
    <row r="183" spans="1:1" x14ac:dyDescent="0.2">
      <c r="A183" s="13"/>
    </row>
    <row r="184" spans="1:1" x14ac:dyDescent="0.2">
      <c r="A184" s="13"/>
    </row>
    <row r="185" spans="1:1" x14ac:dyDescent="0.2">
      <c r="A185" s="13"/>
    </row>
    <row r="186" spans="1:1" x14ac:dyDescent="0.2">
      <c r="A186" s="13"/>
    </row>
    <row r="187" spans="1:1" x14ac:dyDescent="0.2">
      <c r="A187" s="13"/>
    </row>
    <row r="188" spans="1:1" x14ac:dyDescent="0.2">
      <c r="A188" s="13"/>
    </row>
    <row r="189" spans="1:1" x14ac:dyDescent="0.2">
      <c r="A189" s="13"/>
    </row>
    <row r="190" spans="1:1" x14ac:dyDescent="0.2">
      <c r="A190" s="13"/>
    </row>
    <row r="191" spans="1:1" x14ac:dyDescent="0.2">
      <c r="A191" s="13"/>
    </row>
    <row r="192" spans="1:1" x14ac:dyDescent="0.2">
      <c r="A192" s="13"/>
    </row>
    <row r="193" spans="1:1" x14ac:dyDescent="0.2">
      <c r="A193" s="13"/>
    </row>
    <row r="194" spans="1:1" x14ac:dyDescent="0.2">
      <c r="A194" s="13"/>
    </row>
    <row r="195" spans="1:1" x14ac:dyDescent="0.2">
      <c r="A195" s="13"/>
    </row>
    <row r="196" spans="1:1" x14ac:dyDescent="0.2">
      <c r="A196" s="13"/>
    </row>
    <row r="197" spans="1:1" x14ac:dyDescent="0.2">
      <c r="A197" s="13"/>
    </row>
    <row r="198" spans="1:1" x14ac:dyDescent="0.2">
      <c r="A198" s="13"/>
    </row>
    <row r="199" spans="1:1" x14ac:dyDescent="0.2">
      <c r="A199" s="13"/>
    </row>
    <row r="200" spans="1:1" x14ac:dyDescent="0.2">
      <c r="A200" s="13"/>
    </row>
    <row r="201" spans="1:1" x14ac:dyDescent="0.2">
      <c r="A201" s="13"/>
    </row>
    <row r="202" spans="1:1" x14ac:dyDescent="0.2">
      <c r="A202" s="13"/>
    </row>
    <row r="203" spans="1:1" x14ac:dyDescent="0.2">
      <c r="A203" s="13"/>
    </row>
    <row r="204" spans="1:1" x14ac:dyDescent="0.2">
      <c r="A204" s="13"/>
    </row>
    <row r="205" spans="1:1" x14ac:dyDescent="0.2">
      <c r="A205" s="13"/>
    </row>
    <row r="206" spans="1:1" x14ac:dyDescent="0.2">
      <c r="A206" s="13"/>
    </row>
    <row r="207" spans="1:1" x14ac:dyDescent="0.2">
      <c r="A207" s="13"/>
    </row>
    <row r="208" spans="1:1" x14ac:dyDescent="0.2">
      <c r="A208" s="13"/>
    </row>
    <row r="209" spans="1:1" x14ac:dyDescent="0.2">
      <c r="A209" s="13"/>
    </row>
    <row r="210" spans="1:1" x14ac:dyDescent="0.2">
      <c r="A210" s="13"/>
    </row>
    <row r="211" spans="1:1" x14ac:dyDescent="0.2">
      <c r="A211" s="13"/>
    </row>
    <row r="212" spans="1:1" x14ac:dyDescent="0.2">
      <c r="A212" s="13"/>
    </row>
    <row r="213" spans="1:1" x14ac:dyDescent="0.2">
      <c r="A213" s="13"/>
    </row>
    <row r="214" spans="1:1" x14ac:dyDescent="0.2">
      <c r="A214" s="13"/>
    </row>
    <row r="215" spans="1:1" x14ac:dyDescent="0.2">
      <c r="A215" s="13"/>
    </row>
    <row r="216" spans="1:1" x14ac:dyDescent="0.2">
      <c r="A216" s="13"/>
    </row>
    <row r="217" spans="1:1" x14ac:dyDescent="0.2">
      <c r="A217" s="13"/>
    </row>
    <row r="218" spans="1:1" x14ac:dyDescent="0.2">
      <c r="A218" s="13"/>
    </row>
    <row r="219" spans="1:1" x14ac:dyDescent="0.2">
      <c r="A219" s="13"/>
    </row>
    <row r="220" spans="1:1" x14ac:dyDescent="0.2">
      <c r="A220" s="13"/>
    </row>
    <row r="221" spans="1:1" x14ac:dyDescent="0.2">
      <c r="A221" s="13"/>
    </row>
    <row r="222" spans="1:1" x14ac:dyDescent="0.2">
      <c r="A222" s="13"/>
    </row>
    <row r="223" spans="1:1" x14ac:dyDescent="0.2">
      <c r="A223" s="13"/>
    </row>
    <row r="224" spans="1:1" x14ac:dyDescent="0.2">
      <c r="A224" s="13"/>
    </row>
    <row r="225" spans="1:1" x14ac:dyDescent="0.2">
      <c r="A225" s="13"/>
    </row>
    <row r="226" spans="1:1" x14ac:dyDescent="0.2">
      <c r="A226" s="13"/>
    </row>
    <row r="227" spans="1:1" x14ac:dyDescent="0.2">
      <c r="A227" s="13"/>
    </row>
    <row r="228" spans="1:1" x14ac:dyDescent="0.2">
      <c r="A228" s="13"/>
    </row>
    <row r="229" spans="1:1" x14ac:dyDescent="0.2">
      <c r="A229" s="13"/>
    </row>
    <row r="230" spans="1:1" x14ac:dyDescent="0.2">
      <c r="A230" s="13"/>
    </row>
    <row r="231" spans="1:1" x14ac:dyDescent="0.2">
      <c r="A231" s="13"/>
    </row>
    <row r="232" spans="1:1" x14ac:dyDescent="0.2">
      <c r="A232" s="13"/>
    </row>
    <row r="233" spans="1:1" x14ac:dyDescent="0.2">
      <c r="A233" s="13"/>
    </row>
    <row r="234" spans="1:1" x14ac:dyDescent="0.2">
      <c r="A234" s="13"/>
    </row>
    <row r="235" spans="1:1" x14ac:dyDescent="0.2">
      <c r="A235" s="13"/>
    </row>
    <row r="236" spans="1:1" x14ac:dyDescent="0.2">
      <c r="A236" s="13"/>
    </row>
    <row r="237" spans="1:1" x14ac:dyDescent="0.2">
      <c r="A237" s="13"/>
    </row>
    <row r="238" spans="1:1" x14ac:dyDescent="0.2">
      <c r="A238" s="13"/>
    </row>
    <row r="239" spans="1:1" x14ac:dyDescent="0.2">
      <c r="A239" s="13"/>
    </row>
    <row r="240" spans="1:1" x14ac:dyDescent="0.2">
      <c r="A240" s="13"/>
    </row>
    <row r="241" spans="1:1" x14ac:dyDescent="0.2">
      <c r="A241" s="13"/>
    </row>
    <row r="242" spans="1:1" x14ac:dyDescent="0.2">
      <c r="A242" s="13"/>
    </row>
    <row r="243" spans="1:1" x14ac:dyDescent="0.2">
      <c r="A243" s="13"/>
    </row>
    <row r="244" spans="1:1" x14ac:dyDescent="0.2">
      <c r="A244" s="13"/>
    </row>
    <row r="245" spans="1:1" x14ac:dyDescent="0.2">
      <c r="A245" s="13"/>
    </row>
    <row r="246" spans="1:1" x14ac:dyDescent="0.2">
      <c r="A246" s="13"/>
    </row>
    <row r="247" spans="1:1" x14ac:dyDescent="0.2">
      <c r="A247" s="13"/>
    </row>
    <row r="248" spans="1:1" x14ac:dyDescent="0.2">
      <c r="A248" s="13"/>
    </row>
    <row r="249" spans="1:1" x14ac:dyDescent="0.2">
      <c r="A249" s="13"/>
    </row>
    <row r="250" spans="1:1" x14ac:dyDescent="0.2">
      <c r="A250" s="13"/>
    </row>
    <row r="251" spans="1:1" x14ac:dyDescent="0.2">
      <c r="A251" s="13"/>
    </row>
    <row r="252" spans="1:1" x14ac:dyDescent="0.2">
      <c r="A252" s="13"/>
    </row>
    <row r="253" spans="1:1" x14ac:dyDescent="0.2">
      <c r="A253" s="13"/>
    </row>
    <row r="254" spans="1:1" x14ac:dyDescent="0.2">
      <c r="A254" s="13"/>
    </row>
    <row r="255" spans="1:1" x14ac:dyDescent="0.2">
      <c r="A255" s="13"/>
    </row>
    <row r="256" spans="1:1" x14ac:dyDescent="0.2">
      <c r="A256" s="13"/>
    </row>
    <row r="257" spans="1:1" x14ac:dyDescent="0.2">
      <c r="A257" s="13"/>
    </row>
    <row r="258" spans="1:1" x14ac:dyDescent="0.2">
      <c r="A258" s="13"/>
    </row>
    <row r="259" spans="1:1" x14ac:dyDescent="0.2">
      <c r="A259" s="13"/>
    </row>
    <row r="260" spans="1:1" x14ac:dyDescent="0.2">
      <c r="A260" s="13"/>
    </row>
    <row r="261" spans="1:1" x14ac:dyDescent="0.2">
      <c r="A261" s="13"/>
    </row>
    <row r="262" spans="1:1" x14ac:dyDescent="0.2">
      <c r="A262" s="13"/>
    </row>
    <row r="263" spans="1:1" x14ac:dyDescent="0.2">
      <c r="A263" s="13"/>
    </row>
    <row r="264" spans="1:1" x14ac:dyDescent="0.2">
      <c r="A264" s="13"/>
    </row>
    <row r="265" spans="1:1" x14ac:dyDescent="0.2">
      <c r="A265" s="13"/>
    </row>
    <row r="266" spans="1:1" x14ac:dyDescent="0.2">
      <c r="A266" s="13"/>
    </row>
    <row r="267" spans="1:1" x14ac:dyDescent="0.2">
      <c r="A267" s="13"/>
    </row>
    <row r="268" spans="1:1" x14ac:dyDescent="0.2">
      <c r="A268" s="13"/>
    </row>
    <row r="269" spans="1:1" x14ac:dyDescent="0.2">
      <c r="A269" s="13"/>
    </row>
    <row r="270" spans="1:1" x14ac:dyDescent="0.2">
      <c r="A270" s="13"/>
    </row>
    <row r="271" spans="1:1" x14ac:dyDescent="0.2">
      <c r="A271" s="13"/>
    </row>
    <row r="272" spans="1:1" x14ac:dyDescent="0.2">
      <c r="A272" s="13"/>
    </row>
    <row r="273" spans="1:1" x14ac:dyDescent="0.2">
      <c r="A273" s="13"/>
    </row>
    <row r="274" spans="1:1" x14ac:dyDescent="0.2">
      <c r="A274" s="13"/>
    </row>
    <row r="275" spans="1:1" x14ac:dyDescent="0.2">
      <c r="A275" s="13"/>
    </row>
    <row r="276" spans="1:1" x14ac:dyDescent="0.2">
      <c r="A276" s="13"/>
    </row>
    <row r="277" spans="1:1" x14ac:dyDescent="0.2">
      <c r="A277" s="13"/>
    </row>
    <row r="278" spans="1:1" x14ac:dyDescent="0.2">
      <c r="A278" s="13"/>
    </row>
    <row r="279" spans="1:1" x14ac:dyDescent="0.2">
      <c r="A279" s="13"/>
    </row>
    <row r="280" spans="1:1" x14ac:dyDescent="0.2">
      <c r="A280" s="13"/>
    </row>
    <row r="281" spans="1:1" x14ac:dyDescent="0.2">
      <c r="A281" s="13"/>
    </row>
    <row r="282" spans="1:1" x14ac:dyDescent="0.2">
      <c r="A282" s="13"/>
    </row>
    <row r="283" spans="1:1" x14ac:dyDescent="0.2">
      <c r="A283" s="13"/>
    </row>
    <row r="284" spans="1:1" x14ac:dyDescent="0.2">
      <c r="A284" s="13"/>
    </row>
    <row r="285" spans="1:1" x14ac:dyDescent="0.2">
      <c r="A285" s="13"/>
    </row>
    <row r="286" spans="1:1" x14ac:dyDescent="0.2">
      <c r="A286" s="13"/>
    </row>
    <row r="287" spans="1:1" x14ac:dyDescent="0.2">
      <c r="A287" s="13"/>
    </row>
    <row r="288" spans="1:1" x14ac:dyDescent="0.2">
      <c r="A288" s="13"/>
    </row>
    <row r="289" spans="1:1" x14ac:dyDescent="0.2">
      <c r="A289" s="13"/>
    </row>
    <row r="290" spans="1:1" x14ac:dyDescent="0.2">
      <c r="A290" s="13"/>
    </row>
    <row r="291" spans="1:1" x14ac:dyDescent="0.2">
      <c r="A291" s="13"/>
    </row>
    <row r="292" spans="1:1" x14ac:dyDescent="0.2">
      <c r="A292" s="13"/>
    </row>
    <row r="293" spans="1:1" x14ac:dyDescent="0.2">
      <c r="A293" s="13"/>
    </row>
    <row r="294" spans="1:1" x14ac:dyDescent="0.2">
      <c r="A294" s="13"/>
    </row>
    <row r="295" spans="1:1" x14ac:dyDescent="0.2">
      <c r="A295" s="13"/>
    </row>
    <row r="296" spans="1:1" x14ac:dyDescent="0.2">
      <c r="A296" s="13"/>
    </row>
    <row r="297" spans="1:1" x14ac:dyDescent="0.2">
      <c r="A297" s="13"/>
    </row>
    <row r="298" spans="1:1" x14ac:dyDescent="0.2">
      <c r="A298" s="13"/>
    </row>
    <row r="299" spans="1:1" x14ac:dyDescent="0.2">
      <c r="A299" s="13"/>
    </row>
    <row r="300" spans="1:1" x14ac:dyDescent="0.2">
      <c r="A300" s="13"/>
    </row>
    <row r="301" spans="1:1" x14ac:dyDescent="0.2">
      <c r="A301" s="13"/>
    </row>
    <row r="302" spans="1:1" x14ac:dyDescent="0.2">
      <c r="A302" s="13"/>
    </row>
    <row r="303" spans="1:1" x14ac:dyDescent="0.2">
      <c r="A303" s="13"/>
    </row>
    <row r="304" spans="1:1" x14ac:dyDescent="0.2">
      <c r="A304" s="13"/>
    </row>
    <row r="305" spans="1:1" x14ac:dyDescent="0.2">
      <c r="A305" s="13"/>
    </row>
    <row r="306" spans="1:1" x14ac:dyDescent="0.2">
      <c r="A306" s="13"/>
    </row>
    <row r="307" spans="1:1" x14ac:dyDescent="0.2">
      <c r="A307" s="13"/>
    </row>
    <row r="308" spans="1:1" x14ac:dyDescent="0.2">
      <c r="A308" s="13"/>
    </row>
    <row r="309" spans="1:1" x14ac:dyDescent="0.2">
      <c r="A309" s="13"/>
    </row>
    <row r="310" spans="1:1" x14ac:dyDescent="0.2">
      <c r="A310" s="13"/>
    </row>
    <row r="311" spans="1:1" x14ac:dyDescent="0.2">
      <c r="A311" s="13"/>
    </row>
    <row r="313" spans="1:1" x14ac:dyDescent="0.2">
      <c r="A313" s="13"/>
    </row>
    <row r="314" spans="1:1" x14ac:dyDescent="0.2">
      <c r="A314" s="13"/>
    </row>
    <row r="315" spans="1:1" x14ac:dyDescent="0.2">
      <c r="A315" s="13"/>
    </row>
    <row r="316" spans="1:1" x14ac:dyDescent="0.2">
      <c r="A316" s="13"/>
    </row>
    <row r="317" spans="1:1" x14ac:dyDescent="0.2">
      <c r="A317" s="13"/>
    </row>
    <row r="318" spans="1:1" x14ac:dyDescent="0.2">
      <c r="A318" s="13"/>
    </row>
    <row r="319" spans="1:1" x14ac:dyDescent="0.2">
      <c r="A319" s="13"/>
    </row>
    <row r="320" spans="1:1" x14ac:dyDescent="0.2">
      <c r="A320" s="13"/>
    </row>
    <row r="321" spans="1:1" x14ac:dyDescent="0.2">
      <c r="A321" s="13"/>
    </row>
    <row r="322" spans="1:1" x14ac:dyDescent="0.2">
      <c r="A322" s="13"/>
    </row>
    <row r="323" spans="1:1" x14ac:dyDescent="0.2">
      <c r="A323" s="13"/>
    </row>
    <row r="324" spans="1:1" x14ac:dyDescent="0.2">
      <c r="A324" s="13"/>
    </row>
    <row r="325" spans="1:1" x14ac:dyDescent="0.2">
      <c r="A325" s="13"/>
    </row>
    <row r="326" spans="1:1" x14ac:dyDescent="0.2">
      <c r="A326" s="13"/>
    </row>
    <row r="327" spans="1:1" x14ac:dyDescent="0.2">
      <c r="A327" s="13"/>
    </row>
    <row r="328" spans="1:1" x14ac:dyDescent="0.2">
      <c r="A328" s="13"/>
    </row>
    <row r="329" spans="1:1" x14ac:dyDescent="0.2">
      <c r="A329" s="13"/>
    </row>
    <row r="330" spans="1:1" x14ac:dyDescent="0.2">
      <c r="A330" s="13"/>
    </row>
    <row r="331" spans="1:1" x14ac:dyDescent="0.2">
      <c r="A331" s="13"/>
    </row>
    <row r="332" spans="1:1" x14ac:dyDescent="0.2">
      <c r="A332" s="13"/>
    </row>
    <row r="333" spans="1:1" x14ac:dyDescent="0.2">
      <c r="A333" s="13"/>
    </row>
    <row r="334" spans="1:1" x14ac:dyDescent="0.2">
      <c r="A334" s="13"/>
    </row>
    <row r="335" spans="1:1" x14ac:dyDescent="0.2">
      <c r="A335" s="13"/>
    </row>
    <row r="336" spans="1:1" x14ac:dyDescent="0.2">
      <c r="A336" s="13"/>
    </row>
    <row r="337" spans="1:1" x14ac:dyDescent="0.2">
      <c r="A337" s="13"/>
    </row>
    <row r="338" spans="1:1" x14ac:dyDescent="0.2">
      <c r="A338" s="13"/>
    </row>
    <row r="339" spans="1:1" x14ac:dyDescent="0.2">
      <c r="A339" s="13"/>
    </row>
    <row r="340" spans="1:1" x14ac:dyDescent="0.2">
      <c r="A340" s="13"/>
    </row>
    <row r="341" spans="1:1" x14ac:dyDescent="0.2">
      <c r="A341" s="13"/>
    </row>
    <row r="342" spans="1:1" x14ac:dyDescent="0.2">
      <c r="A342" s="13"/>
    </row>
    <row r="343" spans="1:1" x14ac:dyDescent="0.2">
      <c r="A343" s="13"/>
    </row>
    <row r="344" spans="1:1" x14ac:dyDescent="0.2">
      <c r="A344" s="13"/>
    </row>
    <row r="345" spans="1:1" x14ac:dyDescent="0.2">
      <c r="A345" s="13"/>
    </row>
    <row r="346" spans="1:1" x14ac:dyDescent="0.2">
      <c r="A346" s="13"/>
    </row>
    <row r="347" spans="1:1" x14ac:dyDescent="0.2">
      <c r="A347" s="13"/>
    </row>
    <row r="348" spans="1:1" x14ac:dyDescent="0.2">
      <c r="A348" s="13"/>
    </row>
    <row r="349" spans="1:1" x14ac:dyDescent="0.2">
      <c r="A349" s="13"/>
    </row>
    <row r="350" spans="1:1" x14ac:dyDescent="0.2">
      <c r="A350" s="13"/>
    </row>
    <row r="351" spans="1:1" x14ac:dyDescent="0.2">
      <c r="A351" s="13"/>
    </row>
    <row r="352" spans="1:1" x14ac:dyDescent="0.2">
      <c r="A352" s="13"/>
    </row>
    <row r="353" spans="1:2" x14ac:dyDescent="0.2">
      <c r="A353" s="13"/>
    </row>
    <row r="354" spans="1:2" x14ac:dyDescent="0.2">
      <c r="A354" s="13"/>
    </row>
    <row r="355" spans="1:2" x14ac:dyDescent="0.2">
      <c r="A355" s="13"/>
    </row>
    <row r="356" spans="1:2" x14ac:dyDescent="0.2">
      <c r="A356" s="13"/>
    </row>
    <row r="357" spans="1:2" x14ac:dyDescent="0.2">
      <c r="A357" s="13"/>
    </row>
    <row r="358" spans="1:2" x14ac:dyDescent="0.2">
      <c r="A358" s="13"/>
    </row>
    <row r="359" spans="1:2" x14ac:dyDescent="0.2">
      <c r="A359" s="13"/>
    </row>
    <row r="360" spans="1:2" x14ac:dyDescent="0.2">
      <c r="A360" s="13"/>
    </row>
    <row r="361" spans="1:2" x14ac:dyDescent="0.2">
      <c r="A361" s="13"/>
    </row>
    <row r="362" spans="1:2" x14ac:dyDescent="0.2">
      <c r="B362" s="2"/>
    </row>
    <row r="363" spans="1:2" x14ac:dyDescent="0.2">
      <c r="B363" s="2"/>
    </row>
    <row r="364" spans="1:2" x14ac:dyDescent="0.2">
      <c r="B364" s="2"/>
    </row>
    <row r="365" spans="1:2" x14ac:dyDescent="0.2">
      <c r="B365" s="2"/>
    </row>
    <row r="366" spans="1:2" x14ac:dyDescent="0.2">
      <c r="B366" s="2"/>
    </row>
    <row r="367" spans="1:2" x14ac:dyDescent="0.2">
      <c r="B367" s="2"/>
    </row>
    <row r="368" spans="1:2" x14ac:dyDescent="0.2">
      <c r="B368" s="2"/>
    </row>
    <row r="369" spans="2:2" x14ac:dyDescent="0.2">
      <c r="B369" s="2"/>
    </row>
    <row r="370" spans="2:2" x14ac:dyDescent="0.2">
      <c r="B370" s="2"/>
    </row>
    <row r="371" spans="2:2" x14ac:dyDescent="0.2">
      <c r="B371" s="2"/>
    </row>
    <row r="372" spans="2:2" x14ac:dyDescent="0.2">
      <c r="B372" s="2"/>
    </row>
    <row r="373" spans="2:2" x14ac:dyDescent="0.2">
      <c r="B373" s="2"/>
    </row>
    <row r="374" spans="2:2" x14ac:dyDescent="0.2">
      <c r="B374" s="2"/>
    </row>
    <row r="375" spans="2:2" x14ac:dyDescent="0.2">
      <c r="B375" s="2"/>
    </row>
    <row r="376" spans="2:2" x14ac:dyDescent="0.2">
      <c r="B376" s="2"/>
    </row>
    <row r="377" spans="2:2" x14ac:dyDescent="0.2">
      <c r="B377" s="2"/>
    </row>
    <row r="378" spans="2:2" x14ac:dyDescent="0.2">
      <c r="B378" s="2"/>
    </row>
    <row r="379" spans="2:2" x14ac:dyDescent="0.2">
      <c r="B379" s="2"/>
    </row>
    <row r="380" spans="2:2" x14ac:dyDescent="0.2">
      <c r="B380" s="2"/>
    </row>
    <row r="381" spans="2:2" x14ac:dyDescent="0.2">
      <c r="B381" s="2"/>
    </row>
    <row r="382" spans="2:2" x14ac:dyDescent="0.2">
      <c r="B382" s="2"/>
    </row>
    <row r="383" spans="2:2" x14ac:dyDescent="0.2">
      <c r="B383" s="2"/>
    </row>
    <row r="384" spans="2:2" x14ac:dyDescent="0.2">
      <c r="B384" s="2"/>
    </row>
    <row r="385" spans="2:2" x14ac:dyDescent="0.2">
      <c r="B385" s="2"/>
    </row>
    <row r="386" spans="2:2" x14ac:dyDescent="0.2">
      <c r="B386" s="2"/>
    </row>
    <row r="387" spans="2:2" x14ac:dyDescent="0.2">
      <c r="B387" s="2"/>
    </row>
    <row r="388" spans="2:2" x14ac:dyDescent="0.2">
      <c r="B388" s="2"/>
    </row>
    <row r="389" spans="2:2" x14ac:dyDescent="0.2">
      <c r="B389" s="2"/>
    </row>
    <row r="390" spans="2:2" x14ac:dyDescent="0.2">
      <c r="B390" s="2"/>
    </row>
    <row r="391" spans="2:2" x14ac:dyDescent="0.2">
      <c r="B391" s="2"/>
    </row>
    <row r="392" spans="2:2" x14ac:dyDescent="0.2">
      <c r="B392" s="2"/>
    </row>
    <row r="393" spans="2:2" x14ac:dyDescent="0.2">
      <c r="B393" s="2"/>
    </row>
    <row r="394" spans="2:2" x14ac:dyDescent="0.2">
      <c r="B394" s="2"/>
    </row>
    <row r="395" spans="2:2" x14ac:dyDescent="0.2">
      <c r="B395" s="2"/>
    </row>
    <row r="396" spans="2:2" x14ac:dyDescent="0.2">
      <c r="B396" s="2"/>
    </row>
    <row r="397" spans="2:2" x14ac:dyDescent="0.2">
      <c r="B397" s="2"/>
    </row>
    <row r="398" spans="2:2" x14ac:dyDescent="0.2">
      <c r="B398" s="2"/>
    </row>
    <row r="399" spans="2:2" x14ac:dyDescent="0.2">
      <c r="B399" s="2"/>
    </row>
    <row r="400" spans="2:2" x14ac:dyDescent="0.2">
      <c r="B400" s="2"/>
    </row>
    <row r="401" spans="2:2" x14ac:dyDescent="0.2">
      <c r="B401" s="2"/>
    </row>
    <row r="402" spans="2:2" x14ac:dyDescent="0.2">
      <c r="B402" s="2"/>
    </row>
    <row r="403" spans="2:2" x14ac:dyDescent="0.2">
      <c r="B403" s="2"/>
    </row>
    <row r="404" spans="2:2" x14ac:dyDescent="0.2">
      <c r="B404" s="2"/>
    </row>
    <row r="405" spans="2:2" x14ac:dyDescent="0.2">
      <c r="B405" s="2"/>
    </row>
    <row r="406" spans="2:2" x14ac:dyDescent="0.2">
      <c r="B406" s="2"/>
    </row>
    <row r="407" spans="2:2" x14ac:dyDescent="0.2">
      <c r="B407" s="2"/>
    </row>
    <row r="408" spans="2:2" x14ac:dyDescent="0.2">
      <c r="B408" s="2"/>
    </row>
    <row r="409" spans="2:2" x14ac:dyDescent="0.2">
      <c r="B409" s="2"/>
    </row>
    <row r="410" spans="2:2" x14ac:dyDescent="0.2">
      <c r="B410" s="2"/>
    </row>
    <row r="411" spans="2:2" x14ac:dyDescent="0.2">
      <c r="B411" s="2"/>
    </row>
    <row r="412" spans="2:2" x14ac:dyDescent="0.2">
      <c r="B412" s="2"/>
    </row>
    <row r="413" spans="2:2" x14ac:dyDescent="0.2">
      <c r="B413" s="2"/>
    </row>
    <row r="414" spans="2:2" x14ac:dyDescent="0.2">
      <c r="B414" s="2"/>
    </row>
    <row r="415" spans="2:2" x14ac:dyDescent="0.2">
      <c r="B415" s="2"/>
    </row>
    <row r="416" spans="2:2" x14ac:dyDescent="0.2">
      <c r="B416" s="2"/>
    </row>
    <row r="417" spans="2:2" x14ac:dyDescent="0.2">
      <c r="B417" s="2"/>
    </row>
    <row r="418" spans="2:2" x14ac:dyDescent="0.2">
      <c r="B418" s="2"/>
    </row>
    <row r="419" spans="2:2" x14ac:dyDescent="0.2">
      <c r="B419"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E140"/>
  <sheetViews>
    <sheetView topLeftCell="K1" zoomScale="60" zoomScaleNormal="60" workbookViewId="0">
      <selection activeCell="Q11" sqref="Q11"/>
    </sheetView>
  </sheetViews>
  <sheetFormatPr baseColWidth="10" defaultColWidth="11" defaultRowHeight="16" x14ac:dyDescent="0.2"/>
  <cols>
    <col min="1" max="1" width="15.6640625" bestFit="1" customWidth="1"/>
    <col min="2" max="2" width="11.83203125" bestFit="1" customWidth="1"/>
    <col min="3" max="3" width="16.33203125" bestFit="1" customWidth="1"/>
    <col min="4" max="4" width="19" bestFit="1" customWidth="1"/>
    <col min="5" max="5" width="10.5" bestFit="1" customWidth="1"/>
    <col min="6" max="6" width="14" customWidth="1"/>
    <col min="7" max="7" width="12.6640625" bestFit="1" customWidth="1"/>
    <col min="8" max="8" width="14" customWidth="1"/>
    <col min="9" max="9" width="7.6640625" bestFit="1" customWidth="1"/>
    <col min="10" max="10" width="11.83203125" bestFit="1" customWidth="1"/>
    <col min="11" max="11" width="16.33203125" bestFit="1" customWidth="1"/>
    <col min="12" max="12" width="19" bestFit="1" customWidth="1"/>
    <col min="13" max="13" width="7.6640625" bestFit="1" customWidth="1"/>
    <col min="14" max="14" width="7.6640625" customWidth="1"/>
    <col min="15" max="15" width="13" bestFit="1" customWidth="1"/>
    <col min="16" max="16" width="14" customWidth="1"/>
    <col min="17" max="17" width="12" bestFit="1" customWidth="1"/>
    <col min="18" max="18" width="10.6640625" bestFit="1" customWidth="1"/>
    <col min="19" max="19" width="19.83203125" bestFit="1" customWidth="1"/>
    <col min="20" max="20" width="23.1640625" bestFit="1" customWidth="1"/>
    <col min="21" max="21" width="8.83203125" bestFit="1" customWidth="1"/>
    <col min="22" max="22" width="17" bestFit="1" customWidth="1"/>
    <col min="23" max="23" width="7.33203125" bestFit="1" customWidth="1"/>
    <col min="24" max="24" width="2.1640625" bestFit="1" customWidth="1"/>
    <col min="25" max="25" width="12" bestFit="1" customWidth="1"/>
    <col min="26" max="26" width="10.6640625" bestFit="1" customWidth="1"/>
    <col min="27" max="27" width="19.83203125" bestFit="1" customWidth="1"/>
    <col min="28" max="28" width="23.1640625" bestFit="1" customWidth="1"/>
    <col min="29" max="29" width="8.83203125" bestFit="1" customWidth="1"/>
    <col min="30" max="30" width="17" bestFit="1" customWidth="1"/>
    <col min="31" max="31" width="7.33203125" bestFit="1" customWidth="1"/>
  </cols>
  <sheetData>
    <row r="1" spans="1:31" x14ac:dyDescent="0.2">
      <c r="R1" s="1"/>
      <c r="S1" s="1"/>
      <c r="T1" s="1"/>
      <c r="U1" s="1"/>
      <c r="V1" s="1"/>
      <c r="W1" s="2"/>
    </row>
    <row r="2" spans="1:31" x14ac:dyDescent="0.2">
      <c r="B2" t="s">
        <v>1</v>
      </c>
      <c r="C2" t="s">
        <v>2</v>
      </c>
      <c r="D2" t="s">
        <v>42</v>
      </c>
      <c r="E2" t="s">
        <v>18</v>
      </c>
      <c r="F2" s="1" t="s">
        <v>23</v>
      </c>
      <c r="G2" s="35">
        <f>LINEST(G6:G14,F6:F14,0)</f>
        <v>7.982168690919462E-7</v>
      </c>
      <c r="J2" t="s">
        <v>1</v>
      </c>
      <c r="K2" t="s">
        <v>2</v>
      </c>
      <c r="L2" t="s">
        <v>42</v>
      </c>
      <c r="M2" t="s">
        <v>18</v>
      </c>
      <c r="N2" s="1" t="s">
        <v>23</v>
      </c>
      <c r="O2" s="35">
        <f>LINEST(O6:O12,N6:N12,0)</f>
        <v>3.0463767364420221E-7</v>
      </c>
      <c r="Q2" t="s">
        <v>55</v>
      </c>
      <c r="R2" s="1"/>
      <c r="S2" s="1"/>
      <c r="T2" s="1"/>
      <c r="U2" s="1"/>
      <c r="V2" s="1"/>
      <c r="W2" s="2"/>
      <c r="Y2" t="s">
        <v>56</v>
      </c>
    </row>
    <row r="3" spans="1:31" x14ac:dyDescent="0.2">
      <c r="B3" t="s">
        <v>12</v>
      </c>
      <c r="C3" t="str">
        <f>"&gt;0"</f>
        <v>&gt;0</v>
      </c>
      <c r="D3">
        <v>1</v>
      </c>
      <c r="E3" t="s">
        <v>20</v>
      </c>
      <c r="F3" t="s">
        <v>24</v>
      </c>
      <c r="G3" s="5">
        <f>RSQ(G6:G14,F6:F14)</f>
        <v>0.99997397924514364</v>
      </c>
      <c r="J3" t="s">
        <v>12</v>
      </c>
      <c r="K3" t="str">
        <f>"&gt;0"</f>
        <v>&gt;0</v>
      </c>
      <c r="L3">
        <v>2</v>
      </c>
      <c r="M3" t="s">
        <v>21</v>
      </c>
      <c r="N3" t="s">
        <v>24</v>
      </c>
      <c r="O3" s="5">
        <f>RSQ(O6:O12,N6:N12)</f>
        <v>0.99999416520709139</v>
      </c>
      <c r="Q3" t="b">
        <f>AND(ISNA(MATCH('TCD data'!D2,refs[Standards],0)),'TCD data'!H2="N2",'TCD data'!G2=1)</f>
        <v>1</v>
      </c>
      <c r="R3" s="1"/>
      <c r="S3" s="1"/>
      <c r="T3" s="1"/>
      <c r="U3" s="1"/>
      <c r="V3" s="1"/>
      <c r="W3" s="2"/>
      <c r="Y3" t="b">
        <f>AND(ISNA(MATCH('TCD data'!D2,refs[Standards],0)),'TCD data'!H2="CO2")</f>
        <v>0</v>
      </c>
    </row>
    <row r="4" spans="1:31" x14ac:dyDescent="0.2">
      <c r="B4" s="1"/>
      <c r="D4" s="1"/>
      <c r="E4" s="1"/>
      <c r="F4" s="1"/>
      <c r="G4" s="2"/>
      <c r="R4" s="1"/>
      <c r="S4" s="1"/>
      <c r="T4" s="1"/>
      <c r="U4" s="1"/>
      <c r="V4" s="1"/>
      <c r="W4" s="2"/>
    </row>
    <row r="5" spans="1:31" x14ac:dyDescent="0.2">
      <c r="A5" t="s">
        <v>40</v>
      </c>
      <c r="B5" t="s">
        <v>1</v>
      </c>
      <c r="C5" t="s">
        <v>2</v>
      </c>
      <c r="D5" t="s">
        <v>42</v>
      </c>
      <c r="E5" t="s">
        <v>18</v>
      </c>
      <c r="F5" t="s">
        <v>19</v>
      </c>
      <c r="G5" t="s">
        <v>22</v>
      </c>
      <c r="I5" t="s">
        <v>40</v>
      </c>
      <c r="J5" t="s">
        <v>1</v>
      </c>
      <c r="K5" t="s">
        <v>2</v>
      </c>
      <c r="L5" t="s">
        <v>42</v>
      </c>
      <c r="M5" t="s">
        <v>18</v>
      </c>
      <c r="N5" t="s">
        <v>19</v>
      </c>
      <c r="O5" t="s">
        <v>26</v>
      </c>
      <c r="Q5" s="15" t="s">
        <v>40</v>
      </c>
      <c r="R5" s="16" t="s">
        <v>1</v>
      </c>
      <c r="S5" s="16" t="s">
        <v>42</v>
      </c>
      <c r="T5" s="16" t="s">
        <v>18</v>
      </c>
      <c r="U5" s="16" t="s">
        <v>2</v>
      </c>
      <c r="V5" s="16" t="s">
        <v>19</v>
      </c>
      <c r="W5" s="17" t="s">
        <v>22</v>
      </c>
      <c r="X5" s="1"/>
      <c r="Y5" s="15" t="s">
        <v>40</v>
      </c>
      <c r="Z5" s="16" t="s">
        <v>1</v>
      </c>
      <c r="AA5" s="16" t="s">
        <v>42</v>
      </c>
      <c r="AB5" s="16" t="s">
        <v>18</v>
      </c>
      <c r="AC5" s="16" t="s">
        <v>2</v>
      </c>
      <c r="AD5" s="16" t="s">
        <v>19</v>
      </c>
      <c r="AE5" s="17" t="s">
        <v>26</v>
      </c>
    </row>
    <row r="6" spans="1:31" x14ac:dyDescent="0.2">
      <c r="A6">
        <v>20611</v>
      </c>
      <c r="B6" t="s">
        <v>12</v>
      </c>
      <c r="C6">
        <v>5.2999999999999999E-2</v>
      </c>
      <c r="D6">
        <v>1</v>
      </c>
      <c r="E6" t="s">
        <v>20</v>
      </c>
      <c r="F6">
        <v>16171</v>
      </c>
      <c r="G6" s="4">
        <f>C6*VLOOKUP(B6,refs[#All],2,FALSE)/100</f>
        <v>1.52905E-2</v>
      </c>
      <c r="I6">
        <v>20611</v>
      </c>
      <c r="J6" t="s">
        <v>12</v>
      </c>
      <c r="K6">
        <v>5.2999999999999999E-2</v>
      </c>
      <c r="L6">
        <v>2</v>
      </c>
      <c r="M6" t="s">
        <v>21</v>
      </c>
      <c r="N6">
        <v>80818</v>
      </c>
      <c r="O6" s="4">
        <f>K6*VLOOKUP(J6,refs[#All],4,FALSE)/100</f>
        <v>2.6224399999999995E-2</v>
      </c>
      <c r="Q6">
        <v>27934</v>
      </c>
      <c r="R6" t="s">
        <v>100</v>
      </c>
      <c r="S6">
        <v>1</v>
      </c>
      <c r="T6" t="s">
        <v>20</v>
      </c>
      <c r="V6">
        <v>43796</v>
      </c>
      <c r="W6" s="10">
        <f t="shared" ref="W6:W25" si="0">IF(NOT(ISBLANK(V6)),V6*$G$2,"")</f>
        <v>3.4958705998750873E-2</v>
      </c>
      <c r="X6" s="7"/>
      <c r="Y6">
        <v>27934</v>
      </c>
      <c r="Z6" t="s">
        <v>100</v>
      </c>
      <c r="AA6">
        <v>2</v>
      </c>
      <c r="AB6" t="s">
        <v>21</v>
      </c>
      <c r="AD6">
        <v>540282</v>
      </c>
      <c r="AE6" s="10">
        <f t="shared" ref="AE6:AE25" si="1">IF(NOT(ISBLANK(AD6)),AD6*$O$2,"")</f>
        <v>0.16459025159183685</v>
      </c>
    </row>
    <row r="7" spans="1:31" x14ac:dyDescent="0.2">
      <c r="A7">
        <v>20612</v>
      </c>
      <c r="B7" t="s">
        <v>12</v>
      </c>
      <c r="C7">
        <v>0.113</v>
      </c>
      <c r="D7">
        <v>1</v>
      </c>
      <c r="E7" t="s">
        <v>20</v>
      </c>
      <c r="F7">
        <v>37422</v>
      </c>
      <c r="G7" s="4">
        <f>C7*VLOOKUP(B7,refs[#All],2,FALSE)/100</f>
        <v>3.2600500000000004E-2</v>
      </c>
      <c r="I7">
        <v>20612</v>
      </c>
      <c r="J7" t="s">
        <v>12</v>
      </c>
      <c r="K7">
        <v>0.113</v>
      </c>
      <c r="L7">
        <v>2</v>
      </c>
      <c r="M7" t="s">
        <v>21</v>
      </c>
      <c r="N7">
        <v>181452</v>
      </c>
      <c r="O7" s="4">
        <f>K7*VLOOKUP(J7,refs[#All],4,FALSE)/100</f>
        <v>5.5912400000000001E-2</v>
      </c>
      <c r="Q7">
        <v>27935</v>
      </c>
      <c r="R7" t="s">
        <v>100</v>
      </c>
      <c r="S7">
        <v>1</v>
      </c>
      <c r="T7" t="s">
        <v>20</v>
      </c>
      <c r="V7">
        <v>47344</v>
      </c>
      <c r="W7" s="10">
        <f t="shared" si="0"/>
        <v>3.7790779450289101E-2</v>
      </c>
      <c r="X7" s="7"/>
      <c r="Y7">
        <v>27935</v>
      </c>
      <c r="Z7" t="s">
        <v>100</v>
      </c>
      <c r="AA7">
        <v>2</v>
      </c>
      <c r="AB7" t="s">
        <v>21</v>
      </c>
      <c r="AD7">
        <v>582293</v>
      </c>
      <c r="AE7" s="10">
        <f t="shared" si="1"/>
        <v>0.17738838489930345</v>
      </c>
    </row>
    <row r="8" spans="1:31" x14ac:dyDescent="0.2">
      <c r="A8">
        <v>20613</v>
      </c>
      <c r="B8" t="s">
        <v>12</v>
      </c>
      <c r="C8">
        <v>0.14299999999999999</v>
      </c>
      <c r="D8">
        <v>1</v>
      </c>
      <c r="E8" t="s">
        <v>20</v>
      </c>
      <c r="F8">
        <v>46585</v>
      </c>
      <c r="G8" s="4">
        <f>C8*VLOOKUP(B8,refs[#All],2,FALSE)/100</f>
        <v>4.1255499999999994E-2</v>
      </c>
      <c r="I8">
        <v>20613</v>
      </c>
      <c r="J8" t="s">
        <v>12</v>
      </c>
      <c r="K8">
        <v>0.14299999999999999</v>
      </c>
      <c r="L8">
        <v>2</v>
      </c>
      <c r="M8" t="s">
        <v>21</v>
      </c>
      <c r="N8">
        <v>226576</v>
      </c>
      <c r="O8" s="4">
        <f>K8*VLOOKUP(J8,refs[#All],4,FALSE)/100</f>
        <v>7.0756399999999997E-2</v>
      </c>
      <c r="Q8">
        <v>27936</v>
      </c>
      <c r="R8" t="s">
        <v>100</v>
      </c>
      <c r="S8">
        <v>1</v>
      </c>
      <c r="T8" t="s">
        <v>20</v>
      </c>
      <c r="V8">
        <v>44778</v>
      </c>
      <c r="W8" s="10">
        <f t="shared" si="0"/>
        <v>3.5742554964199168E-2</v>
      </c>
      <c r="X8" s="7"/>
      <c r="Y8">
        <v>27936</v>
      </c>
      <c r="Z8" t="s">
        <v>100</v>
      </c>
      <c r="AA8">
        <v>2</v>
      </c>
      <c r="AB8" t="s">
        <v>21</v>
      </c>
      <c r="AD8">
        <v>551552</v>
      </c>
      <c r="AE8" s="10">
        <f t="shared" si="1"/>
        <v>0.16802351817380701</v>
      </c>
    </row>
    <row r="9" spans="1:31" x14ac:dyDescent="0.2">
      <c r="A9">
        <v>20614</v>
      </c>
      <c r="B9" t="s">
        <v>12</v>
      </c>
      <c r="C9">
        <v>0.20799999999999999</v>
      </c>
      <c r="D9">
        <v>1</v>
      </c>
      <c r="E9" t="s">
        <v>20</v>
      </c>
      <c r="F9">
        <v>68608</v>
      </c>
      <c r="G9" s="4">
        <f>C9*VLOOKUP(B9,refs[#All],2,FALSE)/100</f>
        <v>6.0007999999999999E-2</v>
      </c>
      <c r="I9">
        <v>20614</v>
      </c>
      <c r="J9" t="s">
        <v>12</v>
      </c>
      <c r="K9">
        <v>0.20799999999999999</v>
      </c>
      <c r="L9">
        <v>2</v>
      </c>
      <c r="M9" t="s">
        <v>21</v>
      </c>
      <c r="N9">
        <v>328773</v>
      </c>
      <c r="O9" s="4">
        <f>K9*VLOOKUP(J9,refs[#All],4,FALSE)/100</f>
        <v>0.10291839999999999</v>
      </c>
      <c r="Q9">
        <v>27942</v>
      </c>
      <c r="R9" t="s">
        <v>102</v>
      </c>
      <c r="S9">
        <v>1</v>
      </c>
      <c r="T9" t="s">
        <v>20</v>
      </c>
      <c r="V9">
        <v>24945</v>
      </c>
      <c r="W9" s="10">
        <f t="shared" si="0"/>
        <v>1.9911519799498598E-2</v>
      </c>
      <c r="X9" s="7"/>
      <c r="Y9">
        <v>27942</v>
      </c>
      <c r="Z9" t="s">
        <v>102</v>
      </c>
      <c r="AA9">
        <v>2</v>
      </c>
      <c r="AB9" t="s">
        <v>21</v>
      </c>
      <c r="AD9">
        <v>1050298</v>
      </c>
      <c r="AE9" s="10">
        <f t="shared" si="1"/>
        <v>0.31996033935315832</v>
      </c>
    </row>
    <row r="10" spans="1:31" x14ac:dyDescent="0.2">
      <c r="A10">
        <v>20615</v>
      </c>
      <c r="B10" t="s">
        <v>12</v>
      </c>
      <c r="C10">
        <v>0.31</v>
      </c>
      <c r="D10">
        <v>1</v>
      </c>
      <c r="E10" t="s">
        <v>20</v>
      </c>
      <c r="F10">
        <v>106771</v>
      </c>
      <c r="G10" s="4">
        <f>C10*VLOOKUP(B10,refs[#All],2,FALSE)/100</f>
        <v>8.9435000000000001E-2</v>
      </c>
      <c r="I10">
        <v>20615</v>
      </c>
      <c r="J10" t="s">
        <v>12</v>
      </c>
      <c r="K10">
        <v>0.31</v>
      </c>
      <c r="L10">
        <v>2</v>
      </c>
      <c r="M10" t="s">
        <v>21</v>
      </c>
      <c r="N10">
        <v>507290</v>
      </c>
      <c r="O10" s="4">
        <f>K10*VLOOKUP(J10,refs[#All],4,FALSE)/100</f>
        <v>0.153388</v>
      </c>
      <c r="Q10">
        <v>27943</v>
      </c>
      <c r="R10" t="s">
        <v>103</v>
      </c>
      <c r="S10">
        <v>1</v>
      </c>
      <c r="T10" t="s">
        <v>20</v>
      </c>
      <c r="U10">
        <v>5.72</v>
      </c>
      <c r="V10">
        <v>14398</v>
      </c>
      <c r="W10" s="10">
        <f t="shared" si="0"/>
        <v>1.1492726481185841E-2</v>
      </c>
      <c r="X10" s="7"/>
      <c r="Y10">
        <v>27943</v>
      </c>
      <c r="Z10" t="s">
        <v>103</v>
      </c>
      <c r="AA10">
        <v>2</v>
      </c>
      <c r="AB10" t="s">
        <v>21</v>
      </c>
      <c r="AC10">
        <v>5.72</v>
      </c>
      <c r="AD10">
        <v>538283</v>
      </c>
      <c r="AE10" s="10">
        <f t="shared" si="1"/>
        <v>0.16398128088222211</v>
      </c>
    </row>
    <row r="11" spans="1:31" x14ac:dyDescent="0.2">
      <c r="A11">
        <v>20616</v>
      </c>
      <c r="B11" t="s">
        <v>12</v>
      </c>
      <c r="C11">
        <v>0.35599999999999998</v>
      </c>
      <c r="D11">
        <v>1</v>
      </c>
      <c r="E11" t="s">
        <v>20</v>
      </c>
      <c r="F11">
        <v>122063</v>
      </c>
      <c r="G11" s="4">
        <f>C11*VLOOKUP(B11,refs[#All],2,FALSE)/100</f>
        <v>0.10270600000000001</v>
      </c>
      <c r="I11">
        <v>20616</v>
      </c>
      <c r="J11" t="s">
        <v>12</v>
      </c>
      <c r="K11">
        <v>0.35599999999999998</v>
      </c>
      <c r="L11">
        <v>2</v>
      </c>
      <c r="M11" t="s">
        <v>21</v>
      </c>
      <c r="N11">
        <v>578857</v>
      </c>
      <c r="O11" s="4">
        <f>K11*VLOOKUP(J11,refs[#All],4,FALSE)/100</f>
        <v>0.17614879999999999</v>
      </c>
      <c r="Q11">
        <v>27944</v>
      </c>
      <c r="R11" t="s">
        <v>104</v>
      </c>
      <c r="S11">
        <v>1</v>
      </c>
      <c r="T11" t="s">
        <v>20</v>
      </c>
      <c r="U11">
        <v>5.7050000000000001</v>
      </c>
      <c r="V11">
        <v>65950</v>
      </c>
      <c r="W11" s="10">
        <f t="shared" si="0"/>
        <v>5.2642402516613854E-2</v>
      </c>
      <c r="X11" s="7"/>
      <c r="Y11">
        <v>27944</v>
      </c>
      <c r="Z11" t="s">
        <v>104</v>
      </c>
      <c r="AA11">
        <v>2</v>
      </c>
      <c r="AB11" t="s">
        <v>21</v>
      </c>
      <c r="AC11">
        <v>5.7050000000000001</v>
      </c>
      <c r="AD11">
        <v>2750903</v>
      </c>
      <c r="AE11" s="10">
        <f t="shared" si="1"/>
        <v>0.83802869034085681</v>
      </c>
    </row>
    <row r="12" spans="1:31" x14ac:dyDescent="0.2">
      <c r="A12">
        <v>20625</v>
      </c>
      <c r="B12" t="s">
        <v>12</v>
      </c>
      <c r="C12">
        <v>2.9969999999999999</v>
      </c>
      <c r="D12">
        <v>1</v>
      </c>
      <c r="E12" t="s">
        <v>20</v>
      </c>
      <c r="F12">
        <v>1074716</v>
      </c>
      <c r="G12" s="4">
        <f>C12*VLOOKUP(B12,refs[#All],2,FALSE)/100</f>
        <v>0.86463449999999997</v>
      </c>
      <c r="I12">
        <v>20625</v>
      </c>
      <c r="J12" t="s">
        <v>12</v>
      </c>
      <c r="K12">
        <v>2.9969999999999999</v>
      </c>
      <c r="L12">
        <v>2</v>
      </c>
      <c r="M12" t="s">
        <v>21</v>
      </c>
      <c r="N12">
        <v>4868374</v>
      </c>
      <c r="O12" s="4">
        <f>K12*VLOOKUP(J12,refs[#All],4,FALSE)/100</f>
        <v>1.4829155999999997</v>
      </c>
      <c r="Q12">
        <v>27945</v>
      </c>
      <c r="R12" t="s">
        <v>105</v>
      </c>
      <c r="S12">
        <v>1</v>
      </c>
      <c r="T12" t="s">
        <v>20</v>
      </c>
      <c r="U12">
        <v>5.7519999999999998</v>
      </c>
      <c r="V12">
        <v>56478</v>
      </c>
      <c r="W12" s="10">
        <f t="shared" si="0"/>
        <v>4.5081692332574939E-2</v>
      </c>
      <c r="X12" s="7"/>
      <c r="Y12">
        <v>27945</v>
      </c>
      <c r="Z12" t="s">
        <v>105</v>
      </c>
      <c r="AA12">
        <v>2</v>
      </c>
      <c r="AB12" t="s">
        <v>21</v>
      </c>
      <c r="AC12">
        <v>5.7519999999999998</v>
      </c>
      <c r="AD12">
        <v>2343006</v>
      </c>
      <c r="AE12" s="10">
        <f t="shared" si="1"/>
        <v>0.7137678971744077</v>
      </c>
    </row>
    <row r="13" spans="1:31" x14ac:dyDescent="0.2">
      <c r="A13">
        <v>20626</v>
      </c>
      <c r="B13" t="s">
        <v>12</v>
      </c>
      <c r="C13">
        <v>4.0549999999999997</v>
      </c>
      <c r="D13">
        <v>1</v>
      </c>
      <c r="E13" t="s">
        <v>20</v>
      </c>
      <c r="F13">
        <v>1463595</v>
      </c>
      <c r="G13" s="4">
        <f>C13*VLOOKUP(B13,refs[#All],2,FALSE)/100</f>
        <v>1.1698675000000001</v>
      </c>
      <c r="I13">
        <v>20626</v>
      </c>
      <c r="J13" t="s">
        <v>12</v>
      </c>
      <c r="K13">
        <v>4.0549999999999997</v>
      </c>
      <c r="L13">
        <v>2</v>
      </c>
      <c r="M13" t="s">
        <v>21</v>
      </c>
      <c r="N13">
        <v>6571708</v>
      </c>
      <c r="O13" s="4">
        <f>K13*VLOOKUP(J13,refs[#All],4,FALSE)/100</f>
        <v>2.0064139999999999</v>
      </c>
      <c r="Q13">
        <v>27946</v>
      </c>
      <c r="R13" t="s">
        <v>106</v>
      </c>
      <c r="S13">
        <v>1</v>
      </c>
      <c r="T13" t="s">
        <v>20</v>
      </c>
      <c r="U13">
        <v>5.9560000000000004</v>
      </c>
      <c r="V13">
        <v>38232</v>
      </c>
      <c r="W13" s="10">
        <f t="shared" si="0"/>
        <v>3.0517427339123288E-2</v>
      </c>
      <c r="X13" s="7"/>
      <c r="Y13">
        <v>27946</v>
      </c>
      <c r="Z13" t="s">
        <v>106</v>
      </c>
      <c r="AA13">
        <v>2</v>
      </c>
      <c r="AB13" t="s">
        <v>21</v>
      </c>
      <c r="AC13">
        <v>5.9560000000000004</v>
      </c>
      <c r="AD13">
        <v>1314590</v>
      </c>
      <c r="AE13" s="10">
        <f t="shared" si="1"/>
        <v>0.40047363939593178</v>
      </c>
    </row>
    <row r="14" spans="1:31" x14ac:dyDescent="0.2">
      <c r="A14">
        <v>20627</v>
      </c>
      <c r="B14" t="s">
        <v>12</v>
      </c>
      <c r="C14">
        <v>5.056</v>
      </c>
      <c r="D14">
        <v>1</v>
      </c>
      <c r="E14" t="s">
        <v>20</v>
      </c>
      <c r="F14">
        <v>1835183</v>
      </c>
      <c r="G14" s="4">
        <f>C14*VLOOKUP(B14,refs[#All],2,FALSE)/100</f>
        <v>1.458656</v>
      </c>
      <c r="I14">
        <v>20627</v>
      </c>
      <c r="J14" t="s">
        <v>12</v>
      </c>
      <c r="K14">
        <v>5.056</v>
      </c>
      <c r="L14">
        <v>2</v>
      </c>
      <c r="M14" t="s">
        <v>21</v>
      </c>
      <c r="N14">
        <v>8172976</v>
      </c>
      <c r="O14" s="4">
        <f>K14*VLOOKUP(J14,refs[#All],4,FALSE)/100</f>
        <v>2.5017087999999998</v>
      </c>
      <c r="Q14">
        <v>27947</v>
      </c>
      <c r="R14" t="s">
        <v>107</v>
      </c>
      <c r="S14">
        <v>1</v>
      </c>
      <c r="T14" t="s">
        <v>20</v>
      </c>
      <c r="U14">
        <v>5.8090000000000002</v>
      </c>
      <c r="V14">
        <v>38522</v>
      </c>
      <c r="W14" s="10">
        <f t="shared" si="0"/>
        <v>3.0748910231159953E-2</v>
      </c>
      <c r="X14" s="7"/>
      <c r="Y14">
        <v>27947</v>
      </c>
      <c r="Z14" t="s">
        <v>107</v>
      </c>
      <c r="AA14">
        <v>2</v>
      </c>
      <c r="AB14" t="s">
        <v>21</v>
      </c>
      <c r="AC14">
        <v>5.8090000000000002</v>
      </c>
      <c r="AD14">
        <v>1513473</v>
      </c>
      <c r="AE14" s="10">
        <f t="shared" si="1"/>
        <v>0.46106089384331167</v>
      </c>
    </row>
    <row r="15" spans="1:31" x14ac:dyDescent="0.2">
      <c r="G15" s="4"/>
      <c r="O15" s="4"/>
      <c r="Q15">
        <v>27948</v>
      </c>
      <c r="R15" t="s">
        <v>108</v>
      </c>
      <c r="S15">
        <v>1</v>
      </c>
      <c r="T15" t="s">
        <v>20</v>
      </c>
      <c r="U15">
        <v>5.6559999999999997</v>
      </c>
      <c r="V15">
        <v>16275</v>
      </c>
      <c r="W15" s="10">
        <f t="shared" si="0"/>
        <v>1.2990979544471424E-2</v>
      </c>
      <c r="X15" s="7"/>
      <c r="Y15">
        <v>27948</v>
      </c>
      <c r="Z15" t="s">
        <v>108</v>
      </c>
      <c r="AA15">
        <v>2</v>
      </c>
      <c r="AB15" t="s">
        <v>21</v>
      </c>
      <c r="AC15">
        <v>5.6559999999999997</v>
      </c>
      <c r="AD15">
        <v>490006</v>
      </c>
      <c r="AE15" s="10">
        <f t="shared" si="1"/>
        <v>0.14927428791170094</v>
      </c>
    </row>
    <row r="16" spans="1:31" x14ac:dyDescent="0.2">
      <c r="Q16">
        <v>27950</v>
      </c>
      <c r="R16" t="s">
        <v>109</v>
      </c>
      <c r="S16">
        <v>1</v>
      </c>
      <c r="T16" t="s">
        <v>20</v>
      </c>
      <c r="U16">
        <v>5.6390000000000002</v>
      </c>
      <c r="V16">
        <v>25255</v>
      </c>
      <c r="W16" s="10">
        <f t="shared" si="0"/>
        <v>2.0158967028917101E-2</v>
      </c>
      <c r="X16" s="7"/>
      <c r="Y16">
        <v>27950</v>
      </c>
      <c r="Z16" t="s">
        <v>109</v>
      </c>
      <c r="AA16">
        <v>2</v>
      </c>
      <c r="AB16" t="s">
        <v>21</v>
      </c>
      <c r="AC16">
        <v>5.6390000000000002</v>
      </c>
      <c r="AD16">
        <v>1049903</v>
      </c>
      <c r="AE16" s="10">
        <f t="shared" si="1"/>
        <v>0.31984000747206881</v>
      </c>
    </row>
    <row r="17" spans="17:31" x14ac:dyDescent="0.2">
      <c r="Q17">
        <v>27951</v>
      </c>
      <c r="R17" t="s">
        <v>110</v>
      </c>
      <c r="S17">
        <v>1</v>
      </c>
      <c r="T17" t="s">
        <v>20</v>
      </c>
      <c r="U17">
        <v>5.7060000000000004</v>
      </c>
      <c r="V17">
        <v>40546</v>
      </c>
      <c r="W17" s="10">
        <f t="shared" si="0"/>
        <v>3.2364501174202052E-2</v>
      </c>
      <c r="X17" s="7"/>
      <c r="Y17">
        <v>27951</v>
      </c>
      <c r="Z17" t="s">
        <v>110</v>
      </c>
      <c r="AA17">
        <v>2</v>
      </c>
      <c r="AB17" t="s">
        <v>21</v>
      </c>
      <c r="AC17">
        <v>5.7060000000000004</v>
      </c>
      <c r="AD17">
        <v>1392033</v>
      </c>
      <c r="AE17" s="10">
        <f t="shared" si="1"/>
        <v>0.42406569475595973</v>
      </c>
    </row>
    <row r="18" spans="17:31" x14ac:dyDescent="0.2">
      <c r="Q18">
        <v>27952</v>
      </c>
      <c r="R18" t="s">
        <v>111</v>
      </c>
      <c r="S18">
        <v>1</v>
      </c>
      <c r="T18" t="s">
        <v>20</v>
      </c>
      <c r="U18">
        <v>5.59</v>
      </c>
      <c r="V18">
        <v>26106</v>
      </c>
      <c r="W18" s="10">
        <f t="shared" si="0"/>
        <v>2.0838249584514346E-2</v>
      </c>
      <c r="X18" s="7"/>
      <c r="Y18">
        <v>27952</v>
      </c>
      <c r="Z18" t="s">
        <v>111</v>
      </c>
      <c r="AA18">
        <v>2</v>
      </c>
      <c r="AB18" t="s">
        <v>21</v>
      </c>
      <c r="AC18">
        <v>5.59</v>
      </c>
      <c r="AD18">
        <v>1079325</v>
      </c>
      <c r="AE18" s="10">
        <f t="shared" si="1"/>
        <v>0.32880305710602853</v>
      </c>
    </row>
    <row r="19" spans="17:31" x14ac:dyDescent="0.2">
      <c r="Q19">
        <v>27953</v>
      </c>
      <c r="R19" t="s">
        <v>112</v>
      </c>
      <c r="S19">
        <v>1</v>
      </c>
      <c r="T19" t="s">
        <v>20</v>
      </c>
      <c r="U19">
        <v>5.7210000000000001</v>
      </c>
      <c r="V19">
        <v>50374</v>
      </c>
      <c r="W19" s="10">
        <f t="shared" si="0"/>
        <v>4.0209376563637697E-2</v>
      </c>
      <c r="X19" s="7"/>
      <c r="Y19">
        <v>27953</v>
      </c>
      <c r="Z19" t="s">
        <v>112</v>
      </c>
      <c r="AA19">
        <v>2</v>
      </c>
      <c r="AB19" t="s">
        <v>21</v>
      </c>
      <c r="AC19">
        <v>5.7210000000000001</v>
      </c>
      <c r="AD19">
        <v>2554311</v>
      </c>
      <c r="AE19" s="10">
        <f t="shared" si="1"/>
        <v>0.77813936080379575</v>
      </c>
    </row>
    <row r="20" spans="17:31" x14ac:dyDescent="0.2">
      <c r="Q20">
        <v>27954</v>
      </c>
      <c r="R20" t="s">
        <v>113</v>
      </c>
      <c r="S20">
        <v>1</v>
      </c>
      <c r="T20" t="s">
        <v>20</v>
      </c>
      <c r="U20">
        <v>5.7469999999999999</v>
      </c>
      <c r="V20">
        <v>39284</v>
      </c>
      <c r="W20" s="10">
        <f t="shared" si="0"/>
        <v>3.1357151485408012E-2</v>
      </c>
      <c r="X20" s="7"/>
      <c r="Y20">
        <v>27954</v>
      </c>
      <c r="Z20" t="s">
        <v>113</v>
      </c>
      <c r="AA20">
        <v>2</v>
      </c>
      <c r="AB20" t="s">
        <v>21</v>
      </c>
      <c r="AC20">
        <v>5.7469999999999999</v>
      </c>
      <c r="AD20">
        <v>1634066</v>
      </c>
      <c r="AE20" s="10">
        <f t="shared" si="1"/>
        <v>0.49779806482108691</v>
      </c>
    </row>
    <row r="21" spans="17:31" x14ac:dyDescent="0.2">
      <c r="Q21">
        <v>27955</v>
      </c>
      <c r="R21" t="s">
        <v>114</v>
      </c>
      <c r="S21">
        <v>1</v>
      </c>
      <c r="T21" t="s">
        <v>20</v>
      </c>
      <c r="U21">
        <v>5.7249999999999996</v>
      </c>
      <c r="V21">
        <v>14783</v>
      </c>
      <c r="W21" s="10">
        <f t="shared" si="0"/>
        <v>1.180003997578624E-2</v>
      </c>
      <c r="X21" s="7"/>
      <c r="Y21">
        <v>27955</v>
      </c>
      <c r="Z21" t="s">
        <v>114</v>
      </c>
      <c r="AA21">
        <v>2</v>
      </c>
      <c r="AB21" t="s">
        <v>21</v>
      </c>
      <c r="AC21">
        <v>5.7249999999999996</v>
      </c>
      <c r="AD21">
        <v>498462</v>
      </c>
      <c r="AE21" s="10">
        <f t="shared" si="1"/>
        <v>0.15185030408003633</v>
      </c>
    </row>
    <row r="22" spans="17:31" x14ac:dyDescent="0.2">
      <c r="Q22">
        <v>27956</v>
      </c>
      <c r="R22" t="s">
        <v>115</v>
      </c>
      <c r="S22">
        <v>1</v>
      </c>
      <c r="T22" t="s">
        <v>20</v>
      </c>
      <c r="U22">
        <v>5.742</v>
      </c>
      <c r="V22">
        <v>18160</v>
      </c>
      <c r="W22" s="10">
        <f t="shared" si="0"/>
        <v>1.4495618342709743E-2</v>
      </c>
      <c r="X22" s="7"/>
      <c r="Y22">
        <v>27956</v>
      </c>
      <c r="Z22" t="s">
        <v>115</v>
      </c>
      <c r="AA22">
        <v>2</v>
      </c>
      <c r="AB22" t="s">
        <v>21</v>
      </c>
      <c r="AC22">
        <v>5.742</v>
      </c>
      <c r="AD22">
        <v>669416</v>
      </c>
      <c r="AE22" s="10">
        <f t="shared" si="1"/>
        <v>0.20392933294020726</v>
      </c>
    </row>
    <row r="23" spans="17:31" x14ac:dyDescent="0.2">
      <c r="Q23">
        <v>27957</v>
      </c>
      <c r="R23" t="s">
        <v>116</v>
      </c>
      <c r="S23">
        <v>1</v>
      </c>
      <c r="T23" t="s">
        <v>20</v>
      </c>
      <c r="U23">
        <v>5.7069999999999999</v>
      </c>
      <c r="V23">
        <v>49928</v>
      </c>
      <c r="W23" s="10">
        <f t="shared" si="0"/>
        <v>3.9853371840022689E-2</v>
      </c>
      <c r="X23" s="7"/>
      <c r="Y23">
        <v>27957</v>
      </c>
      <c r="Z23" t="s">
        <v>116</v>
      </c>
      <c r="AA23">
        <v>2</v>
      </c>
      <c r="AB23" t="s">
        <v>21</v>
      </c>
      <c r="AC23">
        <v>5.7069999999999999</v>
      </c>
      <c r="AD23">
        <v>2298090</v>
      </c>
      <c r="AE23" s="10">
        <f t="shared" si="1"/>
        <v>0.70008479142500468</v>
      </c>
    </row>
    <row r="24" spans="17:31" x14ac:dyDescent="0.2">
      <c r="Q24">
        <v>27958</v>
      </c>
      <c r="R24" t="s">
        <v>117</v>
      </c>
      <c r="S24">
        <v>1</v>
      </c>
      <c r="T24" t="s">
        <v>20</v>
      </c>
      <c r="U24">
        <v>5.9</v>
      </c>
      <c r="V24">
        <v>16195</v>
      </c>
      <c r="W24" s="10">
        <f t="shared" si="0"/>
        <v>1.2927122194944069E-2</v>
      </c>
      <c r="X24" s="7"/>
      <c r="Y24">
        <v>27958</v>
      </c>
      <c r="Z24" t="s">
        <v>117</v>
      </c>
      <c r="AA24">
        <v>2</v>
      </c>
      <c r="AB24" t="s">
        <v>21</v>
      </c>
      <c r="AC24">
        <v>5.9</v>
      </c>
      <c r="AD24">
        <v>630417</v>
      </c>
      <c r="AE24" s="10">
        <f t="shared" si="1"/>
        <v>0.19204876830575701</v>
      </c>
    </row>
    <row r="25" spans="17:31" x14ac:dyDescent="0.2">
      <c r="Q25">
        <v>27959</v>
      </c>
      <c r="R25" t="s">
        <v>118</v>
      </c>
      <c r="S25">
        <v>1</v>
      </c>
      <c r="T25" t="s">
        <v>20</v>
      </c>
      <c r="U25">
        <v>5.7190000000000003</v>
      </c>
      <c r="V25">
        <v>39001</v>
      </c>
      <c r="W25" s="10">
        <f t="shared" si="0"/>
        <v>3.1131256111454994E-2</v>
      </c>
      <c r="X25" s="7"/>
      <c r="Y25">
        <v>27959</v>
      </c>
      <c r="Z25" t="s">
        <v>118</v>
      </c>
      <c r="AA25">
        <v>2</v>
      </c>
      <c r="AB25" t="s">
        <v>21</v>
      </c>
      <c r="AC25">
        <v>5.7190000000000003</v>
      </c>
      <c r="AD25">
        <v>1953507</v>
      </c>
      <c r="AE25" s="10">
        <f t="shared" si="1"/>
        <v>0.59511182792766448</v>
      </c>
    </row>
    <row r="26" spans="17:31" x14ac:dyDescent="0.2">
      <c r="Q26">
        <v>27961</v>
      </c>
      <c r="R26" t="s">
        <v>119</v>
      </c>
      <c r="S26">
        <v>1</v>
      </c>
      <c r="T26" t="s">
        <v>20</v>
      </c>
      <c r="U26">
        <v>5.8710000000000004</v>
      </c>
      <c r="V26">
        <v>88002</v>
      </c>
      <c r="W26" s="10">
        <f t="shared" ref="W26:W69" si="2">IF(NOT(ISBLANK(V26)),V26*$G$2,"")</f>
        <v>7.0244680913829446E-2</v>
      </c>
      <c r="X26" s="7"/>
      <c r="Y26">
        <v>27961</v>
      </c>
      <c r="Z26" t="s">
        <v>119</v>
      </c>
      <c r="AA26">
        <v>2</v>
      </c>
      <c r="AB26" t="s">
        <v>21</v>
      </c>
      <c r="AC26">
        <v>5.8710000000000004</v>
      </c>
      <c r="AD26">
        <v>3856988</v>
      </c>
      <c r="AE26" s="10">
        <f t="shared" ref="AE26:AE69" si="3">IF(NOT(ISBLANK(AD26)),AD26*$O$2,"")</f>
        <v>1.1749838515936042</v>
      </c>
    </row>
    <row r="27" spans="17:31" x14ac:dyDescent="0.2">
      <c r="Q27">
        <v>27962</v>
      </c>
      <c r="R27" t="s">
        <v>120</v>
      </c>
      <c r="S27">
        <v>1</v>
      </c>
      <c r="T27" t="s">
        <v>20</v>
      </c>
      <c r="U27">
        <v>5.7469999999999999</v>
      </c>
      <c r="V27">
        <v>20081</v>
      </c>
      <c r="W27" s="10">
        <f t="shared" si="2"/>
        <v>1.6028992948235371E-2</v>
      </c>
      <c r="X27" s="7"/>
      <c r="Y27">
        <v>27962</v>
      </c>
      <c r="Z27" t="s">
        <v>120</v>
      </c>
      <c r="AA27">
        <v>2</v>
      </c>
      <c r="AB27" t="s">
        <v>21</v>
      </c>
      <c r="AC27">
        <v>5.7469999999999999</v>
      </c>
      <c r="AD27">
        <v>773904</v>
      </c>
      <c r="AE27" s="10">
        <f t="shared" si="3"/>
        <v>0.23576031418394267</v>
      </c>
    </row>
    <row r="28" spans="17:31" x14ac:dyDescent="0.2">
      <c r="Q28">
        <v>27963</v>
      </c>
      <c r="R28" t="s">
        <v>121</v>
      </c>
      <c r="S28">
        <v>1</v>
      </c>
      <c r="T28" t="s">
        <v>20</v>
      </c>
      <c r="U28">
        <v>5.8460000000000001</v>
      </c>
      <c r="V28">
        <v>88954</v>
      </c>
      <c r="W28" s="10">
        <f t="shared" si="2"/>
        <v>7.1004583373204977E-2</v>
      </c>
      <c r="X28" s="7"/>
      <c r="Y28">
        <v>27963</v>
      </c>
      <c r="Z28" t="s">
        <v>121</v>
      </c>
      <c r="AA28">
        <v>2</v>
      </c>
      <c r="AB28" t="s">
        <v>21</v>
      </c>
      <c r="AC28">
        <v>5.8460000000000001</v>
      </c>
      <c r="AD28">
        <v>3871741</v>
      </c>
      <c r="AE28" s="10">
        <f t="shared" si="3"/>
        <v>1.179478171192877</v>
      </c>
    </row>
    <row r="29" spans="17:31" x14ac:dyDescent="0.2">
      <c r="Q29">
        <v>27964</v>
      </c>
      <c r="R29" t="s">
        <v>122</v>
      </c>
      <c r="S29">
        <v>1</v>
      </c>
      <c r="T29" t="s">
        <v>20</v>
      </c>
      <c r="U29">
        <v>5.8170000000000002</v>
      </c>
      <c r="V29">
        <v>28449</v>
      </c>
      <c r="W29" s="10">
        <f t="shared" si="2"/>
        <v>2.2708471708796779E-2</v>
      </c>
      <c r="X29" s="7"/>
      <c r="Y29">
        <v>27964</v>
      </c>
      <c r="Z29" t="s">
        <v>122</v>
      </c>
      <c r="AA29">
        <v>2</v>
      </c>
      <c r="AB29" t="s">
        <v>21</v>
      </c>
      <c r="AC29">
        <v>5.8170000000000002</v>
      </c>
      <c r="AD29">
        <v>1154040</v>
      </c>
      <c r="AE29" s="10">
        <f t="shared" si="3"/>
        <v>0.35156406089235509</v>
      </c>
    </row>
    <row r="30" spans="17:31" x14ac:dyDescent="0.2">
      <c r="Q30">
        <v>27965</v>
      </c>
      <c r="R30" t="s">
        <v>123</v>
      </c>
      <c r="S30">
        <v>1</v>
      </c>
      <c r="T30" t="s">
        <v>20</v>
      </c>
      <c r="U30">
        <v>5.8470000000000004</v>
      </c>
      <c r="V30">
        <v>32172</v>
      </c>
      <c r="W30" s="10">
        <f t="shared" si="2"/>
        <v>2.5680233112426093E-2</v>
      </c>
      <c r="X30" s="7"/>
      <c r="Y30">
        <v>27965</v>
      </c>
      <c r="Z30" t="s">
        <v>123</v>
      </c>
      <c r="AA30">
        <v>2</v>
      </c>
      <c r="AB30" t="s">
        <v>21</v>
      </c>
      <c r="AC30">
        <v>5.8470000000000004</v>
      </c>
      <c r="AD30">
        <v>1488502</v>
      </c>
      <c r="AE30" s="10">
        <f t="shared" si="3"/>
        <v>0.45345378649474227</v>
      </c>
    </row>
    <row r="31" spans="17:31" x14ac:dyDescent="0.2">
      <c r="Q31">
        <v>27967</v>
      </c>
      <c r="R31" t="s">
        <v>102</v>
      </c>
      <c r="S31">
        <v>1</v>
      </c>
      <c r="T31" t="s">
        <v>20</v>
      </c>
      <c r="V31">
        <v>23876</v>
      </c>
      <c r="W31" s="10">
        <f t="shared" si="2"/>
        <v>1.9058225966439309E-2</v>
      </c>
      <c r="X31" s="7"/>
      <c r="Y31">
        <v>27967</v>
      </c>
      <c r="Z31" t="s">
        <v>102</v>
      </c>
      <c r="AA31">
        <v>2</v>
      </c>
      <c r="AB31" t="s">
        <v>21</v>
      </c>
      <c r="AD31">
        <v>994753</v>
      </c>
      <c r="AE31" s="10">
        <f t="shared" si="3"/>
        <v>0.30303923977059111</v>
      </c>
    </row>
    <row r="32" spans="17:31" x14ac:dyDescent="0.2">
      <c r="Q32">
        <v>27971</v>
      </c>
      <c r="R32" t="s">
        <v>124</v>
      </c>
      <c r="S32">
        <v>1</v>
      </c>
      <c r="T32" t="s">
        <v>20</v>
      </c>
      <c r="U32">
        <v>0.248</v>
      </c>
      <c r="V32">
        <v>7974</v>
      </c>
      <c r="W32" s="10">
        <f t="shared" si="2"/>
        <v>6.3649813141391787E-3</v>
      </c>
      <c r="X32" s="7"/>
      <c r="Y32">
        <v>27971</v>
      </c>
      <c r="Z32" t="s">
        <v>124</v>
      </c>
      <c r="AA32">
        <v>2</v>
      </c>
      <c r="AB32" t="s">
        <v>21</v>
      </c>
      <c r="AC32">
        <v>0.248</v>
      </c>
      <c r="AD32">
        <v>323832</v>
      </c>
      <c r="AE32" s="10">
        <f t="shared" si="3"/>
        <v>9.8651427131549285E-2</v>
      </c>
    </row>
    <row r="33" spans="17:31" x14ac:dyDescent="0.2">
      <c r="Q33">
        <v>27972</v>
      </c>
      <c r="R33" t="s">
        <v>125</v>
      </c>
      <c r="S33">
        <v>1</v>
      </c>
      <c r="T33" t="s">
        <v>20</v>
      </c>
      <c r="U33">
        <v>0.245</v>
      </c>
      <c r="V33">
        <v>7277</v>
      </c>
      <c r="W33" s="10">
        <f t="shared" si="2"/>
        <v>5.8086241563820923E-3</v>
      </c>
      <c r="X33" s="7"/>
      <c r="Y33">
        <v>27972</v>
      </c>
      <c r="Z33" t="s">
        <v>125</v>
      </c>
      <c r="AA33">
        <v>2</v>
      </c>
      <c r="AB33" t="s">
        <v>21</v>
      </c>
      <c r="AC33">
        <v>0.245</v>
      </c>
      <c r="AD33">
        <v>322066</v>
      </c>
      <c r="AE33" s="10">
        <f t="shared" si="3"/>
        <v>9.8113436999893625E-2</v>
      </c>
    </row>
    <row r="34" spans="17:31" x14ac:dyDescent="0.2">
      <c r="Q34">
        <v>27973</v>
      </c>
      <c r="R34" t="s">
        <v>126</v>
      </c>
      <c r="S34">
        <v>1</v>
      </c>
      <c r="T34" t="s">
        <v>20</v>
      </c>
      <c r="U34">
        <v>0.245</v>
      </c>
      <c r="V34">
        <v>9653</v>
      </c>
      <c r="W34" s="10">
        <f t="shared" si="2"/>
        <v>7.7051874373445569E-3</v>
      </c>
      <c r="X34" s="7"/>
      <c r="Y34">
        <v>27973</v>
      </c>
      <c r="Z34" t="s">
        <v>126</v>
      </c>
      <c r="AA34">
        <v>2</v>
      </c>
      <c r="AB34" t="s">
        <v>21</v>
      </c>
      <c r="AC34">
        <v>0.245</v>
      </c>
      <c r="AD34">
        <v>306405</v>
      </c>
      <c r="AE34" s="10">
        <f t="shared" si="3"/>
        <v>9.3342506392951774E-2</v>
      </c>
    </row>
    <row r="35" spans="17:31" x14ac:dyDescent="0.2">
      <c r="Q35">
        <v>27974</v>
      </c>
      <c r="R35" t="s">
        <v>127</v>
      </c>
      <c r="S35">
        <v>1</v>
      </c>
      <c r="T35" t="s">
        <v>20</v>
      </c>
      <c r="U35">
        <v>0.27500000000000002</v>
      </c>
      <c r="V35">
        <v>10457</v>
      </c>
      <c r="W35" s="10">
        <f t="shared" si="2"/>
        <v>8.346953800094481E-3</v>
      </c>
      <c r="X35" s="7"/>
      <c r="Y35">
        <v>27974</v>
      </c>
      <c r="Z35" t="s">
        <v>127</v>
      </c>
      <c r="AA35">
        <v>2</v>
      </c>
      <c r="AB35" t="s">
        <v>21</v>
      </c>
      <c r="AC35">
        <v>0.27500000000000002</v>
      </c>
      <c r="AD35">
        <v>350501</v>
      </c>
      <c r="AE35" s="10">
        <f t="shared" si="3"/>
        <v>0.10677580924996652</v>
      </c>
    </row>
    <row r="36" spans="17:31" x14ac:dyDescent="0.2">
      <c r="Q36">
        <v>27975</v>
      </c>
      <c r="R36" t="s">
        <v>128</v>
      </c>
      <c r="S36">
        <v>1</v>
      </c>
      <c r="T36" t="s">
        <v>20</v>
      </c>
      <c r="U36">
        <v>0.24</v>
      </c>
      <c r="V36">
        <v>11268</v>
      </c>
      <c r="W36" s="10">
        <f t="shared" si="2"/>
        <v>8.9943076809280501E-3</v>
      </c>
      <c r="X36" s="7"/>
      <c r="Y36">
        <v>27975</v>
      </c>
      <c r="Z36" t="s">
        <v>128</v>
      </c>
      <c r="AA36">
        <v>2</v>
      </c>
      <c r="AB36" t="s">
        <v>21</v>
      </c>
      <c r="AC36">
        <v>0.24</v>
      </c>
      <c r="AD36">
        <v>330824</v>
      </c>
      <c r="AE36" s="10">
        <f t="shared" si="3"/>
        <v>0.10078145374566955</v>
      </c>
    </row>
    <row r="37" spans="17:31" x14ac:dyDescent="0.2">
      <c r="Q37">
        <v>27977</v>
      </c>
      <c r="R37" t="s">
        <v>129</v>
      </c>
      <c r="S37">
        <v>1</v>
      </c>
      <c r="T37" t="s">
        <v>20</v>
      </c>
      <c r="U37">
        <v>0.23899999999999999</v>
      </c>
      <c r="V37">
        <v>9849</v>
      </c>
      <c r="W37" s="10">
        <f t="shared" si="2"/>
        <v>7.861637943686578E-3</v>
      </c>
      <c r="X37" s="7"/>
      <c r="Y37">
        <v>27977</v>
      </c>
      <c r="Z37" t="s">
        <v>129</v>
      </c>
      <c r="AA37">
        <v>2</v>
      </c>
      <c r="AB37" t="s">
        <v>21</v>
      </c>
      <c r="AC37">
        <v>0.23899999999999999</v>
      </c>
      <c r="AD37">
        <v>312144</v>
      </c>
      <c r="AE37" s="10">
        <f t="shared" si="3"/>
        <v>9.5090822001995853E-2</v>
      </c>
    </row>
    <row r="38" spans="17:31" x14ac:dyDescent="0.2">
      <c r="Q38">
        <v>27978</v>
      </c>
      <c r="R38" t="s">
        <v>130</v>
      </c>
      <c r="S38">
        <v>1</v>
      </c>
      <c r="T38" t="s">
        <v>20</v>
      </c>
      <c r="U38">
        <v>0.26</v>
      </c>
      <c r="V38">
        <v>14043</v>
      </c>
      <c r="W38" s="10">
        <f t="shared" si="2"/>
        <v>1.1209359492658201E-2</v>
      </c>
      <c r="X38" s="7"/>
      <c r="Y38">
        <v>27978</v>
      </c>
      <c r="Z38" t="s">
        <v>130</v>
      </c>
      <c r="AA38">
        <v>2</v>
      </c>
      <c r="AB38" t="s">
        <v>21</v>
      </c>
      <c r="AC38">
        <v>0.26</v>
      </c>
      <c r="AD38">
        <v>363272</v>
      </c>
      <c r="AE38" s="10">
        <f t="shared" si="3"/>
        <v>0.11066633698007662</v>
      </c>
    </row>
    <row r="39" spans="17:31" x14ac:dyDescent="0.2">
      <c r="Q39">
        <v>27979</v>
      </c>
      <c r="R39" t="s">
        <v>131</v>
      </c>
      <c r="S39">
        <v>1</v>
      </c>
      <c r="T39" t="s">
        <v>20</v>
      </c>
      <c r="U39">
        <v>0.27500000000000002</v>
      </c>
      <c r="V39">
        <v>8512</v>
      </c>
      <c r="W39" s="10">
        <f t="shared" si="2"/>
        <v>6.794421989710646E-3</v>
      </c>
      <c r="Y39">
        <v>27979</v>
      </c>
      <c r="Z39" t="s">
        <v>131</v>
      </c>
      <c r="AA39">
        <v>2</v>
      </c>
      <c r="AB39" t="s">
        <v>21</v>
      </c>
      <c r="AC39">
        <v>0.27500000000000002</v>
      </c>
      <c r="AD39">
        <v>357967</v>
      </c>
      <c r="AE39" s="10">
        <f t="shared" si="3"/>
        <v>0.10905023412139413</v>
      </c>
    </row>
    <row r="40" spans="17:31" x14ac:dyDescent="0.2">
      <c r="Q40">
        <v>27980</v>
      </c>
      <c r="R40" t="s">
        <v>132</v>
      </c>
      <c r="S40">
        <v>1</v>
      </c>
      <c r="T40" t="s">
        <v>20</v>
      </c>
      <c r="U40">
        <v>0.27700000000000002</v>
      </c>
      <c r="V40">
        <v>10224</v>
      </c>
      <c r="W40" s="10">
        <f t="shared" si="2"/>
        <v>8.1609692695960578E-3</v>
      </c>
      <c r="Y40">
        <v>27980</v>
      </c>
      <c r="Z40" t="s">
        <v>132</v>
      </c>
      <c r="AA40">
        <v>2</v>
      </c>
      <c r="AB40" t="s">
        <v>21</v>
      </c>
      <c r="AC40">
        <v>0.27700000000000002</v>
      </c>
      <c r="AD40">
        <v>347345</v>
      </c>
      <c r="AE40" s="10">
        <f t="shared" si="3"/>
        <v>0.10581437275194541</v>
      </c>
    </row>
    <row r="41" spans="17:31" x14ac:dyDescent="0.2">
      <c r="Q41">
        <v>27981</v>
      </c>
      <c r="R41" t="s">
        <v>133</v>
      </c>
      <c r="S41">
        <v>1</v>
      </c>
      <c r="T41" t="s">
        <v>20</v>
      </c>
      <c r="U41">
        <v>0.26800000000000002</v>
      </c>
      <c r="V41">
        <v>9044</v>
      </c>
      <c r="W41" s="10">
        <f t="shared" si="2"/>
        <v>7.2190733640675612E-3</v>
      </c>
      <c r="Y41">
        <v>27981</v>
      </c>
      <c r="Z41" t="s">
        <v>133</v>
      </c>
      <c r="AA41">
        <v>2</v>
      </c>
      <c r="AB41" t="s">
        <v>21</v>
      </c>
      <c r="AC41">
        <v>0.26800000000000002</v>
      </c>
      <c r="AD41">
        <v>394944</v>
      </c>
      <c r="AE41" s="10">
        <f t="shared" si="3"/>
        <v>0.1203148213797358</v>
      </c>
    </row>
    <row r="42" spans="17:31" x14ac:dyDescent="0.2">
      <c r="Q42">
        <v>27982</v>
      </c>
      <c r="R42" t="s">
        <v>134</v>
      </c>
      <c r="S42">
        <v>1</v>
      </c>
      <c r="T42" t="s">
        <v>20</v>
      </c>
      <c r="U42">
        <v>0.25600000000000001</v>
      </c>
      <c r="V42">
        <v>2882</v>
      </c>
      <c r="W42" s="10">
        <f t="shared" si="2"/>
        <v>2.3004610167229891E-3</v>
      </c>
      <c r="Y42">
        <v>27982</v>
      </c>
      <c r="Z42" t="s">
        <v>134</v>
      </c>
      <c r="AA42">
        <v>2</v>
      </c>
      <c r="AB42" t="s">
        <v>21</v>
      </c>
      <c r="AC42">
        <v>0.25600000000000001</v>
      </c>
      <c r="AD42">
        <v>301053</v>
      </c>
      <c r="AE42" s="10">
        <f t="shared" si="3"/>
        <v>9.1712085563608006E-2</v>
      </c>
    </row>
    <row r="43" spans="17:31" x14ac:dyDescent="0.2">
      <c r="Q43">
        <v>27983</v>
      </c>
      <c r="R43" t="s">
        <v>135</v>
      </c>
      <c r="S43">
        <v>1</v>
      </c>
      <c r="T43" t="s">
        <v>20</v>
      </c>
      <c r="U43">
        <v>0.24</v>
      </c>
      <c r="V43">
        <v>7978</v>
      </c>
      <c r="W43" s="10">
        <f t="shared" si="2"/>
        <v>6.3681741816155471E-3</v>
      </c>
      <c r="Y43">
        <v>27983</v>
      </c>
      <c r="Z43" t="s">
        <v>135</v>
      </c>
      <c r="AA43">
        <v>2</v>
      </c>
      <c r="AB43" t="s">
        <v>21</v>
      </c>
      <c r="AC43">
        <v>0.24</v>
      </c>
      <c r="AD43">
        <v>345265</v>
      </c>
      <c r="AE43" s="10">
        <f t="shared" si="3"/>
        <v>0.10518072639076548</v>
      </c>
    </row>
    <row r="44" spans="17:31" x14ac:dyDescent="0.2">
      <c r="Q44">
        <v>27984</v>
      </c>
      <c r="R44" t="s">
        <v>102</v>
      </c>
      <c r="S44">
        <v>1</v>
      </c>
      <c r="T44" t="s">
        <v>20</v>
      </c>
      <c r="V44">
        <v>22959</v>
      </c>
      <c r="W44" s="10">
        <f t="shared" si="2"/>
        <v>1.8326261097481991E-2</v>
      </c>
      <c r="Y44">
        <v>27984</v>
      </c>
      <c r="Z44" t="s">
        <v>102</v>
      </c>
      <c r="AA44">
        <v>2</v>
      </c>
      <c r="AB44" t="s">
        <v>21</v>
      </c>
      <c r="AD44">
        <v>963191</v>
      </c>
      <c r="AE44" s="10">
        <f t="shared" si="3"/>
        <v>0.29342426551503276</v>
      </c>
    </row>
    <row r="45" spans="17:31" x14ac:dyDescent="0.2">
      <c r="W45" s="10" t="str">
        <f t="shared" si="2"/>
        <v/>
      </c>
      <c r="AE45" s="10" t="str">
        <f t="shared" si="3"/>
        <v/>
      </c>
    </row>
    <row r="46" spans="17:31" x14ac:dyDescent="0.2">
      <c r="W46" s="10" t="str">
        <f t="shared" si="2"/>
        <v/>
      </c>
      <c r="AE46" s="10" t="str">
        <f t="shared" si="3"/>
        <v/>
      </c>
    </row>
    <row r="47" spans="17:31" x14ac:dyDescent="0.2">
      <c r="W47" s="10" t="str">
        <f t="shared" si="2"/>
        <v/>
      </c>
      <c r="AE47" s="10" t="str">
        <f t="shared" si="3"/>
        <v/>
      </c>
    </row>
    <row r="48" spans="17:31" x14ac:dyDescent="0.2">
      <c r="W48" s="10" t="str">
        <f t="shared" si="2"/>
        <v/>
      </c>
      <c r="AE48" s="10" t="str">
        <f t="shared" si="3"/>
        <v/>
      </c>
    </row>
    <row r="49" spans="23:31" x14ac:dyDescent="0.2">
      <c r="W49" s="10" t="str">
        <f t="shared" si="2"/>
        <v/>
      </c>
      <c r="AE49" s="10" t="str">
        <f t="shared" si="3"/>
        <v/>
      </c>
    </row>
    <row r="50" spans="23:31" x14ac:dyDescent="0.2">
      <c r="W50" s="10" t="str">
        <f t="shared" si="2"/>
        <v/>
      </c>
      <c r="AE50" s="10" t="str">
        <f t="shared" si="3"/>
        <v/>
      </c>
    </row>
    <row r="51" spans="23:31" x14ac:dyDescent="0.2">
      <c r="W51" s="10" t="str">
        <f t="shared" si="2"/>
        <v/>
      </c>
      <c r="AE51" s="10" t="str">
        <f t="shared" si="3"/>
        <v/>
      </c>
    </row>
    <row r="52" spans="23:31" x14ac:dyDescent="0.2">
      <c r="W52" s="10" t="str">
        <f t="shared" si="2"/>
        <v/>
      </c>
      <c r="AE52" s="10" t="str">
        <f t="shared" si="3"/>
        <v/>
      </c>
    </row>
    <row r="53" spans="23:31" x14ac:dyDescent="0.2">
      <c r="W53" s="10" t="str">
        <f t="shared" si="2"/>
        <v/>
      </c>
      <c r="AE53" s="10" t="str">
        <f t="shared" si="3"/>
        <v/>
      </c>
    </row>
    <row r="54" spans="23:31" x14ac:dyDescent="0.2">
      <c r="W54" s="10" t="str">
        <f t="shared" si="2"/>
        <v/>
      </c>
      <c r="AE54" s="10" t="str">
        <f t="shared" si="3"/>
        <v/>
      </c>
    </row>
    <row r="55" spans="23:31" x14ac:dyDescent="0.2">
      <c r="W55" s="10" t="str">
        <f t="shared" si="2"/>
        <v/>
      </c>
      <c r="AE55" s="10" t="str">
        <f t="shared" si="3"/>
        <v/>
      </c>
    </row>
    <row r="56" spans="23:31" x14ac:dyDescent="0.2">
      <c r="W56" s="10" t="str">
        <f t="shared" si="2"/>
        <v/>
      </c>
      <c r="AE56" s="10" t="str">
        <f t="shared" si="3"/>
        <v/>
      </c>
    </row>
    <row r="57" spans="23:31" x14ac:dyDescent="0.2">
      <c r="W57" s="10" t="str">
        <f t="shared" si="2"/>
        <v/>
      </c>
      <c r="AE57" s="10" t="str">
        <f t="shared" si="3"/>
        <v/>
      </c>
    </row>
    <row r="58" spans="23:31" x14ac:dyDescent="0.2">
      <c r="W58" s="10" t="str">
        <f t="shared" si="2"/>
        <v/>
      </c>
      <c r="AE58" s="10" t="str">
        <f t="shared" si="3"/>
        <v/>
      </c>
    </row>
    <row r="59" spans="23:31" x14ac:dyDescent="0.2">
      <c r="W59" s="10" t="str">
        <f t="shared" si="2"/>
        <v/>
      </c>
      <c r="AE59" s="10" t="str">
        <f t="shared" si="3"/>
        <v/>
      </c>
    </row>
    <row r="60" spans="23:31" x14ac:dyDescent="0.2">
      <c r="W60" s="10" t="str">
        <f t="shared" si="2"/>
        <v/>
      </c>
      <c r="AE60" s="10" t="str">
        <f t="shared" si="3"/>
        <v/>
      </c>
    </row>
    <row r="61" spans="23:31" x14ac:dyDescent="0.2">
      <c r="W61" s="10" t="str">
        <f t="shared" si="2"/>
        <v/>
      </c>
      <c r="AE61" s="10" t="str">
        <f t="shared" si="3"/>
        <v/>
      </c>
    </row>
    <row r="62" spans="23:31" x14ac:dyDescent="0.2">
      <c r="W62" s="10" t="str">
        <f t="shared" si="2"/>
        <v/>
      </c>
      <c r="AE62" s="10" t="str">
        <f t="shared" si="3"/>
        <v/>
      </c>
    </row>
    <row r="63" spans="23:31" x14ac:dyDescent="0.2">
      <c r="W63" s="10" t="str">
        <f t="shared" si="2"/>
        <v/>
      </c>
      <c r="AE63" s="10" t="str">
        <f t="shared" si="3"/>
        <v/>
      </c>
    </row>
    <row r="64" spans="23:31" x14ac:dyDescent="0.2">
      <c r="W64" s="10" t="str">
        <f t="shared" si="2"/>
        <v/>
      </c>
      <c r="AE64" s="10" t="str">
        <f t="shared" si="3"/>
        <v/>
      </c>
    </row>
    <row r="65" spans="23:31" x14ac:dyDescent="0.2">
      <c r="W65" s="10" t="str">
        <f t="shared" si="2"/>
        <v/>
      </c>
      <c r="AE65" s="10" t="str">
        <f t="shared" si="3"/>
        <v/>
      </c>
    </row>
    <row r="66" spans="23:31" x14ac:dyDescent="0.2">
      <c r="W66" s="10" t="str">
        <f t="shared" si="2"/>
        <v/>
      </c>
      <c r="AE66" s="10" t="str">
        <f t="shared" si="3"/>
        <v/>
      </c>
    </row>
    <row r="67" spans="23:31" x14ac:dyDescent="0.2">
      <c r="W67" s="10" t="str">
        <f t="shared" si="2"/>
        <v/>
      </c>
      <c r="AE67" s="10" t="str">
        <f t="shared" si="3"/>
        <v/>
      </c>
    </row>
    <row r="68" spans="23:31" x14ac:dyDescent="0.2">
      <c r="W68" s="10" t="str">
        <f t="shared" si="2"/>
        <v/>
      </c>
      <c r="AE68" s="10" t="str">
        <f t="shared" si="3"/>
        <v/>
      </c>
    </row>
    <row r="69" spans="23:31" x14ac:dyDescent="0.2">
      <c r="W69" s="10" t="str">
        <f t="shared" si="2"/>
        <v/>
      </c>
      <c r="AE69" s="10" t="str">
        <f t="shared" si="3"/>
        <v/>
      </c>
    </row>
    <row r="70" spans="23:31" x14ac:dyDescent="0.2">
      <c r="W70" s="10" t="str">
        <f t="shared" ref="W70:W133" si="4">IF(NOT(ISBLANK(V70)),V70*$G$2,"")</f>
        <v/>
      </c>
      <c r="AE70" s="10" t="str">
        <f t="shared" ref="AE70:AE133" si="5">IF(NOT(ISBLANK(AD70)),AD70*$O$2,"")</f>
        <v/>
      </c>
    </row>
    <row r="71" spans="23:31" x14ac:dyDescent="0.2">
      <c r="W71" s="10" t="str">
        <f t="shared" si="4"/>
        <v/>
      </c>
      <c r="AE71" s="10" t="str">
        <f t="shared" si="5"/>
        <v/>
      </c>
    </row>
    <row r="72" spans="23:31" x14ac:dyDescent="0.2">
      <c r="W72" s="10" t="str">
        <f t="shared" si="4"/>
        <v/>
      </c>
      <c r="AE72" s="10" t="str">
        <f t="shared" si="5"/>
        <v/>
      </c>
    </row>
    <row r="73" spans="23:31" x14ac:dyDescent="0.2">
      <c r="W73" s="10" t="str">
        <f t="shared" si="4"/>
        <v/>
      </c>
      <c r="AE73" s="10" t="str">
        <f t="shared" si="5"/>
        <v/>
      </c>
    </row>
    <row r="74" spans="23:31" x14ac:dyDescent="0.2">
      <c r="W74" s="10" t="str">
        <f t="shared" si="4"/>
        <v/>
      </c>
      <c r="AE74" s="10" t="str">
        <f t="shared" si="5"/>
        <v/>
      </c>
    </row>
    <row r="75" spans="23:31" x14ac:dyDescent="0.2">
      <c r="W75" s="10" t="str">
        <f t="shared" si="4"/>
        <v/>
      </c>
      <c r="AE75" s="10" t="str">
        <f t="shared" si="5"/>
        <v/>
      </c>
    </row>
    <row r="76" spans="23:31" x14ac:dyDescent="0.2">
      <c r="W76" s="10" t="str">
        <f t="shared" si="4"/>
        <v/>
      </c>
      <c r="AE76" s="10" t="str">
        <f t="shared" si="5"/>
        <v/>
      </c>
    </row>
    <row r="77" spans="23:31" x14ac:dyDescent="0.2">
      <c r="W77" s="10" t="str">
        <f t="shared" si="4"/>
        <v/>
      </c>
      <c r="AE77" s="10" t="str">
        <f t="shared" si="5"/>
        <v/>
      </c>
    </row>
    <row r="78" spans="23:31" x14ac:dyDescent="0.2">
      <c r="W78" s="10" t="str">
        <f t="shared" si="4"/>
        <v/>
      </c>
      <c r="AE78" s="10" t="str">
        <f t="shared" si="5"/>
        <v/>
      </c>
    </row>
    <row r="79" spans="23:31" x14ac:dyDescent="0.2">
      <c r="W79" s="10" t="str">
        <f t="shared" si="4"/>
        <v/>
      </c>
      <c r="AE79" s="10" t="str">
        <f t="shared" si="5"/>
        <v/>
      </c>
    </row>
    <row r="80" spans="23:31" x14ac:dyDescent="0.2">
      <c r="W80" s="10" t="str">
        <f t="shared" si="4"/>
        <v/>
      </c>
      <c r="AE80" s="10" t="str">
        <f t="shared" si="5"/>
        <v/>
      </c>
    </row>
    <row r="81" spans="23:31" x14ac:dyDescent="0.2">
      <c r="W81" s="10" t="str">
        <f t="shared" si="4"/>
        <v/>
      </c>
      <c r="AE81" s="10" t="str">
        <f t="shared" si="5"/>
        <v/>
      </c>
    </row>
    <row r="82" spans="23:31" x14ac:dyDescent="0.2">
      <c r="W82" s="10" t="str">
        <f t="shared" si="4"/>
        <v/>
      </c>
      <c r="AE82" s="10" t="str">
        <f t="shared" si="5"/>
        <v/>
      </c>
    </row>
    <row r="83" spans="23:31" x14ac:dyDescent="0.2">
      <c r="W83" s="10" t="str">
        <f t="shared" si="4"/>
        <v/>
      </c>
      <c r="AE83" s="10" t="str">
        <f t="shared" si="5"/>
        <v/>
      </c>
    </row>
    <row r="84" spans="23:31" x14ac:dyDescent="0.2">
      <c r="W84" s="10" t="str">
        <f t="shared" si="4"/>
        <v/>
      </c>
      <c r="AE84" s="10" t="str">
        <f t="shared" si="5"/>
        <v/>
      </c>
    </row>
    <row r="85" spans="23:31" x14ac:dyDescent="0.2">
      <c r="W85" s="10" t="str">
        <f t="shared" si="4"/>
        <v/>
      </c>
      <c r="AE85" s="10" t="str">
        <f t="shared" si="5"/>
        <v/>
      </c>
    </row>
    <row r="86" spans="23:31" x14ac:dyDescent="0.2">
      <c r="W86" s="10" t="str">
        <f t="shared" si="4"/>
        <v/>
      </c>
      <c r="AE86" s="10" t="str">
        <f t="shared" si="5"/>
        <v/>
      </c>
    </row>
    <row r="87" spans="23:31" x14ac:dyDescent="0.2">
      <c r="W87" s="10" t="str">
        <f t="shared" si="4"/>
        <v/>
      </c>
      <c r="AE87" s="10" t="str">
        <f t="shared" si="5"/>
        <v/>
      </c>
    </row>
    <row r="88" spans="23:31" x14ac:dyDescent="0.2">
      <c r="W88" s="10" t="str">
        <f t="shared" si="4"/>
        <v/>
      </c>
      <c r="AE88" s="10" t="str">
        <f t="shared" si="5"/>
        <v/>
      </c>
    </row>
    <row r="89" spans="23:31" x14ac:dyDescent="0.2">
      <c r="W89" s="10" t="str">
        <f t="shared" si="4"/>
        <v/>
      </c>
      <c r="AE89" s="10" t="str">
        <f t="shared" si="5"/>
        <v/>
      </c>
    </row>
    <row r="90" spans="23:31" x14ac:dyDescent="0.2">
      <c r="W90" s="10" t="str">
        <f t="shared" si="4"/>
        <v/>
      </c>
      <c r="AE90" s="10" t="str">
        <f t="shared" si="5"/>
        <v/>
      </c>
    </row>
    <row r="91" spans="23:31" x14ac:dyDescent="0.2">
      <c r="W91" s="10" t="str">
        <f t="shared" si="4"/>
        <v/>
      </c>
      <c r="AE91" s="10" t="str">
        <f t="shared" si="5"/>
        <v/>
      </c>
    </row>
    <row r="92" spans="23:31" x14ac:dyDescent="0.2">
      <c r="W92" s="10" t="str">
        <f t="shared" si="4"/>
        <v/>
      </c>
      <c r="AE92" s="10" t="str">
        <f t="shared" si="5"/>
        <v/>
      </c>
    </row>
    <row r="93" spans="23:31" x14ac:dyDescent="0.2">
      <c r="W93" s="10" t="str">
        <f t="shared" si="4"/>
        <v/>
      </c>
      <c r="AE93" s="10" t="str">
        <f t="shared" si="5"/>
        <v/>
      </c>
    </row>
    <row r="94" spans="23:31" x14ac:dyDescent="0.2">
      <c r="W94" s="10" t="str">
        <f t="shared" si="4"/>
        <v/>
      </c>
      <c r="AE94" s="10" t="str">
        <f t="shared" si="5"/>
        <v/>
      </c>
    </row>
    <row r="95" spans="23:31" x14ac:dyDescent="0.2">
      <c r="W95" s="10" t="str">
        <f t="shared" si="4"/>
        <v/>
      </c>
      <c r="AE95" s="10" t="str">
        <f t="shared" si="5"/>
        <v/>
      </c>
    </row>
    <row r="96" spans="23:31" x14ac:dyDescent="0.2">
      <c r="W96" s="10" t="str">
        <f t="shared" si="4"/>
        <v/>
      </c>
      <c r="AE96" s="10" t="str">
        <f t="shared" si="5"/>
        <v/>
      </c>
    </row>
    <row r="97" spans="23:31" x14ac:dyDescent="0.2">
      <c r="W97" s="10" t="str">
        <f t="shared" si="4"/>
        <v/>
      </c>
      <c r="AE97" s="10" t="str">
        <f t="shared" si="5"/>
        <v/>
      </c>
    </row>
    <row r="98" spans="23:31" x14ac:dyDescent="0.2">
      <c r="W98" s="10" t="str">
        <f t="shared" si="4"/>
        <v/>
      </c>
      <c r="AE98" s="10" t="str">
        <f t="shared" si="5"/>
        <v/>
      </c>
    </row>
    <row r="99" spans="23:31" x14ac:dyDescent="0.2">
      <c r="W99" s="10" t="str">
        <f t="shared" si="4"/>
        <v/>
      </c>
      <c r="AE99" s="10" t="str">
        <f t="shared" si="5"/>
        <v/>
      </c>
    </row>
    <row r="100" spans="23:31" x14ac:dyDescent="0.2">
      <c r="W100" s="10" t="str">
        <f t="shared" si="4"/>
        <v/>
      </c>
      <c r="AE100" s="10" t="str">
        <f t="shared" si="5"/>
        <v/>
      </c>
    </row>
    <row r="101" spans="23:31" x14ac:dyDescent="0.2">
      <c r="W101" s="10" t="str">
        <f t="shared" si="4"/>
        <v/>
      </c>
      <c r="AE101" s="10" t="str">
        <f t="shared" si="5"/>
        <v/>
      </c>
    </row>
    <row r="102" spans="23:31" x14ac:dyDescent="0.2">
      <c r="W102" s="10" t="str">
        <f t="shared" si="4"/>
        <v/>
      </c>
      <c r="AE102" s="10" t="str">
        <f t="shared" si="5"/>
        <v/>
      </c>
    </row>
    <row r="103" spans="23:31" x14ac:dyDescent="0.2">
      <c r="W103" s="10" t="str">
        <f t="shared" si="4"/>
        <v/>
      </c>
      <c r="AE103" s="10" t="str">
        <f t="shared" si="5"/>
        <v/>
      </c>
    </row>
    <row r="104" spans="23:31" x14ac:dyDescent="0.2">
      <c r="W104" s="10" t="str">
        <f t="shared" si="4"/>
        <v/>
      </c>
      <c r="AE104" s="10" t="str">
        <f t="shared" si="5"/>
        <v/>
      </c>
    </row>
    <row r="105" spans="23:31" x14ac:dyDescent="0.2">
      <c r="W105" s="10" t="str">
        <f t="shared" si="4"/>
        <v/>
      </c>
      <c r="AE105" s="10" t="str">
        <f t="shared" si="5"/>
        <v/>
      </c>
    </row>
    <row r="106" spans="23:31" x14ac:dyDescent="0.2">
      <c r="W106" s="10" t="str">
        <f t="shared" si="4"/>
        <v/>
      </c>
      <c r="AE106" s="10" t="str">
        <f t="shared" si="5"/>
        <v/>
      </c>
    </row>
    <row r="107" spans="23:31" x14ac:dyDescent="0.2">
      <c r="W107" s="10" t="str">
        <f t="shared" si="4"/>
        <v/>
      </c>
      <c r="AE107" s="10" t="str">
        <f t="shared" si="5"/>
        <v/>
      </c>
    </row>
    <row r="108" spans="23:31" x14ac:dyDescent="0.2">
      <c r="W108" s="10" t="str">
        <f t="shared" si="4"/>
        <v/>
      </c>
      <c r="AE108" s="10" t="str">
        <f t="shared" si="5"/>
        <v/>
      </c>
    </row>
    <row r="109" spans="23:31" x14ac:dyDescent="0.2">
      <c r="W109" s="10" t="str">
        <f t="shared" si="4"/>
        <v/>
      </c>
      <c r="AE109" s="10" t="str">
        <f t="shared" si="5"/>
        <v/>
      </c>
    </row>
    <row r="110" spans="23:31" x14ac:dyDescent="0.2">
      <c r="W110" s="10" t="str">
        <f t="shared" si="4"/>
        <v/>
      </c>
      <c r="AE110" s="10" t="str">
        <f t="shared" si="5"/>
        <v/>
      </c>
    </row>
    <row r="111" spans="23:31" x14ac:dyDescent="0.2">
      <c r="W111" s="10" t="str">
        <f t="shared" si="4"/>
        <v/>
      </c>
      <c r="AE111" s="10" t="str">
        <f t="shared" si="5"/>
        <v/>
      </c>
    </row>
    <row r="112" spans="23:31" x14ac:dyDescent="0.2">
      <c r="W112" s="10" t="str">
        <f t="shared" si="4"/>
        <v/>
      </c>
      <c r="AE112" s="10" t="str">
        <f t="shared" si="5"/>
        <v/>
      </c>
    </row>
    <row r="113" spans="23:31" x14ac:dyDescent="0.2">
      <c r="W113" s="10" t="str">
        <f t="shared" si="4"/>
        <v/>
      </c>
      <c r="AE113" s="10" t="str">
        <f t="shared" si="5"/>
        <v/>
      </c>
    </row>
    <row r="114" spans="23:31" x14ac:dyDescent="0.2">
      <c r="W114" s="10" t="str">
        <f t="shared" si="4"/>
        <v/>
      </c>
      <c r="AE114" s="10" t="str">
        <f t="shared" si="5"/>
        <v/>
      </c>
    </row>
    <row r="115" spans="23:31" x14ac:dyDescent="0.2">
      <c r="W115" s="10" t="str">
        <f t="shared" si="4"/>
        <v/>
      </c>
      <c r="AE115" s="10" t="str">
        <f t="shared" si="5"/>
        <v/>
      </c>
    </row>
    <row r="116" spans="23:31" x14ac:dyDescent="0.2">
      <c r="W116" s="10" t="str">
        <f t="shared" si="4"/>
        <v/>
      </c>
      <c r="AE116" s="10" t="str">
        <f t="shared" si="5"/>
        <v/>
      </c>
    </row>
    <row r="117" spans="23:31" x14ac:dyDescent="0.2">
      <c r="W117" s="10" t="str">
        <f t="shared" si="4"/>
        <v/>
      </c>
      <c r="AE117" s="10" t="str">
        <f t="shared" si="5"/>
        <v/>
      </c>
    </row>
    <row r="118" spans="23:31" x14ac:dyDescent="0.2">
      <c r="W118" s="10" t="str">
        <f t="shared" si="4"/>
        <v/>
      </c>
      <c r="AE118" s="10" t="str">
        <f t="shared" si="5"/>
        <v/>
      </c>
    </row>
    <row r="119" spans="23:31" x14ac:dyDescent="0.2">
      <c r="W119" s="10" t="str">
        <f t="shared" si="4"/>
        <v/>
      </c>
      <c r="AE119" s="10" t="str">
        <f t="shared" si="5"/>
        <v/>
      </c>
    </row>
    <row r="120" spans="23:31" x14ac:dyDescent="0.2">
      <c r="W120" s="10" t="str">
        <f t="shared" si="4"/>
        <v/>
      </c>
      <c r="AE120" s="10" t="str">
        <f t="shared" si="5"/>
        <v/>
      </c>
    </row>
    <row r="121" spans="23:31" x14ac:dyDescent="0.2">
      <c r="W121" s="10" t="str">
        <f t="shared" si="4"/>
        <v/>
      </c>
      <c r="AE121" s="10" t="str">
        <f t="shared" si="5"/>
        <v/>
      </c>
    </row>
    <row r="122" spans="23:31" x14ac:dyDescent="0.2">
      <c r="W122" s="10" t="str">
        <f t="shared" si="4"/>
        <v/>
      </c>
      <c r="AE122" s="10" t="str">
        <f t="shared" si="5"/>
        <v/>
      </c>
    </row>
    <row r="123" spans="23:31" x14ac:dyDescent="0.2">
      <c r="W123" s="10" t="str">
        <f t="shared" si="4"/>
        <v/>
      </c>
      <c r="AE123" s="10" t="str">
        <f t="shared" si="5"/>
        <v/>
      </c>
    </row>
    <row r="124" spans="23:31" x14ac:dyDescent="0.2">
      <c r="W124" s="10" t="str">
        <f t="shared" si="4"/>
        <v/>
      </c>
      <c r="AE124" s="10" t="str">
        <f t="shared" si="5"/>
        <v/>
      </c>
    </row>
    <row r="125" spans="23:31" x14ac:dyDescent="0.2">
      <c r="W125" s="10" t="str">
        <f t="shared" si="4"/>
        <v/>
      </c>
      <c r="AE125" s="10" t="str">
        <f t="shared" si="5"/>
        <v/>
      </c>
    </row>
    <row r="126" spans="23:31" x14ac:dyDescent="0.2">
      <c r="W126" s="10" t="str">
        <f t="shared" si="4"/>
        <v/>
      </c>
      <c r="AE126" s="10" t="str">
        <f t="shared" si="5"/>
        <v/>
      </c>
    </row>
    <row r="127" spans="23:31" x14ac:dyDescent="0.2">
      <c r="W127" s="10" t="str">
        <f t="shared" si="4"/>
        <v/>
      </c>
      <c r="AE127" s="10" t="str">
        <f t="shared" si="5"/>
        <v/>
      </c>
    </row>
    <row r="128" spans="23:31" x14ac:dyDescent="0.2">
      <c r="W128" s="10" t="str">
        <f t="shared" si="4"/>
        <v/>
      </c>
      <c r="AE128" s="10" t="str">
        <f t="shared" si="5"/>
        <v/>
      </c>
    </row>
    <row r="129" spans="23:31" x14ac:dyDescent="0.2">
      <c r="W129" s="10" t="str">
        <f t="shared" si="4"/>
        <v/>
      </c>
      <c r="AE129" s="10" t="str">
        <f t="shared" si="5"/>
        <v/>
      </c>
    </row>
    <row r="130" spans="23:31" x14ac:dyDescent="0.2">
      <c r="W130" s="10" t="str">
        <f t="shared" si="4"/>
        <v/>
      </c>
      <c r="AE130" s="10" t="str">
        <f t="shared" si="5"/>
        <v/>
      </c>
    </row>
    <row r="131" spans="23:31" x14ac:dyDescent="0.2">
      <c r="W131" s="10" t="str">
        <f t="shared" si="4"/>
        <v/>
      </c>
      <c r="AE131" s="10" t="str">
        <f t="shared" si="5"/>
        <v/>
      </c>
    </row>
    <row r="132" spans="23:31" x14ac:dyDescent="0.2">
      <c r="W132" s="10" t="str">
        <f t="shared" si="4"/>
        <v/>
      </c>
      <c r="AE132" s="10" t="str">
        <f t="shared" si="5"/>
        <v/>
      </c>
    </row>
    <row r="133" spans="23:31" x14ac:dyDescent="0.2">
      <c r="W133" s="10" t="str">
        <f t="shared" si="4"/>
        <v/>
      </c>
      <c r="AE133" s="10" t="str">
        <f t="shared" si="5"/>
        <v/>
      </c>
    </row>
    <row r="134" spans="23:31" x14ac:dyDescent="0.2">
      <c r="W134" s="10" t="str">
        <f t="shared" ref="W134:W140" si="6">IF(NOT(ISBLANK(V134)),V134*$G$2,"")</f>
        <v/>
      </c>
      <c r="AE134" s="10" t="str">
        <f t="shared" ref="AE134:AE140" si="7">IF(NOT(ISBLANK(AD134)),AD134*$O$2,"")</f>
        <v/>
      </c>
    </row>
    <row r="135" spans="23:31" x14ac:dyDescent="0.2">
      <c r="W135" s="10" t="str">
        <f t="shared" si="6"/>
        <v/>
      </c>
      <c r="AE135" s="10" t="str">
        <f t="shared" si="7"/>
        <v/>
      </c>
    </row>
    <row r="136" spans="23:31" x14ac:dyDescent="0.2">
      <c r="W136" s="10" t="str">
        <f t="shared" si="6"/>
        <v/>
      </c>
      <c r="AE136" s="10" t="str">
        <f t="shared" si="7"/>
        <v/>
      </c>
    </row>
    <row r="137" spans="23:31" x14ac:dyDescent="0.2">
      <c r="W137" s="10" t="str">
        <f t="shared" si="6"/>
        <v/>
      </c>
      <c r="AE137" s="10" t="str">
        <f t="shared" si="7"/>
        <v/>
      </c>
    </row>
    <row r="138" spans="23:31" x14ac:dyDescent="0.2">
      <c r="W138" s="10" t="str">
        <f t="shared" si="6"/>
        <v/>
      </c>
      <c r="AE138" s="10" t="str">
        <f t="shared" si="7"/>
        <v/>
      </c>
    </row>
    <row r="139" spans="23:31" x14ac:dyDescent="0.2">
      <c r="W139" s="10" t="str">
        <f t="shared" si="6"/>
        <v/>
      </c>
      <c r="AE139" s="10" t="str">
        <f t="shared" si="7"/>
        <v/>
      </c>
    </row>
    <row r="140" spans="23:31" x14ac:dyDescent="0.2">
      <c r="W140" s="10" t="str">
        <f t="shared" si="6"/>
        <v/>
      </c>
      <c r="AE140" s="10" t="str">
        <f t="shared" si="7"/>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 5">
              <controlPr defaultSize="0" autoFill="0" autoPict="0" macro="[0]!mgN_calib">
                <anchor moveWithCells="1" sizeWithCells="1">
                  <from>
                    <xdr:col>0</xdr:col>
                    <xdr:colOff>12700</xdr:colOff>
                    <xdr:row>0</xdr:row>
                    <xdr:rowOff>25400</xdr:rowOff>
                  </from>
                  <to>
                    <xdr:col>0</xdr:col>
                    <xdr:colOff>1168400</xdr:colOff>
                    <xdr:row>3</xdr:row>
                    <xdr:rowOff>190500</xdr:rowOff>
                  </to>
                </anchor>
              </controlPr>
            </control>
          </mc:Choice>
        </mc:AlternateContent>
        <mc:AlternateContent xmlns:mc="http://schemas.openxmlformats.org/markup-compatibility/2006">
          <mc:Choice Requires="x14">
            <control shapeId="2057" r:id="rId5" name="Button 9">
              <controlPr defaultSize="0" autoFill="0" autoPict="0" macro="[0]!mgN_samples">
                <anchor moveWithCells="1" sizeWithCells="1">
                  <from>
                    <xdr:col>17</xdr:col>
                    <xdr:colOff>12700</xdr:colOff>
                    <xdr:row>0</xdr:row>
                    <xdr:rowOff>190500</xdr:rowOff>
                  </from>
                  <to>
                    <xdr:col>18</xdr:col>
                    <xdr:colOff>863600</xdr:colOff>
                    <xdr:row>3</xdr:row>
                    <xdr:rowOff>38100</xdr:rowOff>
                  </to>
                </anchor>
              </controlPr>
            </control>
          </mc:Choice>
        </mc:AlternateContent>
        <mc:AlternateContent xmlns:mc="http://schemas.openxmlformats.org/markup-compatibility/2006">
          <mc:Choice Requires="x14">
            <control shapeId="2058" r:id="rId6" name="Button 10">
              <controlPr defaultSize="0" autoFill="0" autoPict="0" macro="[0]!mgC_calib">
                <anchor moveWithCells="1" sizeWithCells="1">
                  <from>
                    <xdr:col>7</xdr:col>
                    <xdr:colOff>25400</xdr:colOff>
                    <xdr:row>0</xdr:row>
                    <xdr:rowOff>12700</xdr:rowOff>
                  </from>
                  <to>
                    <xdr:col>7</xdr:col>
                    <xdr:colOff>1054100</xdr:colOff>
                    <xdr:row>3</xdr:row>
                    <xdr:rowOff>177800</xdr:rowOff>
                  </to>
                </anchor>
              </controlPr>
            </control>
          </mc:Choice>
        </mc:AlternateContent>
        <mc:AlternateContent xmlns:mc="http://schemas.openxmlformats.org/markup-compatibility/2006">
          <mc:Choice Requires="x14">
            <control shapeId="2059" r:id="rId7" name="Button 11">
              <controlPr defaultSize="0" autoFill="0" autoPict="0" macro="[0]!mgC_samples">
                <anchor moveWithCells="1" sizeWithCells="1">
                  <from>
                    <xdr:col>25</xdr:col>
                    <xdr:colOff>12700</xdr:colOff>
                    <xdr:row>1</xdr:row>
                    <xdr:rowOff>0</xdr:rowOff>
                  </from>
                  <to>
                    <xdr:col>26</xdr:col>
                    <xdr:colOff>711200</xdr:colOff>
                    <xdr:row>3</xdr:row>
                    <xdr:rowOff>50800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errorStyle="warning" showInputMessage="1" showErrorMessage="1" errorTitle="You must choose a standard" promptTitle="Reference" prompt="Select" xr:uid="{00000000-0002-0000-0300-000000000000}">
          <x14:formula1>
            <xm:f>References!$A$2:$A$6</xm:f>
          </x14:formula1>
          <xm:sqref>B3 J3</xm:sqref>
        </x14:dataValidation>
        <x14:dataValidation type="list" errorStyle="warning" showInputMessage="1" showErrorMessage="1" errorTitle="You must choose a standard" promptTitle="Reference" prompt="Select" xr:uid="{00000000-0002-0000-0300-000001000000}">
          <x14:formula1>
            <xm:f>'/Users/nelson/Google Drive/Lab/User Sample Lists/Bulk - d18O/LDH_microbialDNA/C:\Users\LABMAN\Google Drive\Lab\Data processing\Bulk 13C &amp; 15N\2018\181123-CN-Alnus2\[181123-CN-EH-Alnus2.xlsm]References'!#REF!</xm:f>
          </x14:formula1>
          <xm:sqref>J6:J15 B6:B15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A311"/>
  <sheetViews>
    <sheetView topLeftCell="AY1" zoomScale="60" zoomScaleNormal="60" workbookViewId="0">
      <pane ySplit="1" topLeftCell="A2" activePane="bottomLeft" state="frozen"/>
      <selection activeCell="W1" sqref="W1"/>
      <selection pane="bottomLeft" activeCell="BJ13" sqref="BJ13"/>
    </sheetView>
  </sheetViews>
  <sheetFormatPr baseColWidth="10" defaultColWidth="11" defaultRowHeight="16" x14ac:dyDescent="0.2"/>
  <cols>
    <col min="1" max="1" width="19.6640625" bestFit="1" customWidth="1"/>
    <col min="2" max="2" width="11.33203125" bestFit="1" customWidth="1"/>
    <col min="3" max="3" width="6.6640625" bestFit="1" customWidth="1"/>
    <col min="4" max="4" width="14.33203125" customWidth="1"/>
    <col min="5" max="5" width="14.1640625" bestFit="1" customWidth="1"/>
    <col min="6" max="6" width="10.5" bestFit="1" customWidth="1"/>
    <col min="7" max="7" width="11.6640625" bestFit="1" customWidth="1"/>
    <col min="8" max="8" width="7.6640625" bestFit="1" customWidth="1"/>
    <col min="9" max="9" width="19.83203125" bestFit="1" customWidth="1"/>
    <col min="10" max="11" width="10.5" bestFit="1" customWidth="1"/>
    <col min="12" max="14" width="11.6640625" bestFit="1" customWidth="1"/>
    <col min="15" max="18" width="10.6640625" bestFit="1" customWidth="1"/>
    <col min="19" max="19" width="8.1640625" bestFit="1" customWidth="1"/>
    <col min="20" max="20" width="17" bestFit="1" customWidth="1"/>
    <col min="21" max="21" width="13" bestFit="1" customWidth="1"/>
    <col min="22" max="22" width="10" bestFit="1" customWidth="1"/>
    <col min="23" max="23" width="21" bestFit="1" customWidth="1"/>
    <col min="24" max="24" width="30.5" style="3" bestFit="1" customWidth="1"/>
    <col min="25" max="25" width="28.5" style="3" bestFit="1" customWidth="1"/>
    <col min="27" max="27" width="12.6640625" bestFit="1" customWidth="1"/>
    <col min="28" max="29" width="7.6640625" bestFit="1" customWidth="1"/>
    <col min="30" max="31" width="10" bestFit="1" customWidth="1"/>
    <col min="32" max="32" width="13.1640625" bestFit="1" customWidth="1"/>
    <col min="33" max="33" width="6.1640625" bestFit="1" customWidth="1"/>
    <col min="34" max="35" width="12.6640625" bestFit="1" customWidth="1"/>
    <col min="36" max="36" width="12.6640625" customWidth="1"/>
    <col min="37" max="40" width="11.6640625" customWidth="1"/>
    <col min="41" max="41" width="10" bestFit="1" customWidth="1"/>
    <col min="42" max="42" width="18.33203125" bestFit="1" customWidth="1"/>
    <col min="43" max="43" width="13.1640625" bestFit="1" customWidth="1"/>
    <col min="44" max="44" width="12.1640625" bestFit="1" customWidth="1"/>
    <col min="45" max="45" width="14.1640625" bestFit="1" customWidth="1"/>
    <col min="46" max="47" width="12.1640625" bestFit="1" customWidth="1"/>
    <col min="49" max="53" width="12" customWidth="1"/>
    <col min="54" max="54" width="22" customWidth="1"/>
    <col min="55" max="55" width="23.1640625" bestFit="1" customWidth="1"/>
    <col min="57" max="57" width="16.1640625" bestFit="1" customWidth="1"/>
    <col min="62" max="62" width="10.5" bestFit="1" customWidth="1"/>
    <col min="63" max="63" width="9.1640625" bestFit="1" customWidth="1"/>
    <col min="64" max="64" width="19.6640625" bestFit="1" customWidth="1"/>
    <col min="65" max="65" width="9.1640625" bestFit="1" customWidth="1"/>
    <col min="66" max="66" width="10.1640625" bestFit="1" customWidth="1"/>
    <col min="67" max="67" width="7.6640625" bestFit="1" customWidth="1"/>
    <col min="68" max="68" width="10.1640625" bestFit="1" customWidth="1"/>
    <col min="69" max="69" width="18.6640625" bestFit="1" customWidth="1"/>
    <col min="70" max="70" width="20.5" customWidth="1"/>
    <col min="71" max="72" width="17.1640625" customWidth="1"/>
    <col min="73" max="73" width="14.33203125" bestFit="1" customWidth="1"/>
    <col min="74" max="74" width="14.33203125" customWidth="1"/>
    <col min="75" max="75" width="13.83203125" bestFit="1" customWidth="1"/>
    <col min="76" max="76" width="15.5" bestFit="1" customWidth="1"/>
    <col min="77" max="77" width="24.1640625" bestFit="1" customWidth="1"/>
    <col min="78" max="78" width="21.83203125" customWidth="1"/>
    <col min="79" max="79" width="20.6640625" bestFit="1" customWidth="1"/>
    <col min="80" max="80" width="11" customWidth="1"/>
  </cols>
  <sheetData>
    <row r="1" spans="1:79" s="9" customFormat="1" ht="31.5" customHeight="1" x14ac:dyDescent="0.2">
      <c r="A1" s="54" t="s">
        <v>39</v>
      </c>
      <c r="B1" s="54" t="s">
        <v>40</v>
      </c>
      <c r="C1" s="54" t="s">
        <v>0</v>
      </c>
      <c r="D1" s="54" t="s">
        <v>1</v>
      </c>
      <c r="E1" s="54" t="s">
        <v>41</v>
      </c>
      <c r="F1" s="54" t="s">
        <v>2</v>
      </c>
      <c r="G1" s="54" t="s">
        <v>47</v>
      </c>
      <c r="H1" s="54" t="s">
        <v>3</v>
      </c>
      <c r="I1" s="54" t="s">
        <v>4</v>
      </c>
      <c r="J1" s="54" t="s">
        <v>93</v>
      </c>
      <c r="K1" s="54" t="s">
        <v>94</v>
      </c>
      <c r="L1" s="54" t="s">
        <v>48</v>
      </c>
      <c r="M1" s="54" t="s">
        <v>49</v>
      </c>
      <c r="N1" s="54" t="s">
        <v>50</v>
      </c>
      <c r="O1" s="54" t="s">
        <v>5</v>
      </c>
      <c r="P1" s="54" t="s">
        <v>30</v>
      </c>
      <c r="Q1" s="54" t="s">
        <v>31</v>
      </c>
      <c r="R1" s="54" t="s">
        <v>36</v>
      </c>
      <c r="S1" s="54" t="s">
        <v>9</v>
      </c>
      <c r="T1" s="54" t="s">
        <v>37</v>
      </c>
      <c r="U1" s="54" t="s">
        <v>32</v>
      </c>
      <c r="V1" s="40"/>
      <c r="W1" s="41" t="s">
        <v>35</v>
      </c>
      <c r="X1" s="38" t="s">
        <v>79</v>
      </c>
      <c r="Y1" s="39" t="s">
        <v>77</v>
      </c>
      <c r="AA1" s="40" t="s">
        <v>1</v>
      </c>
      <c r="AB1" s="9" t="s">
        <v>40</v>
      </c>
      <c r="AC1" s="9" t="s">
        <v>40</v>
      </c>
      <c r="AD1" s="9" t="s">
        <v>1</v>
      </c>
      <c r="AE1" s="40" t="s">
        <v>32</v>
      </c>
      <c r="AF1" s="40"/>
      <c r="AG1" s="42"/>
      <c r="AH1" s="42"/>
      <c r="AK1" s="40" t="s">
        <v>1</v>
      </c>
      <c r="AL1" s="9" t="s">
        <v>40</v>
      </c>
      <c r="AM1" s="9" t="s">
        <v>40</v>
      </c>
      <c r="AN1" s="40" t="s">
        <v>1</v>
      </c>
      <c r="AO1" s="9" t="s">
        <v>32</v>
      </c>
      <c r="AP1" s="42" t="s">
        <v>35</v>
      </c>
      <c r="AQ1" s="42" t="s">
        <v>33</v>
      </c>
      <c r="AR1" s="42" t="s">
        <v>28</v>
      </c>
      <c r="AS1" s="42" t="s">
        <v>54</v>
      </c>
      <c r="AT1" s="9">
        <f>SLOPE(AR2:AR19,AO2:AO19)</f>
        <v>-1.3199928851564116E-2</v>
      </c>
      <c r="AU1" s="9">
        <f>INTERCEPT(AR2:AR19,AO2:AO19)</f>
        <v>0.57696810735810722</v>
      </c>
      <c r="AW1" s="40" t="s">
        <v>1</v>
      </c>
      <c r="AX1" s="40" t="s">
        <v>41</v>
      </c>
      <c r="AY1" s="9" t="s">
        <v>40</v>
      </c>
      <c r="AZ1" s="9" t="s">
        <v>40</v>
      </c>
      <c r="BA1" s="40" t="s">
        <v>1</v>
      </c>
      <c r="BB1" s="38" t="s">
        <v>79</v>
      </c>
      <c r="BC1" s="39" t="s">
        <v>77</v>
      </c>
      <c r="BE1" s="43" t="s">
        <v>86</v>
      </c>
      <c r="BF1" s="44">
        <f>_xlfn.STDEV.S(BB2:BB4)</f>
        <v>4.2158541549645379E-2</v>
      </c>
      <c r="BJ1" s="40" t="s">
        <v>1</v>
      </c>
      <c r="BK1" s="9" t="s">
        <v>40</v>
      </c>
      <c r="BL1" s="9" t="s">
        <v>18</v>
      </c>
      <c r="BM1" s="9" t="s">
        <v>40</v>
      </c>
      <c r="BN1" s="40" t="s">
        <v>1</v>
      </c>
      <c r="BO1" s="9" t="s">
        <v>5</v>
      </c>
      <c r="BP1" s="9" t="s">
        <v>32</v>
      </c>
      <c r="BQ1" s="9" t="s">
        <v>35</v>
      </c>
      <c r="BR1" s="38" t="s">
        <v>79</v>
      </c>
      <c r="BS1" s="39" t="s">
        <v>77</v>
      </c>
      <c r="BT1" s="9" t="s">
        <v>40</v>
      </c>
      <c r="BU1" s="9" t="s">
        <v>19</v>
      </c>
      <c r="BV1" s="9" t="s">
        <v>95</v>
      </c>
      <c r="BW1" s="42" t="s">
        <v>33</v>
      </c>
      <c r="BX1" s="9" t="s">
        <v>70</v>
      </c>
      <c r="BY1" s="9" t="s">
        <v>71</v>
      </c>
      <c r="BZ1" s="9" t="s">
        <v>87</v>
      </c>
      <c r="CA1" s="9" t="s">
        <v>88</v>
      </c>
    </row>
    <row r="2" spans="1:79" x14ac:dyDescent="0.2">
      <c r="A2" s="13">
        <v>44252.749490740738</v>
      </c>
      <c r="B2">
        <v>27934</v>
      </c>
      <c r="C2">
        <v>1</v>
      </c>
      <c r="D2" t="s">
        <v>100</v>
      </c>
      <c r="G2">
        <v>4</v>
      </c>
      <c r="H2">
        <v>230.1</v>
      </c>
      <c r="I2">
        <v>0</v>
      </c>
      <c r="J2">
        <v>27</v>
      </c>
      <c r="K2">
        <v>22</v>
      </c>
      <c r="L2">
        <v>1780</v>
      </c>
      <c r="M2">
        <v>1330</v>
      </c>
      <c r="N2">
        <v>223</v>
      </c>
      <c r="O2">
        <v>40.639000000000003</v>
      </c>
      <c r="P2">
        <v>40.338000000000001</v>
      </c>
      <c r="Q2">
        <v>0.30099999999999999</v>
      </c>
      <c r="R2">
        <v>1.9E-2</v>
      </c>
      <c r="T2">
        <v>0.369784</v>
      </c>
      <c r="U2">
        <v>9.0709999999999997</v>
      </c>
      <c r="V2" s="6" t="str">
        <f>IF(NOT(ISBLANK(S2)),S2-(A2*$AH$1+$AI$1),"")</f>
        <v/>
      </c>
      <c r="W2" s="5">
        <f>IF(NOT(ISBLANK(U2)),U2-C2*$AA$3,"")</f>
        <v>9.0702102587205555</v>
      </c>
      <c r="X2" s="11">
        <f>IF(ISNUMBER(U2),(U2+1000)/((U2*$AT$1+$AU$1)/1000+1)-1000,"")</f>
        <v>8.6098317605096781</v>
      </c>
      <c r="Y2" s="11">
        <f>IF(ISNUMBER(W2),(W2+1000)/((W2*$AT$2+$AU$2)/1000+1)-1000,"")</f>
        <v>8.6355607663335832</v>
      </c>
      <c r="AA2" t="s">
        <v>12</v>
      </c>
      <c r="AB2" t="str">
        <f>"&gt;=0"</f>
        <v>&gt;=0</v>
      </c>
      <c r="AC2">
        <v>27938</v>
      </c>
      <c r="AD2" t="s">
        <v>12</v>
      </c>
      <c r="AE2">
        <v>-1.254</v>
      </c>
      <c r="AK2" t="s">
        <v>14</v>
      </c>
      <c r="AL2" t="str">
        <f t="shared" ref="AL2:AL3" si="0">"&gt;=0"</f>
        <v>&gt;=0</v>
      </c>
      <c r="AM2">
        <v>27938</v>
      </c>
      <c r="AN2" t="s">
        <v>12</v>
      </c>
      <c r="AO2">
        <v>-1.254</v>
      </c>
      <c r="AP2" s="5">
        <v>-1.2579487063972197</v>
      </c>
      <c r="AQ2" s="2">
        <f>IF(ISBLANK(AN2),"",VLOOKUP(AN2,refs[#All],3,FALSE))</f>
        <v>-1.8</v>
      </c>
      <c r="AR2" s="2">
        <f>IF(ISBLANK(AN2),"",((AO2+1000)/(AQ2+1000)-1)*1000)</f>
        <v>0.54698457222990271</v>
      </c>
      <c r="AS2" s="2">
        <f>IF(ISBLANK(AN2),"",((AP2+1000)/(AQ2+1000)-1)*1000)</f>
        <v>0.54302874534428724</v>
      </c>
      <c r="AT2">
        <f>SLOPE(AS2:AS19,AP2:AP19)</f>
        <v>-1.3147417867499104E-2</v>
      </c>
      <c r="AU2">
        <f>INTERCEPT(AS2:AS19,AP2:AP19)</f>
        <v>0.55017803026952328</v>
      </c>
      <c r="AW2" t="s">
        <v>11</v>
      </c>
      <c r="AX2" t="s">
        <v>57</v>
      </c>
      <c r="AY2" t="str">
        <f>"&gt;"&amp;MAX('Elemental analysis'!A6:A9)-100</f>
        <v>&gt;20514</v>
      </c>
      <c r="AZ2">
        <v>27939</v>
      </c>
      <c r="BA2" t="s">
        <v>11</v>
      </c>
      <c r="BB2" s="11">
        <v>-0.33664654306096509</v>
      </c>
      <c r="BC2" s="11">
        <v>-0.31469066332590501</v>
      </c>
      <c r="BE2" s="36" t="s">
        <v>29</v>
      </c>
      <c r="BF2" s="45">
        <f>_xlfn.STDEV.S(BC2:BC4)</f>
        <v>2.9048437752710869E-2</v>
      </c>
      <c r="BJ2" t="s">
        <v>12</v>
      </c>
      <c r="BK2" t="str">
        <f>"&gt;=0"</f>
        <v>&gt;=0</v>
      </c>
      <c r="BL2" t="s">
        <v>20</v>
      </c>
      <c r="BM2">
        <v>27938</v>
      </c>
      <c r="BN2" t="s">
        <v>12</v>
      </c>
      <c r="BO2">
        <v>75.471000000000004</v>
      </c>
      <c r="BP2">
        <v>-1.254</v>
      </c>
      <c r="BQ2" s="5">
        <v>-1.2579487063972197</v>
      </c>
      <c r="BR2" s="11">
        <v>-1.8464249265050512</v>
      </c>
      <c r="BS2" s="11">
        <v>-1.8236320310428482</v>
      </c>
      <c r="BT2">
        <v>27938</v>
      </c>
      <c r="BU2">
        <v>275185</v>
      </c>
      <c r="BV2" t="b">
        <f>BM2=BT2</f>
        <v>1</v>
      </c>
      <c r="BW2" s="2">
        <f>IF(ISBLANK(BN2),"",VLOOKUP(BN2,refs[#All],3,FALSE))</f>
        <v>-1.8</v>
      </c>
      <c r="BX2" s="2">
        <f>IF(ISBLANK($BN2),"",((BP2+1000)/($BW2+1000)-1)*1000)</f>
        <v>0.54698457222990271</v>
      </c>
      <c r="BY2" s="2">
        <f>IF(ISBLANK($BN2),"",((BQ2+1000)/($BW2+1000)-1)*1000)</f>
        <v>0.54302874534428724</v>
      </c>
      <c r="BZ2" s="2">
        <f>IF(ISBLANK($BN2),"",((BR2+1000)/($BW2+1000)-1)*1000)</f>
        <v>-4.6508642060794081E-2</v>
      </c>
      <c r="CA2" s="2">
        <f>IF(ISBLANK($BN2),"",((BS2+1000)/($BW2+1000)-1)*1000)</f>
        <v>-2.3674645404647698E-2</v>
      </c>
    </row>
    <row r="3" spans="1:79" x14ac:dyDescent="0.2">
      <c r="A3" s="13">
        <v>44252.756828703707</v>
      </c>
      <c r="B3">
        <v>27935</v>
      </c>
      <c r="C3">
        <v>2</v>
      </c>
      <c r="D3" t="s">
        <v>100</v>
      </c>
      <c r="G3">
        <v>4</v>
      </c>
      <c r="H3">
        <v>230.1</v>
      </c>
      <c r="I3">
        <v>0</v>
      </c>
      <c r="J3">
        <v>26.7</v>
      </c>
      <c r="K3">
        <v>21.8</v>
      </c>
      <c r="L3">
        <v>1922</v>
      </c>
      <c r="M3">
        <v>1436</v>
      </c>
      <c r="N3">
        <v>233</v>
      </c>
      <c r="O3">
        <v>43.802999999999997</v>
      </c>
      <c r="P3">
        <v>43.478999999999999</v>
      </c>
      <c r="Q3">
        <v>0.32500000000000001</v>
      </c>
      <c r="R3">
        <v>0.02</v>
      </c>
      <c r="T3">
        <v>0.36976199999999998</v>
      </c>
      <c r="U3">
        <v>9.0120000000000005</v>
      </c>
      <c r="V3" s="6" t="str">
        <f t="shared" ref="V3:V66" si="1">IF(NOT(ISBLANK(S3)),S3-(A3*$AH$1+$AI$1),"")</f>
        <v/>
      </c>
      <c r="W3" s="5">
        <f t="shared" ref="W3:W66" si="2">IF(NOT(ISBLANK(U3)),U3-C3*$AA$3,"")</f>
        <v>9.0104205174411121</v>
      </c>
      <c r="X3" s="11">
        <f t="shared" ref="X3:X66" si="3">IF(ISNUMBER(U3),(U3+1000)/((U3*$AT$1+$AU$1)/1000+1)-1000,"")</f>
        <v>8.5500736292490274</v>
      </c>
      <c r="Y3" s="11">
        <f t="shared" ref="Y3:Y66" si="4">IF(ISNUMBER(W3),(W3+1000)/((W3*$AT$2+$AU$2)/1000+1)-1000,"")</f>
        <v>8.5750042991844566</v>
      </c>
      <c r="AA3">
        <f>SLOPE(AE2:AE18,AC2:AC18)</f>
        <v>7.8974127944394352E-4</v>
      </c>
      <c r="AB3" s="1"/>
      <c r="AC3">
        <v>27949</v>
      </c>
      <c r="AD3" t="s">
        <v>12</v>
      </c>
      <c r="AE3">
        <v>-1.204</v>
      </c>
      <c r="AK3" t="s">
        <v>12</v>
      </c>
      <c r="AL3" t="str">
        <f t="shared" si="0"/>
        <v>&gt;=0</v>
      </c>
      <c r="AM3">
        <v>27941</v>
      </c>
      <c r="AN3" t="s">
        <v>14</v>
      </c>
      <c r="AO3">
        <v>9.0950000000000006</v>
      </c>
      <c r="AP3" s="5">
        <v>9.0886820697644488</v>
      </c>
      <c r="AQ3" s="2">
        <f>IF(ISBLANK(AN3),"",VLOOKUP(AN3,refs[#All],3,FALSE))</f>
        <v>8.6999999999999993</v>
      </c>
      <c r="AR3" s="2">
        <f t="shared" ref="AR3:AR21" si="5">IF(ISBLANK(AN3),"",((AO3+1000)/(AQ3+1000)-1)*1000)</f>
        <v>0.39159313968473164</v>
      </c>
      <c r="AS3" s="2">
        <f t="shared" ref="AS3:AS21" si="6">IF(ISBLANK(AN3),"",((AP3+1000)/(AQ3+1000)-1)*1000)</f>
        <v>0.38532970136251343</v>
      </c>
      <c r="AZ3">
        <v>27968</v>
      </c>
      <c r="BA3" t="s">
        <v>11</v>
      </c>
      <c r="BB3" s="11">
        <v>-0.25563730502301496</v>
      </c>
      <c r="BC3" s="11">
        <v>-0.25687430127345579</v>
      </c>
      <c r="BJ3" t="s">
        <v>14</v>
      </c>
      <c r="BK3" t="str">
        <f>"&gt;=0"</f>
        <v>&gt;=0</v>
      </c>
      <c r="BL3" t="s">
        <v>20</v>
      </c>
      <c r="BM3">
        <v>27939</v>
      </c>
      <c r="BN3" t="s">
        <v>11</v>
      </c>
      <c r="BO3">
        <v>61.204000000000001</v>
      </c>
      <c r="BP3">
        <v>0.23699999999999999</v>
      </c>
      <c r="BQ3" s="5">
        <v>0.23226155232333634</v>
      </c>
      <c r="BR3" s="11">
        <v>-0.33664654306096509</v>
      </c>
      <c r="BS3" s="11">
        <v>-0.31469066332590501</v>
      </c>
      <c r="BT3">
        <v>27939</v>
      </c>
      <c r="BU3">
        <v>182663</v>
      </c>
      <c r="BV3" t="b">
        <f t="shared" ref="BV3:BV25" si="7">BM3=BT3</f>
        <v>1</v>
      </c>
      <c r="BW3" s="2">
        <f>IF(ISBLANK(BN3),"",VLOOKUP(BN3,refs[#All],3,FALSE))</f>
        <v>-0.4</v>
      </c>
      <c r="BX3" s="2">
        <f t="shared" ref="BX3:BX5" si="8">IF(ISBLANK($BN3),"",((BP3+1000)/($BW3+1000)-1)*1000)</f>
        <v>0.63725490196064882</v>
      </c>
      <c r="BY3" s="2">
        <f t="shared" ref="BY3:CA4" si="9">IF(ISBLANK($BN3),"",((BQ3+1000)/($BW3+1000)-1)*1000)</f>
        <v>0.63251455814650193</v>
      </c>
      <c r="BZ3" s="2">
        <f t="shared" si="9"/>
        <v>6.3378808462299929E-2</v>
      </c>
      <c r="CA3" s="2">
        <f t="shared" si="9"/>
        <v>8.5343474063748204E-2</v>
      </c>
    </row>
    <row r="4" spans="1:79" x14ac:dyDescent="0.2">
      <c r="A4" s="13">
        <v>44252.764166666668</v>
      </c>
      <c r="B4">
        <v>27936</v>
      </c>
      <c r="C4">
        <v>3</v>
      </c>
      <c r="D4" t="s">
        <v>100</v>
      </c>
      <c r="G4">
        <v>4</v>
      </c>
      <c r="H4">
        <v>230.3</v>
      </c>
      <c r="I4">
        <v>0</v>
      </c>
      <c r="J4">
        <v>26.8</v>
      </c>
      <c r="K4">
        <v>21.9</v>
      </c>
      <c r="L4">
        <v>1827</v>
      </c>
      <c r="M4">
        <v>1364</v>
      </c>
      <c r="N4">
        <v>220</v>
      </c>
      <c r="O4">
        <v>41.609000000000002</v>
      </c>
      <c r="P4">
        <v>41.301000000000002</v>
      </c>
      <c r="Q4">
        <v>0.308</v>
      </c>
      <c r="R4">
        <v>1.9E-2</v>
      </c>
      <c r="T4">
        <v>0.36977199999999999</v>
      </c>
      <c r="U4">
        <v>9.0380000000000003</v>
      </c>
      <c r="V4" s="6" t="str">
        <f t="shared" si="1"/>
        <v/>
      </c>
      <c r="W4" s="5">
        <f t="shared" si="2"/>
        <v>9.0356307761616677</v>
      </c>
      <c r="X4" s="11">
        <f t="shared" si="3"/>
        <v>8.5764077095251423</v>
      </c>
      <c r="Y4" s="11">
        <f t="shared" si="4"/>
        <v>8.6005378351659374</v>
      </c>
      <c r="AB4" s="1"/>
      <c r="AC4">
        <v>27960</v>
      </c>
      <c r="AD4" t="s">
        <v>12</v>
      </c>
      <c r="AE4">
        <v>-1.2210000000000001</v>
      </c>
      <c r="AL4" s="1"/>
      <c r="AM4">
        <v>27949</v>
      </c>
      <c r="AN4" t="s">
        <v>12</v>
      </c>
      <c r="AO4">
        <v>-1.204</v>
      </c>
      <c r="AP4" s="5">
        <v>-1.2166358604711029</v>
      </c>
      <c r="AQ4" s="2">
        <f>IF(ISBLANK(AN4),"",VLOOKUP(AN4,refs[#All],3,FALSE))</f>
        <v>-1.8</v>
      </c>
      <c r="AR4" s="2">
        <f t="shared" si="5"/>
        <v>0.59707473452208504</v>
      </c>
      <c r="AS4" s="2">
        <f t="shared" si="6"/>
        <v>0.58441608848802673</v>
      </c>
      <c r="AZ4">
        <v>27985</v>
      </c>
      <c r="BA4" t="s">
        <v>11</v>
      </c>
      <c r="BB4" s="11">
        <v>-0.27588963056291504</v>
      </c>
      <c r="BC4" s="11">
        <v>-0.29072074281168625</v>
      </c>
      <c r="BJ4" t="s">
        <v>13</v>
      </c>
      <c r="BK4" t="str">
        <f>"&gt;=0"</f>
        <v>&gt;=0</v>
      </c>
      <c r="BL4" t="s">
        <v>20</v>
      </c>
      <c r="BM4">
        <v>27941</v>
      </c>
      <c r="BN4" t="s">
        <v>14</v>
      </c>
      <c r="BO4">
        <v>42.521999999999998</v>
      </c>
      <c r="BP4">
        <v>9.0950000000000006</v>
      </c>
      <c r="BQ4" s="5">
        <v>9.0886820697644488</v>
      </c>
      <c r="BR4" s="11">
        <v>8.6341401795068577</v>
      </c>
      <c r="BS4" s="11">
        <v>8.6542694736333488</v>
      </c>
      <c r="BT4">
        <v>27941</v>
      </c>
      <c r="BU4">
        <v>45814</v>
      </c>
      <c r="BV4" t="b">
        <f t="shared" si="7"/>
        <v>1</v>
      </c>
      <c r="BW4" s="2">
        <f>IF(ISBLANK(BN4),"",VLOOKUP(BN4,refs[#All],3,FALSE))</f>
        <v>8.6999999999999993</v>
      </c>
      <c r="BX4" s="2">
        <f t="shared" si="8"/>
        <v>0.39159313968473164</v>
      </c>
      <c r="BY4" s="2">
        <f t="shared" si="9"/>
        <v>0.38532970136251343</v>
      </c>
      <c r="BZ4" s="2">
        <f t="shared" si="9"/>
        <v>-6.5291781989884612E-2</v>
      </c>
      <c r="CA4" s="2">
        <f t="shared" si="9"/>
        <v>-4.5336102276860579E-2</v>
      </c>
    </row>
    <row r="5" spans="1:79" x14ac:dyDescent="0.2">
      <c r="A5" s="13">
        <v>44252.778831018521</v>
      </c>
      <c r="B5">
        <v>27938</v>
      </c>
      <c r="C5">
        <v>5</v>
      </c>
      <c r="D5" t="s">
        <v>12</v>
      </c>
      <c r="G5">
        <v>4</v>
      </c>
      <c r="H5">
        <v>232</v>
      </c>
      <c r="I5">
        <v>57</v>
      </c>
      <c r="J5">
        <v>11.5</v>
      </c>
      <c r="K5">
        <v>10.4</v>
      </c>
      <c r="L5">
        <v>3309</v>
      </c>
      <c r="M5">
        <v>2446</v>
      </c>
      <c r="N5">
        <v>395</v>
      </c>
      <c r="O5">
        <v>75.471000000000004</v>
      </c>
      <c r="P5">
        <v>74.918000000000006</v>
      </c>
      <c r="Q5">
        <v>0.55300000000000005</v>
      </c>
      <c r="R5">
        <v>3.4000000000000002E-2</v>
      </c>
      <c r="T5">
        <v>0.36601400000000001</v>
      </c>
      <c r="U5">
        <v>-1.254</v>
      </c>
      <c r="V5" s="6" t="str">
        <f t="shared" si="1"/>
        <v/>
      </c>
      <c r="W5" s="5">
        <f t="shared" si="2"/>
        <v>-1.2579487063972197</v>
      </c>
      <c r="X5" s="11">
        <f t="shared" si="3"/>
        <v>-1.8464249265050512</v>
      </c>
      <c r="Y5" s="11">
        <f t="shared" si="4"/>
        <v>-1.8236320310428482</v>
      </c>
      <c r="AB5" s="1"/>
      <c r="AC5">
        <v>27966</v>
      </c>
      <c r="AD5" t="s">
        <v>12</v>
      </c>
      <c r="AE5">
        <v>-1.1910000000000001</v>
      </c>
      <c r="AL5" s="1"/>
      <c r="AM5">
        <v>27960</v>
      </c>
      <c r="AN5" t="s">
        <v>12</v>
      </c>
      <c r="AO5">
        <v>-1.2210000000000001</v>
      </c>
      <c r="AP5" s="5">
        <v>-1.2423230145449866</v>
      </c>
      <c r="AQ5" s="2">
        <f>IF(ISBLANK(AN5),"",VLOOKUP(AN5,refs[#All],3,FALSE))</f>
        <v>-1.8</v>
      </c>
      <c r="AR5" s="2">
        <f t="shared" si="5"/>
        <v>0.58004407934286739</v>
      </c>
      <c r="AS5" s="2">
        <f t="shared" si="6"/>
        <v>0.55868261416036624</v>
      </c>
      <c r="BB5" s="11"/>
      <c r="BC5" s="11"/>
      <c r="BJ5" t="s">
        <v>11</v>
      </c>
      <c r="BK5" t="str">
        <f>"&gt;=0"</f>
        <v>&gt;=0</v>
      </c>
      <c r="BL5" t="s">
        <v>20</v>
      </c>
      <c r="BM5">
        <v>27949</v>
      </c>
      <c r="BN5" t="s">
        <v>12</v>
      </c>
      <c r="BO5">
        <v>74.369</v>
      </c>
      <c r="BP5">
        <v>-1.204</v>
      </c>
      <c r="BQ5" s="5">
        <v>-1.2166358604711029</v>
      </c>
      <c r="BR5" s="11">
        <v>-1.7957961645056457</v>
      </c>
      <c r="BS5" s="11">
        <v>-1.7818007021832045</v>
      </c>
      <c r="BT5">
        <v>27949</v>
      </c>
      <c r="BU5">
        <v>270683</v>
      </c>
      <c r="BV5" t="b">
        <f t="shared" si="7"/>
        <v>1</v>
      </c>
      <c r="BW5" s="2">
        <f>IF(ISBLANK(BN5),"",VLOOKUP(BN5,refs[#All],3,FALSE))</f>
        <v>-1.8</v>
      </c>
      <c r="BX5" s="2">
        <f t="shared" si="8"/>
        <v>0.59707473452208504</v>
      </c>
      <c r="BY5" s="2">
        <f t="shared" ref="BY5:BY25" si="10">IF(ISBLANK($BN5),"",((BQ5+1000)/($BW5+1000)-1)*1000)</f>
        <v>0.58441608848802673</v>
      </c>
      <c r="BZ5" s="2">
        <f t="shared" ref="BZ5:BZ25" si="11">IF(ISBLANK($BN5),"",((BR5+1000)/($BW5+1000)-1)*1000)</f>
        <v>4.2114160432316083E-3</v>
      </c>
      <c r="CA5" s="2">
        <f t="shared" ref="CA5:CA25" si="12">IF(ISBLANK($BN5),"",((BS5+1000)/($BW5+1000)-1)*1000)</f>
        <v>1.8232115624794432E-2</v>
      </c>
    </row>
    <row r="6" spans="1:79" x14ac:dyDescent="0.2">
      <c r="A6" s="13">
        <v>44252.786157407405</v>
      </c>
      <c r="B6">
        <v>27939</v>
      </c>
      <c r="C6">
        <v>6</v>
      </c>
      <c r="D6" t="s">
        <v>11</v>
      </c>
      <c r="E6" t="s">
        <v>57</v>
      </c>
      <c r="G6">
        <v>4</v>
      </c>
      <c r="H6">
        <v>230.5</v>
      </c>
      <c r="I6">
        <v>50</v>
      </c>
      <c r="J6">
        <v>13.6</v>
      </c>
      <c r="K6">
        <v>12.1</v>
      </c>
      <c r="L6">
        <v>2648</v>
      </c>
      <c r="M6">
        <v>1960</v>
      </c>
      <c r="N6">
        <v>317</v>
      </c>
      <c r="O6">
        <v>61.204000000000001</v>
      </c>
      <c r="P6">
        <v>60.755000000000003</v>
      </c>
      <c r="Q6">
        <v>0.44900000000000001</v>
      </c>
      <c r="R6">
        <v>2.8000000000000001E-2</v>
      </c>
      <c r="T6">
        <v>0.36655900000000002</v>
      </c>
      <c r="U6">
        <v>0.23699999999999999</v>
      </c>
      <c r="V6" s="6" t="str">
        <f t="shared" si="1"/>
        <v/>
      </c>
      <c r="W6" s="5">
        <f t="shared" si="2"/>
        <v>0.23226155232333634</v>
      </c>
      <c r="X6" s="11">
        <f t="shared" si="3"/>
        <v>-0.33664654306096509</v>
      </c>
      <c r="Y6" s="11">
        <f t="shared" si="4"/>
        <v>-0.31469066332590501</v>
      </c>
      <c r="AB6" s="1"/>
      <c r="AC6">
        <v>27976</v>
      </c>
      <c r="AD6" t="s">
        <v>12</v>
      </c>
      <c r="AE6">
        <v>-1.175</v>
      </c>
      <c r="AL6" s="1"/>
      <c r="AM6">
        <v>27966</v>
      </c>
      <c r="AN6" t="s">
        <v>12</v>
      </c>
      <c r="AO6">
        <v>-1.1910000000000001</v>
      </c>
      <c r="AP6" s="5">
        <v>-1.2170614622216502</v>
      </c>
      <c r="AQ6" s="2">
        <f>IF(ISBLANK(AN6),"",VLOOKUP(AN6,refs[#All],3,FALSE))</f>
        <v>-1.8</v>
      </c>
      <c r="AR6" s="2">
        <f t="shared" si="5"/>
        <v>0.61009817671808797</v>
      </c>
      <c r="AS6" s="2">
        <f t="shared" si="6"/>
        <v>0.58398971927298149</v>
      </c>
      <c r="BB6" s="11"/>
      <c r="BC6" s="11"/>
      <c r="BM6">
        <v>27960</v>
      </c>
      <c r="BN6" t="s">
        <v>12</v>
      </c>
      <c r="BO6">
        <v>75.308999999999997</v>
      </c>
      <c r="BP6">
        <v>-1.2210000000000001</v>
      </c>
      <c r="BQ6" s="5">
        <v>-1.2423230145449866</v>
      </c>
      <c r="BR6" s="11">
        <v>-1.8130099510792661</v>
      </c>
      <c r="BS6" s="11">
        <v>-1.8078102395575115</v>
      </c>
      <c r="BT6">
        <v>27960</v>
      </c>
      <c r="BU6">
        <v>273397</v>
      </c>
      <c r="BV6" t="b">
        <f t="shared" si="7"/>
        <v>1</v>
      </c>
      <c r="BW6" s="2">
        <f>IF(ISBLANK(BN6),"",VLOOKUP(BN6,refs[#All],3,FALSE))</f>
        <v>-1.8</v>
      </c>
      <c r="BX6" s="2">
        <f t="shared" ref="BX6:BX25" si="13">IF(ISBLANK($BN6),"",((BP6+1000)/($BW6+1000)-1)*1000)</f>
        <v>0.58004407934286739</v>
      </c>
      <c r="BY6" s="2">
        <f t="shared" si="10"/>
        <v>0.55868261416036624</v>
      </c>
      <c r="BZ6" s="2">
        <f t="shared" si="11"/>
        <v>-1.3033411219498525E-2</v>
      </c>
      <c r="CA6" s="2">
        <f t="shared" si="12"/>
        <v>-7.824323339566952E-3</v>
      </c>
    </row>
    <row r="7" spans="1:79" x14ac:dyDescent="0.2">
      <c r="A7" s="13">
        <v>44252.800821759258</v>
      </c>
      <c r="B7">
        <v>27941</v>
      </c>
      <c r="C7">
        <v>8</v>
      </c>
      <c r="D7" t="s">
        <v>14</v>
      </c>
      <c r="G7">
        <v>4</v>
      </c>
      <c r="H7">
        <v>230.5</v>
      </c>
      <c r="I7">
        <v>0</v>
      </c>
      <c r="J7">
        <v>27.1</v>
      </c>
      <c r="K7">
        <v>22.1</v>
      </c>
      <c r="L7">
        <v>1880</v>
      </c>
      <c r="M7">
        <v>1404</v>
      </c>
      <c r="N7">
        <v>227</v>
      </c>
      <c r="O7">
        <v>42.521999999999998</v>
      </c>
      <c r="P7">
        <v>42.207000000000001</v>
      </c>
      <c r="Q7">
        <v>0.315</v>
      </c>
      <c r="R7">
        <v>1.9E-2</v>
      </c>
      <c r="T7">
        <v>0.36979299999999998</v>
      </c>
      <c r="U7">
        <v>9.0950000000000006</v>
      </c>
      <c r="V7" s="6" t="str">
        <f t="shared" si="1"/>
        <v/>
      </c>
      <c r="W7" s="5">
        <f t="shared" si="2"/>
        <v>9.0886820697644488</v>
      </c>
      <c r="X7" s="11">
        <f t="shared" si="3"/>
        <v>8.6341401795068577</v>
      </c>
      <c r="Y7" s="11">
        <f t="shared" si="4"/>
        <v>8.6542694736333488</v>
      </c>
      <c r="AB7" s="1"/>
      <c r="AC7">
        <v>27988</v>
      </c>
      <c r="AD7" t="s">
        <v>12</v>
      </c>
      <c r="AE7">
        <v>-1.218</v>
      </c>
      <c r="AL7" s="1"/>
      <c r="AM7">
        <v>27970</v>
      </c>
      <c r="AN7" t="s">
        <v>14</v>
      </c>
      <c r="AO7">
        <v>9.2119999999999997</v>
      </c>
      <c r="AP7" s="5">
        <v>9.1827795726605732</v>
      </c>
      <c r="AQ7" s="2">
        <f>IF(ISBLANK(AN7),"",VLOOKUP(AN7,refs[#All],3,FALSE))</f>
        <v>8.6999999999999993</v>
      </c>
      <c r="AR7" s="2">
        <f t="shared" si="5"/>
        <v>0.50758401903427952</v>
      </c>
      <c r="AS7" s="2">
        <f t="shared" si="6"/>
        <v>0.47861561679440889</v>
      </c>
      <c r="BB7" s="11"/>
      <c r="BC7" s="11"/>
      <c r="BM7">
        <v>27966</v>
      </c>
      <c r="BN7" t="s">
        <v>12</v>
      </c>
      <c r="BO7">
        <v>75.033000000000001</v>
      </c>
      <c r="BP7">
        <v>-1.1910000000000001</v>
      </c>
      <c r="BQ7" s="5">
        <v>-1.2170614622216502</v>
      </c>
      <c r="BR7" s="11">
        <v>-1.7826326754455977</v>
      </c>
      <c r="BS7" s="11">
        <v>-1.7822316455362852</v>
      </c>
      <c r="BT7">
        <v>27966</v>
      </c>
      <c r="BU7">
        <v>271891</v>
      </c>
      <c r="BV7" t="b">
        <f t="shared" si="7"/>
        <v>1</v>
      </c>
      <c r="BW7" s="2">
        <f>IF(ISBLANK(BN7),"",VLOOKUP(BN7,refs[#All],3,FALSE))</f>
        <v>-1.8</v>
      </c>
      <c r="BX7" s="2">
        <f t="shared" si="13"/>
        <v>0.61009817671808797</v>
      </c>
      <c r="BY7" s="2">
        <f t="shared" si="10"/>
        <v>0.58398971927298149</v>
      </c>
      <c r="BZ7" s="2">
        <f t="shared" si="11"/>
        <v>1.7398642110144635E-2</v>
      </c>
      <c r="CA7" s="2">
        <f t="shared" si="12"/>
        <v>1.780039517496057E-2</v>
      </c>
    </row>
    <row r="8" spans="1:79" x14ac:dyDescent="0.2">
      <c r="A8" s="13">
        <v>44252.808148148149</v>
      </c>
      <c r="B8">
        <v>27942</v>
      </c>
      <c r="C8">
        <v>9</v>
      </c>
      <c r="D8" t="s">
        <v>102</v>
      </c>
      <c r="G8">
        <v>4</v>
      </c>
      <c r="H8">
        <v>230.9</v>
      </c>
      <c r="I8">
        <v>0</v>
      </c>
      <c r="J8">
        <v>27.3</v>
      </c>
      <c r="K8">
        <v>22.3</v>
      </c>
      <c r="L8">
        <v>1044</v>
      </c>
      <c r="M8">
        <v>775</v>
      </c>
      <c r="N8">
        <v>122</v>
      </c>
      <c r="O8">
        <v>23.187000000000001</v>
      </c>
      <c r="P8">
        <v>23.016999999999999</v>
      </c>
      <c r="Q8">
        <v>0.17100000000000001</v>
      </c>
      <c r="R8">
        <v>8.9999999999999993E-3</v>
      </c>
      <c r="T8">
        <v>0.36768800000000001</v>
      </c>
      <c r="U8">
        <v>3.3290000000000002</v>
      </c>
      <c r="V8" s="6" t="str">
        <f t="shared" si="1"/>
        <v/>
      </c>
      <c r="W8" s="5">
        <f t="shared" si="2"/>
        <v>3.3218923284850046</v>
      </c>
      <c r="X8" s="11">
        <f t="shared" si="3"/>
        <v>2.7944849239412406</v>
      </c>
      <c r="Y8" s="11">
        <f t="shared" si="4"/>
        <v>2.8139633218678455</v>
      </c>
      <c r="AB8" s="1"/>
      <c r="AC8">
        <v>27989</v>
      </c>
      <c r="AD8" t="s">
        <v>12</v>
      </c>
      <c r="AE8">
        <v>-1.1930000000000001</v>
      </c>
      <c r="AL8" s="1"/>
      <c r="AM8">
        <v>27976</v>
      </c>
      <c r="AN8" t="s">
        <v>12</v>
      </c>
      <c r="AO8">
        <v>-1.175</v>
      </c>
      <c r="AP8" s="5">
        <v>-1.2089588750160896</v>
      </c>
      <c r="AQ8" s="2">
        <f>IF(ISBLANK(AN8),"",VLOOKUP(AN8,refs[#All],3,FALSE))</f>
        <v>-1.8</v>
      </c>
      <c r="AR8" s="2">
        <f t="shared" si="5"/>
        <v>0.62612702865161296</v>
      </c>
      <c r="AS8" s="2">
        <f t="shared" si="6"/>
        <v>0.59210691743527555</v>
      </c>
      <c r="BB8" s="11"/>
      <c r="BC8" s="11"/>
      <c r="BM8">
        <v>27968</v>
      </c>
      <c r="BN8" t="s">
        <v>11</v>
      </c>
      <c r="BO8">
        <v>72.082999999999998</v>
      </c>
      <c r="BP8">
        <v>0.317</v>
      </c>
      <c r="BQ8" s="5">
        <v>0.28935905521946198</v>
      </c>
      <c r="BR8" s="11">
        <v>-0.25563730502301496</v>
      </c>
      <c r="BS8" s="11">
        <v>-0.25687430127345579</v>
      </c>
      <c r="BT8">
        <v>27968</v>
      </c>
      <c r="BU8">
        <v>213863</v>
      </c>
      <c r="BV8" t="b">
        <f t="shared" si="7"/>
        <v>1</v>
      </c>
      <c r="BW8" s="2">
        <f>IF(ISBLANK(BN8),"",VLOOKUP(BN8,refs[#All],3,FALSE))</f>
        <v>-0.4</v>
      </c>
      <c r="BX8" s="2">
        <f t="shared" si="13"/>
        <v>0.71728691476580231</v>
      </c>
      <c r="BY8" s="2">
        <f t="shared" si="10"/>
        <v>0.68963490918316772</v>
      </c>
      <c r="BZ8" s="2">
        <f t="shared" si="11"/>
        <v>0.14442046316220924</v>
      </c>
      <c r="CA8" s="2">
        <f t="shared" si="12"/>
        <v>0.14318297191517892</v>
      </c>
    </row>
    <row r="9" spans="1:79" x14ac:dyDescent="0.2">
      <c r="A9" s="13">
        <v>44252.815486111111</v>
      </c>
      <c r="B9">
        <v>27943</v>
      </c>
      <c r="C9">
        <v>10</v>
      </c>
      <c r="D9" t="s">
        <v>103</v>
      </c>
      <c r="F9">
        <v>5.72</v>
      </c>
      <c r="G9">
        <v>4</v>
      </c>
      <c r="H9">
        <v>230.9</v>
      </c>
      <c r="I9">
        <v>0</v>
      </c>
      <c r="J9">
        <v>28.4</v>
      </c>
      <c r="K9">
        <v>23.1</v>
      </c>
      <c r="L9">
        <v>609</v>
      </c>
      <c r="M9">
        <v>452</v>
      </c>
      <c r="N9">
        <v>65</v>
      </c>
      <c r="O9">
        <v>13.577</v>
      </c>
      <c r="P9">
        <v>13.477</v>
      </c>
      <c r="Q9">
        <v>0.1</v>
      </c>
      <c r="R9">
        <v>4.0000000000000001E-3</v>
      </c>
      <c r="T9">
        <v>0.36747299999999999</v>
      </c>
      <c r="U9">
        <v>2.742</v>
      </c>
      <c r="V9" s="6" t="str">
        <f t="shared" si="1"/>
        <v/>
      </c>
      <c r="W9" s="5">
        <f t="shared" si="2"/>
        <v>2.7341025872055607</v>
      </c>
      <c r="X9" s="11">
        <f t="shared" si="3"/>
        <v>2.2000363752965768</v>
      </c>
      <c r="Y9" s="11">
        <f t="shared" si="4"/>
        <v>2.2187300049711212</v>
      </c>
      <c r="AB9" s="1"/>
      <c r="AL9" s="1"/>
      <c r="AM9">
        <v>27987</v>
      </c>
      <c r="AN9" t="s">
        <v>14</v>
      </c>
      <c r="AO9">
        <v>9.1720000000000006</v>
      </c>
      <c r="AP9" s="5">
        <v>9.129353970910028</v>
      </c>
      <c r="AQ9" s="2">
        <f>IF(ISBLANK(AN9),"",VLOOKUP(AN9,refs[#All],3,FALSE))</f>
        <v>8.6999999999999993</v>
      </c>
      <c r="AR9" s="2">
        <f t="shared" si="5"/>
        <v>0.46792901754733052</v>
      </c>
      <c r="AS9" s="2">
        <f t="shared" si="6"/>
        <v>0.42565080887291273</v>
      </c>
      <c r="BB9" s="11"/>
      <c r="BC9" s="11"/>
      <c r="BM9">
        <v>27970</v>
      </c>
      <c r="BN9" t="s">
        <v>14</v>
      </c>
      <c r="BO9">
        <v>38.296999999999997</v>
      </c>
      <c r="BP9">
        <v>9.2119999999999997</v>
      </c>
      <c r="BQ9" s="5">
        <v>9.1827795726605732</v>
      </c>
      <c r="BR9" s="11">
        <v>8.7526439425752187</v>
      </c>
      <c r="BS9" s="11">
        <v>8.7495738939455805</v>
      </c>
      <c r="BT9">
        <v>27970</v>
      </c>
      <c r="BU9">
        <v>41136</v>
      </c>
      <c r="BV9" t="b">
        <f t="shared" si="7"/>
        <v>1</v>
      </c>
      <c r="BW9" s="2">
        <f>IF(ISBLANK(BN9),"",VLOOKUP(BN9,refs[#All],3,FALSE))</f>
        <v>8.6999999999999993</v>
      </c>
      <c r="BX9" s="2">
        <f t="shared" si="13"/>
        <v>0.50758401903427952</v>
      </c>
      <c r="BY9" s="2">
        <f t="shared" si="10"/>
        <v>0.47861561679440889</v>
      </c>
      <c r="BZ9" s="2">
        <f t="shared" si="11"/>
        <v>5.218989052768741E-2</v>
      </c>
      <c r="CA9" s="2">
        <f t="shared" si="12"/>
        <v>4.9146320953319389E-2</v>
      </c>
    </row>
    <row r="10" spans="1:79" x14ac:dyDescent="0.2">
      <c r="A10" s="13">
        <v>44252.822812500002</v>
      </c>
      <c r="B10">
        <v>27944</v>
      </c>
      <c r="C10">
        <v>11</v>
      </c>
      <c r="D10" t="s">
        <v>104</v>
      </c>
      <c r="F10">
        <v>5.7050000000000001</v>
      </c>
      <c r="G10">
        <v>4</v>
      </c>
      <c r="H10">
        <v>231.4</v>
      </c>
      <c r="I10">
        <v>0</v>
      </c>
      <c r="J10">
        <v>27.6</v>
      </c>
      <c r="K10">
        <v>22.5</v>
      </c>
      <c r="L10">
        <v>2804</v>
      </c>
      <c r="M10">
        <v>2086</v>
      </c>
      <c r="N10">
        <v>337</v>
      </c>
      <c r="O10">
        <v>58.558999999999997</v>
      </c>
      <c r="P10">
        <v>58.127000000000002</v>
      </c>
      <c r="Q10">
        <v>0.432</v>
      </c>
      <c r="R10">
        <v>2.5999999999999999E-2</v>
      </c>
      <c r="T10">
        <v>0.36858999999999997</v>
      </c>
      <c r="U10">
        <v>5.8010000000000002</v>
      </c>
      <c r="V10" s="6" t="str">
        <f t="shared" si="1"/>
        <v/>
      </c>
      <c r="W10" s="5">
        <f t="shared" si="2"/>
        <v>5.7923128459261166</v>
      </c>
      <c r="X10" s="11">
        <f t="shared" si="3"/>
        <v>5.2979536087179895</v>
      </c>
      <c r="Y10" s="11">
        <f t="shared" si="4"/>
        <v>5.315768970603358</v>
      </c>
      <c r="AB10" s="1"/>
      <c r="AL10" s="1"/>
      <c r="AM10">
        <v>27988</v>
      </c>
      <c r="AN10" t="s">
        <v>12</v>
      </c>
      <c r="AO10">
        <v>-1.218</v>
      </c>
      <c r="AP10" s="5">
        <v>-1.2614357703694168</v>
      </c>
      <c r="AQ10" s="2">
        <f>IF(ISBLANK(AN10),"",VLOOKUP(AN10,refs[#All],3,FALSE))</f>
        <v>-1.8</v>
      </c>
      <c r="AR10" s="2">
        <f t="shared" si="5"/>
        <v>0.58304948908038945</v>
      </c>
      <c r="AS10" s="2">
        <f t="shared" si="6"/>
        <v>0.53953539333861933</v>
      </c>
      <c r="BB10" s="11"/>
      <c r="BC10" s="11"/>
      <c r="BM10">
        <v>27976</v>
      </c>
      <c r="BN10" t="s">
        <v>12</v>
      </c>
      <c r="BO10">
        <v>72.649000000000001</v>
      </c>
      <c r="BP10">
        <v>-1.175</v>
      </c>
      <c r="BQ10" s="5">
        <v>-1.2089588750160896</v>
      </c>
      <c r="BR10" s="11">
        <v>-1.7664314519429354</v>
      </c>
      <c r="BS10" s="11">
        <v>-1.7740273643086084</v>
      </c>
      <c r="BT10">
        <v>27976</v>
      </c>
      <c r="BU10">
        <v>262885</v>
      </c>
      <c r="BV10" t="b">
        <f t="shared" si="7"/>
        <v>1</v>
      </c>
      <c r="BW10" s="2">
        <f>IF(ISBLANK(BN10),"",VLOOKUP(BN10,refs[#All],3,FALSE))</f>
        <v>-1.8</v>
      </c>
      <c r="BX10" s="2">
        <f t="shared" si="13"/>
        <v>0.62612702865161296</v>
      </c>
      <c r="BY10" s="2">
        <f t="shared" si="10"/>
        <v>0.59210691743527555</v>
      </c>
      <c r="BZ10" s="2">
        <f t="shared" si="11"/>
        <v>3.3629080401720302E-2</v>
      </c>
      <c r="CA10" s="2">
        <f t="shared" si="12"/>
        <v>2.6019470738658512E-2</v>
      </c>
    </row>
    <row r="11" spans="1:79" x14ac:dyDescent="0.2">
      <c r="A11" s="13">
        <v>44252.830138888887</v>
      </c>
      <c r="B11">
        <v>27945</v>
      </c>
      <c r="C11">
        <v>12</v>
      </c>
      <c r="D11" t="s">
        <v>105</v>
      </c>
      <c r="F11">
        <v>5.7519999999999998</v>
      </c>
      <c r="G11">
        <v>4</v>
      </c>
      <c r="H11">
        <v>231.2</v>
      </c>
      <c r="I11">
        <v>0</v>
      </c>
      <c r="J11">
        <v>29</v>
      </c>
      <c r="K11">
        <v>23.7</v>
      </c>
      <c r="L11">
        <v>2390</v>
      </c>
      <c r="M11">
        <v>1777</v>
      </c>
      <c r="N11">
        <v>287</v>
      </c>
      <c r="O11">
        <v>50.704999999999998</v>
      </c>
      <c r="P11">
        <v>50.331000000000003</v>
      </c>
      <c r="Q11">
        <v>0.374</v>
      </c>
      <c r="R11">
        <v>2.1999999999999999E-2</v>
      </c>
      <c r="T11">
        <v>0.36829200000000001</v>
      </c>
      <c r="U11">
        <v>4.9829999999999997</v>
      </c>
      <c r="V11" s="6" t="str">
        <f t="shared" si="1"/>
        <v/>
      </c>
      <c r="W11" s="5">
        <f t="shared" si="2"/>
        <v>4.9735231046466719</v>
      </c>
      <c r="X11" s="11">
        <f t="shared" si="3"/>
        <v>4.4695223501876171</v>
      </c>
      <c r="Y11" s="11">
        <f t="shared" si="4"/>
        <v>4.4865590262475052</v>
      </c>
      <c r="AB11" s="1"/>
      <c r="AL11" s="1"/>
      <c r="AM11">
        <v>27989</v>
      </c>
      <c r="AN11" t="s">
        <v>12</v>
      </c>
      <c r="AO11">
        <v>-1.1930000000000001</v>
      </c>
      <c r="AP11" s="5">
        <v>-1.2372255116488609</v>
      </c>
      <c r="AQ11" s="2">
        <f>IF(ISBLANK(AN11),"",VLOOKUP(AN11,refs[#All],3,FALSE))</f>
        <v>-1.8</v>
      </c>
      <c r="AR11" s="2">
        <f t="shared" si="5"/>
        <v>0.60809457022648061</v>
      </c>
      <c r="AS11" s="2">
        <f t="shared" si="6"/>
        <v>0.56378930910749858</v>
      </c>
      <c r="BB11" s="11"/>
      <c r="BC11" s="11"/>
      <c r="BM11">
        <v>27985</v>
      </c>
      <c r="BN11" t="s">
        <v>11</v>
      </c>
      <c r="BO11">
        <v>64.206000000000003</v>
      </c>
      <c r="BP11">
        <v>0.29699999999999999</v>
      </c>
      <c r="BQ11" s="5">
        <v>0.25593345346891494</v>
      </c>
      <c r="BR11" s="11">
        <v>-0.27588963056291504</v>
      </c>
      <c r="BS11" s="11">
        <v>-0.29072074281168625</v>
      </c>
      <c r="BT11">
        <v>27985</v>
      </c>
      <c r="BU11">
        <v>230992</v>
      </c>
      <c r="BV11" t="b">
        <f t="shared" si="7"/>
        <v>1</v>
      </c>
      <c r="BW11" s="2">
        <f>IF(ISBLANK(BN11),"",VLOOKUP(BN11,refs[#All],3,FALSE))</f>
        <v>-0.4</v>
      </c>
      <c r="BX11" s="2">
        <f t="shared" si="13"/>
        <v>0.69727891156468047</v>
      </c>
      <c r="BY11" s="2">
        <f t="shared" si="10"/>
        <v>0.65619593184162994</v>
      </c>
      <c r="BZ11" s="2">
        <f t="shared" si="11"/>
        <v>0.12416003345050441</v>
      </c>
      <c r="CA11" s="2">
        <f t="shared" si="12"/>
        <v>0.10932298638288707</v>
      </c>
    </row>
    <row r="12" spans="1:79" x14ac:dyDescent="0.2">
      <c r="A12" s="13">
        <v>44252.837465277778</v>
      </c>
      <c r="B12">
        <v>27946</v>
      </c>
      <c r="C12">
        <v>13</v>
      </c>
      <c r="D12" t="s">
        <v>106</v>
      </c>
      <c r="F12">
        <v>5.9560000000000004</v>
      </c>
      <c r="G12">
        <v>4</v>
      </c>
      <c r="H12">
        <v>230.9</v>
      </c>
      <c r="I12">
        <v>0</v>
      </c>
      <c r="J12">
        <v>29.2</v>
      </c>
      <c r="K12">
        <v>23.9</v>
      </c>
      <c r="L12">
        <v>1605</v>
      </c>
      <c r="M12">
        <v>1195</v>
      </c>
      <c r="N12">
        <v>189</v>
      </c>
      <c r="O12">
        <v>34.853999999999999</v>
      </c>
      <c r="P12">
        <v>34.597000000000001</v>
      </c>
      <c r="Q12">
        <v>0.25700000000000001</v>
      </c>
      <c r="R12">
        <v>1.4999999999999999E-2</v>
      </c>
      <c r="T12">
        <v>0.36853999999999998</v>
      </c>
      <c r="U12">
        <v>5.6630000000000003</v>
      </c>
      <c r="V12" s="6" t="str">
        <f t="shared" si="1"/>
        <v/>
      </c>
      <c r="W12" s="5">
        <f t="shared" si="2"/>
        <v>5.6527333633672292</v>
      </c>
      <c r="X12" s="11">
        <f t="shared" si="3"/>
        <v>5.1581925581990618</v>
      </c>
      <c r="Y12" s="11">
        <f t="shared" si="4"/>
        <v>5.17441188930718</v>
      </c>
      <c r="AB12" s="1"/>
      <c r="AL12" s="1"/>
      <c r="AP12" s="5"/>
      <c r="AQ12" s="2" t="str">
        <f>IF(ISBLANK(AN12),"",VLOOKUP(AN12,refs[#All],3,FALSE))</f>
        <v/>
      </c>
      <c r="AR12" s="2" t="str">
        <f t="shared" si="5"/>
        <v/>
      </c>
      <c r="AS12" s="2" t="str">
        <f t="shared" si="6"/>
        <v/>
      </c>
      <c r="BB12" s="11"/>
      <c r="BC12" s="11"/>
      <c r="BM12">
        <v>27987</v>
      </c>
      <c r="BN12" t="s">
        <v>14</v>
      </c>
      <c r="BO12">
        <v>44.683</v>
      </c>
      <c r="BP12">
        <v>9.1720000000000006</v>
      </c>
      <c r="BQ12" s="5">
        <v>9.129353970910028</v>
      </c>
      <c r="BR12" s="11">
        <v>8.7121297943835998</v>
      </c>
      <c r="BS12" s="11">
        <v>8.695463013534777</v>
      </c>
      <c r="BT12">
        <v>27987</v>
      </c>
      <c r="BU12">
        <v>47709</v>
      </c>
      <c r="BV12" t="b">
        <f t="shared" si="7"/>
        <v>1</v>
      </c>
      <c r="BW12" s="2">
        <f>IF(ISBLANK(BN12),"",VLOOKUP(BN12,refs[#All],3,FALSE))</f>
        <v>8.6999999999999993</v>
      </c>
      <c r="BX12" s="2">
        <f t="shared" si="13"/>
        <v>0.46792901754733052</v>
      </c>
      <c r="BY12" s="2">
        <f t="shared" si="10"/>
        <v>0.42565080887291273</v>
      </c>
      <c r="BZ12" s="2">
        <f t="shared" si="11"/>
        <v>1.2025175357921469E-2</v>
      </c>
      <c r="CA12" s="2">
        <f t="shared" si="12"/>
        <v>-4.4978551256846799E-3</v>
      </c>
    </row>
    <row r="13" spans="1:79" x14ac:dyDescent="0.2">
      <c r="A13" s="13">
        <v>44252.84479166667</v>
      </c>
      <c r="B13">
        <v>27947</v>
      </c>
      <c r="C13">
        <v>14</v>
      </c>
      <c r="D13" t="s">
        <v>107</v>
      </c>
      <c r="F13">
        <v>5.8090000000000002</v>
      </c>
      <c r="G13">
        <v>4</v>
      </c>
      <c r="H13">
        <v>230.5</v>
      </c>
      <c r="I13">
        <v>0</v>
      </c>
      <c r="J13">
        <v>29.1</v>
      </c>
      <c r="K13">
        <v>23.8</v>
      </c>
      <c r="L13">
        <v>1631</v>
      </c>
      <c r="M13">
        <v>1215</v>
      </c>
      <c r="N13">
        <v>194</v>
      </c>
      <c r="O13">
        <v>35.271000000000001</v>
      </c>
      <c r="P13">
        <v>35.01</v>
      </c>
      <c r="Q13">
        <v>0.26100000000000001</v>
      </c>
      <c r="R13">
        <v>1.4999999999999999E-2</v>
      </c>
      <c r="T13">
        <v>0.36904300000000001</v>
      </c>
      <c r="U13">
        <v>7.0419999999999998</v>
      </c>
      <c r="V13" s="6" t="str">
        <f t="shared" si="1"/>
        <v/>
      </c>
      <c r="W13" s="5">
        <f t="shared" si="2"/>
        <v>7.0309436220877846</v>
      </c>
      <c r="X13" s="11">
        <f t="shared" si="3"/>
        <v>6.5548131689076854</v>
      </c>
      <c r="Y13" s="11">
        <f t="shared" si="4"/>
        <v>6.5701969084415168</v>
      </c>
      <c r="AB13" s="1"/>
      <c r="AL13" s="1"/>
      <c r="AP13" s="5"/>
      <c r="AQ13" s="2" t="str">
        <f>IF(ISBLANK(AN13),"",VLOOKUP(AN13,refs[#All],3,FALSE))</f>
        <v/>
      </c>
      <c r="AR13" s="2" t="str">
        <f t="shared" si="5"/>
        <v/>
      </c>
      <c r="AS13" s="2" t="str">
        <f t="shared" si="6"/>
        <v/>
      </c>
      <c r="BB13" s="11"/>
      <c r="BC13" s="11"/>
      <c r="BM13">
        <v>27988</v>
      </c>
      <c r="BN13" t="s">
        <v>12</v>
      </c>
      <c r="BO13">
        <v>69.968000000000004</v>
      </c>
      <c r="BP13">
        <v>-1.218</v>
      </c>
      <c r="BQ13" s="5">
        <v>-1.2614357703694168</v>
      </c>
      <c r="BR13" s="11">
        <v>-1.8099722245979137</v>
      </c>
      <c r="BS13" s="11">
        <v>-1.827162856156292</v>
      </c>
      <c r="BT13">
        <v>27988</v>
      </c>
      <c r="BU13">
        <v>253442</v>
      </c>
      <c r="BV13" t="b">
        <f t="shared" si="7"/>
        <v>1</v>
      </c>
      <c r="BW13" s="2">
        <f>IF(ISBLANK(BN13),"",VLOOKUP(BN13,refs[#All],3,FALSE))</f>
        <v>-1.8</v>
      </c>
      <c r="BX13" s="2">
        <f t="shared" si="13"/>
        <v>0.58304948908038945</v>
      </c>
      <c r="BY13" s="2">
        <f t="shared" si="10"/>
        <v>0.53953539333861933</v>
      </c>
      <c r="BZ13" s="2">
        <f t="shared" si="11"/>
        <v>-9.9902069704560503E-3</v>
      </c>
      <c r="CA13" s="2">
        <f t="shared" si="12"/>
        <v>-2.7211837463791966E-2</v>
      </c>
    </row>
    <row r="14" spans="1:79" x14ac:dyDescent="0.2">
      <c r="A14" s="13">
        <v>44252.852118055554</v>
      </c>
      <c r="B14">
        <v>27948</v>
      </c>
      <c r="C14">
        <v>15</v>
      </c>
      <c r="D14" t="s">
        <v>108</v>
      </c>
      <c r="F14">
        <v>5.6559999999999997</v>
      </c>
      <c r="G14">
        <v>4</v>
      </c>
      <c r="H14">
        <v>230.5</v>
      </c>
      <c r="I14">
        <v>0</v>
      </c>
      <c r="J14">
        <v>29.3</v>
      </c>
      <c r="K14">
        <v>23.9</v>
      </c>
      <c r="L14">
        <v>694</v>
      </c>
      <c r="M14">
        <v>514</v>
      </c>
      <c r="N14">
        <v>74</v>
      </c>
      <c r="O14">
        <v>15.365</v>
      </c>
      <c r="P14">
        <v>15.252000000000001</v>
      </c>
      <c r="Q14">
        <v>0.113</v>
      </c>
      <c r="R14">
        <v>5.0000000000000001E-3</v>
      </c>
      <c r="T14">
        <v>0.36692399999999997</v>
      </c>
      <c r="U14">
        <v>1.2370000000000001</v>
      </c>
      <c r="V14" s="6" t="str">
        <f t="shared" si="1"/>
        <v/>
      </c>
      <c r="W14" s="5">
        <f t="shared" si="2"/>
        <v>1.2251538808083409</v>
      </c>
      <c r="X14" s="11">
        <f t="shared" si="3"/>
        <v>0.67598122265678739</v>
      </c>
      <c r="Y14" s="11">
        <f t="shared" si="4"/>
        <v>0.69071457034090145</v>
      </c>
      <c r="AP14" s="5"/>
      <c r="AQ14" s="2" t="str">
        <f>IF(ISBLANK(AN14),"",VLOOKUP(AN14,refs[#All],3,FALSE))</f>
        <v/>
      </c>
      <c r="AR14" s="2" t="str">
        <f t="shared" si="5"/>
        <v/>
      </c>
      <c r="AS14" s="2" t="str">
        <f t="shared" si="6"/>
        <v/>
      </c>
      <c r="BC14" s="5"/>
      <c r="BM14">
        <v>27989</v>
      </c>
      <c r="BN14" t="s">
        <v>12</v>
      </c>
      <c r="BO14">
        <v>76.076999999999998</v>
      </c>
      <c r="BP14">
        <v>-1.1930000000000001</v>
      </c>
      <c r="BQ14" s="5">
        <v>-1.2372255116488609</v>
      </c>
      <c r="BR14" s="11">
        <v>-1.7846578279027199</v>
      </c>
      <c r="BS14" s="11">
        <v>-1.8026487625079426</v>
      </c>
      <c r="BT14">
        <v>27989</v>
      </c>
      <c r="BU14">
        <v>275410</v>
      </c>
      <c r="BV14" t="b">
        <f t="shared" si="7"/>
        <v>1</v>
      </c>
      <c r="BW14" s="2">
        <f>IF(ISBLANK(BN14),"",VLOOKUP(BN14,refs[#All],3,FALSE))</f>
        <v>-1.8</v>
      </c>
      <c r="BX14" s="2">
        <f t="shared" si="13"/>
        <v>0.60809457022648061</v>
      </c>
      <c r="BY14" s="2">
        <f t="shared" si="10"/>
        <v>0.56378930910749858</v>
      </c>
      <c r="BZ14" s="2">
        <f t="shared" si="11"/>
        <v>1.5369837805367936E-2</v>
      </c>
      <c r="CA14" s="2">
        <f t="shared" si="12"/>
        <v>-2.6535388779613811E-3</v>
      </c>
    </row>
    <row r="15" spans="1:79" x14ac:dyDescent="0.2">
      <c r="A15" s="13">
        <v>44252.859444444446</v>
      </c>
      <c r="B15">
        <v>27949</v>
      </c>
      <c r="C15">
        <v>16</v>
      </c>
      <c r="D15" t="s">
        <v>12</v>
      </c>
      <c r="G15">
        <v>4</v>
      </c>
      <c r="H15">
        <v>231.6</v>
      </c>
      <c r="I15">
        <v>57</v>
      </c>
      <c r="J15">
        <v>12.2</v>
      </c>
      <c r="K15">
        <v>11.1</v>
      </c>
      <c r="L15">
        <v>3289</v>
      </c>
      <c r="M15">
        <v>2431</v>
      </c>
      <c r="N15">
        <v>398</v>
      </c>
      <c r="O15">
        <v>74.369</v>
      </c>
      <c r="P15">
        <v>73.823999999999998</v>
      </c>
      <c r="Q15">
        <v>0.54500000000000004</v>
      </c>
      <c r="R15">
        <v>3.4000000000000002E-2</v>
      </c>
      <c r="T15">
        <v>0.366033</v>
      </c>
      <c r="U15">
        <v>-1.204</v>
      </c>
      <c r="V15" s="6" t="str">
        <f t="shared" si="1"/>
        <v/>
      </c>
      <c r="W15" s="5">
        <f t="shared" si="2"/>
        <v>-1.2166358604711029</v>
      </c>
      <c r="X15" s="11">
        <f t="shared" si="3"/>
        <v>-1.7957961645056457</v>
      </c>
      <c r="Y15" s="11">
        <f t="shared" si="4"/>
        <v>-1.7818007021832045</v>
      </c>
      <c r="AC15" s="2"/>
      <c r="AP15" s="5"/>
      <c r="AQ15" s="2" t="str">
        <f>IF(ISBLANK(AN15),"",VLOOKUP(AN15,refs[#All],3,FALSE))</f>
        <v/>
      </c>
      <c r="AR15" s="2" t="str">
        <f t="shared" si="5"/>
        <v/>
      </c>
      <c r="AS15" s="2" t="str">
        <f t="shared" si="6"/>
        <v/>
      </c>
      <c r="BC15" s="5"/>
      <c r="BQ15" s="5"/>
      <c r="BR15" s="11"/>
      <c r="BS15" s="11"/>
      <c r="BV15" t="b">
        <f t="shared" si="7"/>
        <v>1</v>
      </c>
      <c r="BW15" s="2" t="str">
        <f>IF(ISBLANK(BN15),"",VLOOKUP(BN15,refs[#All],3,FALSE))</f>
        <v/>
      </c>
      <c r="BX15" s="2" t="str">
        <f t="shared" si="13"/>
        <v/>
      </c>
      <c r="BY15" s="2" t="str">
        <f t="shared" si="10"/>
        <v/>
      </c>
      <c r="BZ15" s="2" t="str">
        <f t="shared" si="11"/>
        <v/>
      </c>
      <c r="CA15" s="2" t="str">
        <f t="shared" si="12"/>
        <v/>
      </c>
    </row>
    <row r="16" spans="1:79" x14ac:dyDescent="0.2">
      <c r="A16" s="13">
        <v>44252.866770833331</v>
      </c>
      <c r="B16">
        <v>27950</v>
      </c>
      <c r="C16">
        <v>17</v>
      </c>
      <c r="D16" t="s">
        <v>109</v>
      </c>
      <c r="F16">
        <v>5.6390000000000002</v>
      </c>
      <c r="G16">
        <v>4</v>
      </c>
      <c r="H16">
        <v>230.7</v>
      </c>
      <c r="I16">
        <v>0</v>
      </c>
      <c r="J16">
        <v>28.9</v>
      </c>
      <c r="K16">
        <v>23.6</v>
      </c>
      <c r="L16">
        <v>1068</v>
      </c>
      <c r="M16">
        <v>794</v>
      </c>
      <c r="N16">
        <v>123</v>
      </c>
      <c r="O16">
        <v>23.35</v>
      </c>
      <c r="P16">
        <v>23.178000000000001</v>
      </c>
      <c r="Q16">
        <v>0.17199999999999999</v>
      </c>
      <c r="R16">
        <v>8.9999999999999993E-3</v>
      </c>
      <c r="T16">
        <v>0.36804300000000001</v>
      </c>
      <c r="U16">
        <v>4.3029999999999999</v>
      </c>
      <c r="V16" s="6" t="str">
        <f t="shared" si="1"/>
        <v/>
      </c>
      <c r="W16" s="5">
        <f t="shared" si="2"/>
        <v>4.289574398249453</v>
      </c>
      <c r="X16" s="11">
        <f t="shared" si="3"/>
        <v>3.7808644986897662</v>
      </c>
      <c r="Y16" s="11">
        <f t="shared" si="4"/>
        <v>3.7939198287696172</v>
      </c>
      <c r="AC16" s="2"/>
      <c r="AP16" s="5"/>
      <c r="AQ16" s="2" t="str">
        <f>IF(ISBLANK(AN16),"",VLOOKUP(AN16,refs[#All],3,FALSE))</f>
        <v/>
      </c>
      <c r="AR16" s="2" t="str">
        <f t="shared" si="5"/>
        <v/>
      </c>
      <c r="AS16" s="2" t="str">
        <f t="shared" si="6"/>
        <v/>
      </c>
      <c r="BC16" s="5"/>
      <c r="BQ16" s="5"/>
      <c r="BR16" s="11"/>
      <c r="BS16" s="11"/>
      <c r="BV16" t="b">
        <f t="shared" si="7"/>
        <v>1</v>
      </c>
      <c r="BW16" s="2" t="str">
        <f>IF(ISBLANK(BN16),"",VLOOKUP(BN16,refs[#All],3,FALSE))</f>
        <v/>
      </c>
      <c r="BX16" s="2" t="str">
        <f t="shared" si="13"/>
        <v/>
      </c>
      <c r="BY16" s="2" t="str">
        <f t="shared" si="10"/>
        <v/>
      </c>
      <c r="BZ16" s="2" t="str">
        <f t="shared" si="11"/>
        <v/>
      </c>
      <c r="CA16" s="2" t="str">
        <f t="shared" si="12"/>
        <v/>
      </c>
    </row>
    <row r="17" spans="1:79" x14ac:dyDescent="0.2">
      <c r="A17" s="13">
        <v>44252.874097222222</v>
      </c>
      <c r="B17">
        <v>27951</v>
      </c>
      <c r="C17">
        <v>18</v>
      </c>
      <c r="D17" t="s">
        <v>110</v>
      </c>
      <c r="F17">
        <v>5.7060000000000004</v>
      </c>
      <c r="G17">
        <v>4</v>
      </c>
      <c r="H17">
        <v>230.5</v>
      </c>
      <c r="I17">
        <v>0</v>
      </c>
      <c r="J17">
        <v>29.2</v>
      </c>
      <c r="K17">
        <v>23.7</v>
      </c>
      <c r="L17">
        <v>1718</v>
      </c>
      <c r="M17">
        <v>1281</v>
      </c>
      <c r="N17">
        <v>205</v>
      </c>
      <c r="O17">
        <v>37.152999999999999</v>
      </c>
      <c r="P17">
        <v>36.878</v>
      </c>
      <c r="Q17">
        <v>0.27500000000000002</v>
      </c>
      <c r="R17">
        <v>1.6E-2</v>
      </c>
      <c r="T17">
        <v>0.36899700000000002</v>
      </c>
      <c r="U17">
        <v>6.9160000000000004</v>
      </c>
      <c r="V17" s="6" t="str">
        <f t="shared" si="1"/>
        <v/>
      </c>
      <c r="W17" s="5">
        <f t="shared" si="2"/>
        <v>6.9017846569700092</v>
      </c>
      <c r="X17" s="11">
        <f t="shared" si="3"/>
        <v>6.4272010542857743</v>
      </c>
      <c r="Y17" s="11">
        <f t="shared" si="4"/>
        <v>6.4393887776867587</v>
      </c>
      <c r="AC17" s="2"/>
      <c r="AP17" s="5"/>
      <c r="AQ17" s="2" t="str">
        <f>IF(ISBLANK(AN17),"",VLOOKUP(AN17,refs[#All],3,FALSE))</f>
        <v/>
      </c>
      <c r="AR17" s="2" t="str">
        <f t="shared" si="5"/>
        <v/>
      </c>
      <c r="AS17" s="2" t="str">
        <f t="shared" si="6"/>
        <v/>
      </c>
      <c r="BC17" s="5"/>
      <c r="BQ17" s="5"/>
      <c r="BR17" s="11"/>
      <c r="BS17" s="11"/>
      <c r="BV17" t="b">
        <f t="shared" si="7"/>
        <v>1</v>
      </c>
      <c r="BW17" s="2" t="str">
        <f>IF(ISBLANK(BN17),"",VLOOKUP(BN17,refs[#All],3,FALSE))</f>
        <v/>
      </c>
      <c r="BX17" s="2" t="str">
        <f t="shared" si="13"/>
        <v/>
      </c>
      <c r="BY17" s="2" t="str">
        <f t="shared" si="10"/>
        <v/>
      </c>
      <c r="BZ17" s="2" t="str">
        <f t="shared" si="11"/>
        <v/>
      </c>
      <c r="CA17" s="2" t="str">
        <f t="shared" si="12"/>
        <v/>
      </c>
    </row>
    <row r="18" spans="1:79" x14ac:dyDescent="0.2">
      <c r="A18" s="13">
        <v>44252.881423611114</v>
      </c>
      <c r="B18">
        <v>27952</v>
      </c>
      <c r="C18">
        <v>19</v>
      </c>
      <c r="D18" t="s">
        <v>111</v>
      </c>
      <c r="F18">
        <v>5.59</v>
      </c>
      <c r="G18">
        <v>4</v>
      </c>
      <c r="H18">
        <v>230.5</v>
      </c>
      <c r="I18">
        <v>0</v>
      </c>
      <c r="J18">
        <v>29.3</v>
      </c>
      <c r="K18">
        <v>23.9</v>
      </c>
      <c r="L18">
        <v>1110</v>
      </c>
      <c r="M18">
        <v>827</v>
      </c>
      <c r="N18">
        <v>128</v>
      </c>
      <c r="O18">
        <v>24.225999999999999</v>
      </c>
      <c r="P18">
        <v>24.047000000000001</v>
      </c>
      <c r="Q18">
        <v>0.17899999999999999</v>
      </c>
      <c r="R18">
        <v>8.9999999999999993E-3</v>
      </c>
      <c r="T18">
        <v>0.36859700000000001</v>
      </c>
      <c r="U18">
        <v>5.819</v>
      </c>
      <c r="V18" s="6" t="str">
        <f t="shared" si="1"/>
        <v/>
      </c>
      <c r="W18" s="5">
        <f t="shared" si="2"/>
        <v>5.8039949156905646</v>
      </c>
      <c r="X18" s="11">
        <f t="shared" si="3"/>
        <v>5.3161833484791714</v>
      </c>
      <c r="Y18" s="11">
        <f t="shared" si="4"/>
        <v>5.3275998395648685</v>
      </c>
      <c r="AC18" s="2"/>
      <c r="AM18" s="2"/>
      <c r="AP18" s="5"/>
      <c r="AQ18" s="2" t="str">
        <f>IF(ISBLANK(AN18),"",VLOOKUP(AN18,refs[#All],3,FALSE))</f>
        <v/>
      </c>
      <c r="AR18" s="2" t="str">
        <f t="shared" si="5"/>
        <v/>
      </c>
      <c r="AS18" s="2" t="str">
        <f t="shared" si="6"/>
        <v/>
      </c>
      <c r="BC18" s="5"/>
      <c r="BQ18" s="5"/>
      <c r="BR18" s="11"/>
      <c r="BS18" s="11"/>
      <c r="BT18" s="11"/>
      <c r="BV18" t="b">
        <f t="shared" si="7"/>
        <v>1</v>
      </c>
      <c r="BW18" s="2" t="str">
        <f>IF(ISBLANK(BN18),"",VLOOKUP(BN18,refs[#All],3,FALSE))</f>
        <v/>
      </c>
      <c r="BX18" s="2" t="str">
        <f t="shared" si="13"/>
        <v/>
      </c>
      <c r="BY18" s="2" t="str">
        <f t="shared" si="10"/>
        <v/>
      </c>
      <c r="BZ18" s="2" t="str">
        <f t="shared" si="11"/>
        <v/>
      </c>
      <c r="CA18" s="2" t="str">
        <f t="shared" si="12"/>
        <v/>
      </c>
    </row>
    <row r="19" spans="1:79" x14ac:dyDescent="0.2">
      <c r="A19" s="13">
        <v>44252.888749999998</v>
      </c>
      <c r="B19">
        <v>27953</v>
      </c>
      <c r="C19">
        <v>20</v>
      </c>
      <c r="D19" t="s">
        <v>112</v>
      </c>
      <c r="F19">
        <v>5.7210000000000001</v>
      </c>
      <c r="G19">
        <v>4</v>
      </c>
      <c r="H19">
        <v>231.2</v>
      </c>
      <c r="I19">
        <v>0</v>
      </c>
      <c r="J19">
        <v>29.3</v>
      </c>
      <c r="K19">
        <v>23.8</v>
      </c>
      <c r="L19">
        <v>2154</v>
      </c>
      <c r="M19">
        <v>1600</v>
      </c>
      <c r="N19">
        <v>258</v>
      </c>
      <c r="O19">
        <v>45.006999999999998</v>
      </c>
      <c r="P19">
        <v>44.676000000000002</v>
      </c>
      <c r="Q19">
        <v>0.33200000000000002</v>
      </c>
      <c r="R19">
        <v>0.02</v>
      </c>
      <c r="T19">
        <v>0.36793900000000002</v>
      </c>
      <c r="U19">
        <v>4.0190000000000001</v>
      </c>
      <c r="V19" s="6" t="str">
        <f t="shared" si="1"/>
        <v/>
      </c>
      <c r="W19" s="5">
        <f t="shared" si="2"/>
        <v>4.0032051744111214</v>
      </c>
      <c r="X19" s="11">
        <f t="shared" si="3"/>
        <v>3.4932522303950009</v>
      </c>
      <c r="Y19" s="11">
        <f t="shared" si="4"/>
        <v>3.5039155954226544</v>
      </c>
      <c r="AM19" s="2"/>
      <c r="AP19" s="5"/>
      <c r="AQ19" s="2" t="str">
        <f>IF(ISBLANK(AN19),"",VLOOKUP(AN19,refs[#All],3,FALSE))</f>
        <v/>
      </c>
      <c r="AR19" s="2" t="str">
        <f t="shared" si="5"/>
        <v/>
      </c>
      <c r="AS19" s="2" t="str">
        <f t="shared" si="6"/>
        <v/>
      </c>
      <c r="BC19" s="5"/>
      <c r="BQ19" s="5"/>
      <c r="BR19" s="11"/>
      <c r="BS19" s="11"/>
      <c r="BT19" s="11"/>
      <c r="BV19" t="b">
        <f t="shared" si="7"/>
        <v>1</v>
      </c>
      <c r="BW19" s="2" t="str">
        <f>IF(ISBLANK(BN19),"",VLOOKUP(BN19,refs[#All],3,FALSE))</f>
        <v/>
      </c>
      <c r="BX19" s="2" t="str">
        <f t="shared" si="13"/>
        <v/>
      </c>
      <c r="BY19" s="2" t="str">
        <f t="shared" si="10"/>
        <v/>
      </c>
      <c r="BZ19" s="2" t="str">
        <f t="shared" si="11"/>
        <v/>
      </c>
      <c r="CA19" s="2" t="str">
        <f t="shared" si="12"/>
        <v/>
      </c>
    </row>
    <row r="20" spans="1:79" x14ac:dyDescent="0.2">
      <c r="A20" s="13">
        <v>44252.89607638889</v>
      </c>
      <c r="B20">
        <v>27954</v>
      </c>
      <c r="C20">
        <v>21</v>
      </c>
      <c r="D20" t="s">
        <v>113</v>
      </c>
      <c r="F20">
        <v>5.7469999999999999</v>
      </c>
      <c r="G20">
        <v>4</v>
      </c>
      <c r="H20">
        <v>230.9</v>
      </c>
      <c r="I20">
        <v>0</v>
      </c>
      <c r="J20">
        <v>29.4</v>
      </c>
      <c r="K20">
        <v>24</v>
      </c>
      <c r="L20">
        <v>1673</v>
      </c>
      <c r="M20">
        <v>1241</v>
      </c>
      <c r="N20">
        <v>199</v>
      </c>
      <c r="O20">
        <v>35.915999999999997</v>
      </c>
      <c r="P20">
        <v>35.652000000000001</v>
      </c>
      <c r="Q20">
        <v>0.26400000000000001</v>
      </c>
      <c r="R20">
        <v>1.4999999999999999E-2</v>
      </c>
      <c r="T20">
        <v>0.36716599999999999</v>
      </c>
      <c r="U20">
        <v>1.9019999999999999</v>
      </c>
      <c r="V20" s="6" t="str">
        <f t="shared" si="1"/>
        <v/>
      </c>
      <c r="W20" s="5">
        <f t="shared" si="2"/>
        <v>1.885415433131677</v>
      </c>
      <c r="X20" s="11">
        <f t="shared" si="3"/>
        <v>1.3493934785459487</v>
      </c>
      <c r="Y20" s="11">
        <f t="shared" si="4"/>
        <v>1.3593115791320542</v>
      </c>
      <c r="AM20" s="2"/>
      <c r="AP20" s="5"/>
      <c r="AQ20" s="2" t="str">
        <f>IF(ISBLANK(AN20),"",VLOOKUP(AN20,refs[#All],3,FALSE))</f>
        <v/>
      </c>
      <c r="AR20" s="2" t="str">
        <f t="shared" si="5"/>
        <v/>
      </c>
      <c r="AS20" s="2" t="str">
        <f t="shared" si="6"/>
        <v/>
      </c>
      <c r="BC20" s="5"/>
      <c r="BQ20" s="5"/>
      <c r="BR20" s="11"/>
      <c r="BS20" s="11"/>
      <c r="BT20" s="11"/>
      <c r="BV20" t="b">
        <f t="shared" si="7"/>
        <v>1</v>
      </c>
      <c r="BW20" s="2" t="str">
        <f>IF(ISBLANK(BN20),"",VLOOKUP(BN20,refs[#All],3,FALSE))</f>
        <v/>
      </c>
      <c r="BX20" s="2" t="str">
        <f t="shared" si="13"/>
        <v/>
      </c>
      <c r="BY20" s="2" t="str">
        <f t="shared" si="10"/>
        <v/>
      </c>
      <c r="BZ20" s="2" t="str">
        <f t="shared" si="11"/>
        <v/>
      </c>
      <c r="CA20" s="2" t="str">
        <f t="shared" si="12"/>
        <v/>
      </c>
    </row>
    <row r="21" spans="1:79" x14ac:dyDescent="0.2">
      <c r="A21" s="13">
        <v>44252.903414351851</v>
      </c>
      <c r="B21">
        <v>27955</v>
      </c>
      <c r="C21">
        <v>22</v>
      </c>
      <c r="D21" t="s">
        <v>114</v>
      </c>
      <c r="F21">
        <v>5.7249999999999996</v>
      </c>
      <c r="G21">
        <v>4</v>
      </c>
      <c r="H21">
        <v>230.9</v>
      </c>
      <c r="I21">
        <v>0</v>
      </c>
      <c r="J21">
        <v>29.5</v>
      </c>
      <c r="K21">
        <v>24.1</v>
      </c>
      <c r="L21">
        <v>636</v>
      </c>
      <c r="M21">
        <v>473</v>
      </c>
      <c r="N21">
        <v>66</v>
      </c>
      <c r="O21">
        <v>14.071999999999999</v>
      </c>
      <c r="P21">
        <v>13.968999999999999</v>
      </c>
      <c r="Q21">
        <v>0.104</v>
      </c>
      <c r="R21">
        <v>4.0000000000000001E-3</v>
      </c>
      <c r="T21">
        <v>0.36775200000000002</v>
      </c>
      <c r="U21">
        <v>3.5049999999999999</v>
      </c>
      <c r="V21" s="6" t="str">
        <f t="shared" si="1"/>
        <v/>
      </c>
      <c r="W21" s="5">
        <f t="shared" si="2"/>
        <v>3.4876256918522333</v>
      </c>
      <c r="X21" s="11">
        <f t="shared" si="3"/>
        <v>2.972720013749381</v>
      </c>
      <c r="Y21" s="11">
        <f t="shared" si="4"/>
        <v>2.9817971397982319</v>
      </c>
      <c r="AM21" s="2"/>
      <c r="AP21" s="5"/>
      <c r="AQ21" s="2" t="str">
        <f>IF(ISBLANK(AN21),"",VLOOKUP(AN21,refs[#All],3,FALSE))</f>
        <v/>
      </c>
      <c r="AR21" s="2" t="str">
        <f t="shared" si="5"/>
        <v/>
      </c>
      <c r="AS21" s="2" t="str">
        <f t="shared" si="6"/>
        <v/>
      </c>
      <c r="BC21" s="5"/>
      <c r="BQ21" s="5"/>
      <c r="BR21" s="11"/>
      <c r="BS21" s="11"/>
      <c r="BT21" s="11"/>
      <c r="BV21" t="b">
        <f t="shared" si="7"/>
        <v>1</v>
      </c>
      <c r="BW21" s="2" t="str">
        <f>IF(ISBLANK(BN21),"",VLOOKUP(BN21,refs[#All],3,FALSE))</f>
        <v/>
      </c>
      <c r="BX21" s="2" t="str">
        <f t="shared" si="13"/>
        <v/>
      </c>
      <c r="BY21" s="2" t="str">
        <f t="shared" si="10"/>
        <v/>
      </c>
      <c r="BZ21" s="2" t="str">
        <f t="shared" si="11"/>
        <v/>
      </c>
      <c r="CA21" s="2" t="str">
        <f t="shared" si="12"/>
        <v/>
      </c>
    </row>
    <row r="22" spans="1:79" x14ac:dyDescent="0.2">
      <c r="A22" s="13">
        <v>44252.910752314812</v>
      </c>
      <c r="B22">
        <v>27956</v>
      </c>
      <c r="C22">
        <v>23</v>
      </c>
      <c r="D22" t="s">
        <v>115</v>
      </c>
      <c r="F22">
        <v>5.742</v>
      </c>
      <c r="G22">
        <v>4</v>
      </c>
      <c r="H22">
        <v>231.2</v>
      </c>
      <c r="I22">
        <v>0</v>
      </c>
      <c r="J22">
        <v>28.2</v>
      </c>
      <c r="K22">
        <v>23</v>
      </c>
      <c r="L22">
        <v>777</v>
      </c>
      <c r="M22">
        <v>577</v>
      </c>
      <c r="N22">
        <v>85</v>
      </c>
      <c r="O22">
        <v>17.126999999999999</v>
      </c>
      <c r="P22">
        <v>17.001000000000001</v>
      </c>
      <c r="Q22">
        <v>0.126</v>
      </c>
      <c r="R22">
        <v>6.0000000000000001E-3</v>
      </c>
      <c r="T22">
        <v>0.36780099999999999</v>
      </c>
      <c r="U22">
        <v>3.6389999999999998</v>
      </c>
      <c r="V22" s="6" t="str">
        <f t="shared" si="1"/>
        <v/>
      </c>
      <c r="W22" s="5">
        <f t="shared" si="2"/>
        <v>3.620835950572789</v>
      </c>
      <c r="X22" s="11">
        <f t="shared" si="3"/>
        <v>3.1084222848481886</v>
      </c>
      <c r="Y22" s="11">
        <f t="shared" si="4"/>
        <v>3.1166961950120822</v>
      </c>
      <c r="AO22" s="2"/>
      <c r="AP22" s="2"/>
      <c r="AQ22" s="2"/>
      <c r="AR22" s="2"/>
      <c r="AS22" s="2"/>
      <c r="BC22" s="5"/>
      <c r="BQ22" s="5"/>
      <c r="BR22" s="11"/>
      <c r="BS22" s="11"/>
      <c r="BT22" s="11"/>
      <c r="BV22" t="b">
        <f t="shared" si="7"/>
        <v>1</v>
      </c>
      <c r="BW22" s="2" t="str">
        <f>IF(ISBLANK(BN22),"",VLOOKUP(BN22,refs[#All],3,FALSE))</f>
        <v/>
      </c>
      <c r="BX22" s="2" t="str">
        <f t="shared" si="13"/>
        <v/>
      </c>
      <c r="BY22" s="2" t="str">
        <f t="shared" si="10"/>
        <v/>
      </c>
      <c r="BZ22" s="2" t="str">
        <f t="shared" si="11"/>
        <v/>
      </c>
      <c r="CA22" s="2" t="str">
        <f t="shared" si="12"/>
        <v/>
      </c>
    </row>
    <row r="23" spans="1:79" x14ac:dyDescent="0.2">
      <c r="A23" s="13">
        <v>44252.918078703704</v>
      </c>
      <c r="B23">
        <v>27957</v>
      </c>
      <c r="C23">
        <v>24</v>
      </c>
      <c r="D23" t="s">
        <v>116</v>
      </c>
      <c r="F23">
        <v>5.7069999999999999</v>
      </c>
      <c r="G23">
        <v>4</v>
      </c>
      <c r="H23">
        <v>231.8</v>
      </c>
      <c r="I23">
        <v>0</v>
      </c>
      <c r="J23">
        <v>28</v>
      </c>
      <c r="K23">
        <v>22.9</v>
      </c>
      <c r="L23">
        <v>2143</v>
      </c>
      <c r="M23">
        <v>1591</v>
      </c>
      <c r="N23">
        <v>259</v>
      </c>
      <c r="O23">
        <v>45.036000000000001</v>
      </c>
      <c r="P23">
        <v>44.704000000000001</v>
      </c>
      <c r="Q23">
        <v>0.33200000000000002</v>
      </c>
      <c r="R23">
        <v>0.02</v>
      </c>
      <c r="T23">
        <v>0.367815</v>
      </c>
      <c r="U23">
        <v>3.6789999999999998</v>
      </c>
      <c r="V23" s="6" t="str">
        <f t="shared" si="1"/>
        <v/>
      </c>
      <c r="W23" s="5">
        <f t="shared" si="2"/>
        <v>3.6600462092933452</v>
      </c>
      <c r="X23" s="11">
        <f t="shared" si="3"/>
        <v>3.1489305184639989</v>
      </c>
      <c r="Y23" s="11">
        <f t="shared" si="4"/>
        <v>3.1564036386533871</v>
      </c>
      <c r="AO23" s="2"/>
      <c r="AP23" s="2"/>
      <c r="AQ23" s="2"/>
      <c r="AR23" s="2"/>
      <c r="AS23" s="2"/>
      <c r="BC23" s="5"/>
      <c r="BQ23" s="5"/>
      <c r="BR23" s="11"/>
      <c r="BS23" s="11"/>
      <c r="BT23" s="11"/>
      <c r="BV23" t="b">
        <f t="shared" si="7"/>
        <v>1</v>
      </c>
      <c r="BW23" s="2" t="str">
        <f>IF(ISBLANK(BN23),"",VLOOKUP(BN23,refs[#All],3,FALSE))</f>
        <v/>
      </c>
      <c r="BX23" s="2" t="str">
        <f t="shared" si="13"/>
        <v/>
      </c>
      <c r="BY23" s="2" t="str">
        <f t="shared" si="10"/>
        <v/>
      </c>
      <c r="BZ23" s="2" t="str">
        <f t="shared" si="11"/>
        <v/>
      </c>
      <c r="CA23" s="2" t="str">
        <f t="shared" si="12"/>
        <v/>
      </c>
    </row>
    <row r="24" spans="1:79" x14ac:dyDescent="0.2">
      <c r="A24" s="13">
        <v>44252.925393518519</v>
      </c>
      <c r="B24">
        <v>27958</v>
      </c>
      <c r="C24">
        <v>25</v>
      </c>
      <c r="D24" t="s">
        <v>117</v>
      </c>
      <c r="F24">
        <v>5.9</v>
      </c>
      <c r="G24">
        <v>4</v>
      </c>
      <c r="H24">
        <v>230.7</v>
      </c>
      <c r="I24">
        <v>0</v>
      </c>
      <c r="J24">
        <v>29.3</v>
      </c>
      <c r="K24">
        <v>23.9</v>
      </c>
      <c r="L24">
        <v>693</v>
      </c>
      <c r="M24">
        <v>514</v>
      </c>
      <c r="N24">
        <v>74</v>
      </c>
      <c r="O24">
        <v>15.273999999999999</v>
      </c>
      <c r="P24">
        <v>15.162000000000001</v>
      </c>
      <c r="Q24">
        <v>0.112</v>
      </c>
      <c r="R24">
        <v>5.0000000000000001E-3</v>
      </c>
      <c r="T24">
        <v>0.36732300000000001</v>
      </c>
      <c r="U24">
        <v>2.331</v>
      </c>
      <c r="V24" s="6" t="str">
        <f t="shared" si="1"/>
        <v/>
      </c>
      <c r="W24" s="5">
        <f t="shared" si="2"/>
        <v>2.3112564680139012</v>
      </c>
      <c r="X24" s="11">
        <f t="shared" si="3"/>
        <v>1.7838266023578626</v>
      </c>
      <c r="Y24" s="11">
        <f t="shared" si="4"/>
        <v>1.7905347885035781</v>
      </c>
      <c r="AO24" s="2"/>
      <c r="AP24" s="2"/>
      <c r="AQ24" s="2"/>
      <c r="AR24" s="2"/>
      <c r="AS24" s="2"/>
      <c r="BC24" s="5"/>
      <c r="BV24" t="b">
        <f t="shared" si="7"/>
        <v>1</v>
      </c>
      <c r="BW24" s="2" t="str">
        <f>IF(ISBLANK(BN24),"",VLOOKUP(BN24,refs[#All],3,FALSE))</f>
        <v/>
      </c>
      <c r="BX24" s="2" t="str">
        <f t="shared" si="13"/>
        <v/>
      </c>
      <c r="BY24" s="2" t="str">
        <f t="shared" si="10"/>
        <v/>
      </c>
      <c r="BZ24" s="2" t="str">
        <f t="shared" si="11"/>
        <v/>
      </c>
      <c r="CA24" s="2" t="str">
        <f t="shared" si="12"/>
        <v/>
      </c>
    </row>
    <row r="25" spans="1:79" x14ac:dyDescent="0.2">
      <c r="A25" s="13">
        <v>44252.932719907411</v>
      </c>
      <c r="B25">
        <v>27959</v>
      </c>
      <c r="C25">
        <v>26</v>
      </c>
      <c r="D25" t="s">
        <v>118</v>
      </c>
      <c r="F25">
        <v>5.7190000000000003</v>
      </c>
      <c r="G25">
        <v>4</v>
      </c>
      <c r="H25">
        <v>231.2</v>
      </c>
      <c r="I25">
        <v>0</v>
      </c>
      <c r="J25">
        <v>28.3</v>
      </c>
      <c r="K25">
        <v>23</v>
      </c>
      <c r="L25">
        <v>1670</v>
      </c>
      <c r="M25">
        <v>1240</v>
      </c>
      <c r="N25">
        <v>199</v>
      </c>
      <c r="O25">
        <v>35.463999999999999</v>
      </c>
      <c r="P25">
        <v>35.203000000000003</v>
      </c>
      <c r="Q25">
        <v>0.26100000000000001</v>
      </c>
      <c r="R25">
        <v>1.4999999999999999E-2</v>
      </c>
      <c r="T25">
        <v>0.36782300000000001</v>
      </c>
      <c r="U25">
        <v>3.6989999999999998</v>
      </c>
      <c r="V25" s="6" t="str">
        <f t="shared" si="1"/>
        <v/>
      </c>
      <c r="W25" s="5">
        <f t="shared" si="2"/>
        <v>3.6784667267344573</v>
      </c>
      <c r="X25" s="11">
        <f t="shared" si="3"/>
        <v>3.1691846513045903</v>
      </c>
      <c r="Y25" s="11">
        <f t="shared" si="4"/>
        <v>3.1750577418380317</v>
      </c>
      <c r="AO25" s="2"/>
      <c r="AP25" s="2"/>
      <c r="AQ25" s="2"/>
      <c r="AR25" s="2"/>
      <c r="AS25" s="2"/>
      <c r="BC25" s="5"/>
      <c r="BV25" t="b">
        <f t="shared" si="7"/>
        <v>1</v>
      </c>
      <c r="BW25" s="2" t="str">
        <f>IF(ISBLANK(BN25),"",VLOOKUP(BN25,refs[#All],3,FALSE))</f>
        <v/>
      </c>
      <c r="BX25" s="2" t="str">
        <f t="shared" si="13"/>
        <v/>
      </c>
      <c r="BY25" s="2" t="str">
        <f t="shared" si="10"/>
        <v/>
      </c>
      <c r="BZ25" s="2" t="str">
        <f t="shared" si="11"/>
        <v/>
      </c>
      <c r="CA25" s="2" t="str">
        <f t="shared" si="12"/>
        <v/>
      </c>
    </row>
    <row r="26" spans="1:79" x14ac:dyDescent="0.2">
      <c r="A26" s="13">
        <v>44252.940046296295</v>
      </c>
      <c r="B26">
        <v>27960</v>
      </c>
      <c r="C26">
        <v>27</v>
      </c>
      <c r="D26" t="s">
        <v>12</v>
      </c>
      <c r="G26">
        <v>4</v>
      </c>
      <c r="H26">
        <v>232.2</v>
      </c>
      <c r="I26">
        <v>57</v>
      </c>
      <c r="J26">
        <v>12.6</v>
      </c>
      <c r="K26">
        <v>11.4</v>
      </c>
      <c r="L26">
        <v>3347</v>
      </c>
      <c r="M26">
        <v>2474</v>
      </c>
      <c r="N26">
        <v>406</v>
      </c>
      <c r="O26">
        <v>75.308999999999997</v>
      </c>
      <c r="P26">
        <v>74.757000000000005</v>
      </c>
      <c r="Q26">
        <v>0.55200000000000005</v>
      </c>
      <c r="R26">
        <v>3.4000000000000002E-2</v>
      </c>
      <c r="T26">
        <v>0.36602600000000002</v>
      </c>
      <c r="U26">
        <v>-1.2210000000000001</v>
      </c>
      <c r="V26" s="6" t="str">
        <f t="shared" si="1"/>
        <v/>
      </c>
      <c r="W26" s="5">
        <f t="shared" si="2"/>
        <v>-1.2423230145449866</v>
      </c>
      <c r="X26" s="11">
        <f t="shared" si="3"/>
        <v>-1.8130099510792661</v>
      </c>
      <c r="Y26" s="11">
        <f t="shared" si="4"/>
        <v>-1.8078102395575115</v>
      </c>
      <c r="AO26" s="2"/>
      <c r="AP26" s="2"/>
      <c r="AQ26" s="2"/>
      <c r="AR26" s="2"/>
      <c r="AS26" s="2"/>
      <c r="BC26" s="5"/>
    </row>
    <row r="27" spans="1:79" x14ac:dyDescent="0.2">
      <c r="A27" s="13">
        <v>44252.947372685187</v>
      </c>
      <c r="B27">
        <v>27961</v>
      </c>
      <c r="C27">
        <v>28</v>
      </c>
      <c r="D27" t="s">
        <v>119</v>
      </c>
      <c r="F27">
        <v>5.8710000000000004</v>
      </c>
      <c r="G27">
        <v>4</v>
      </c>
      <c r="H27">
        <v>232</v>
      </c>
      <c r="I27">
        <v>0</v>
      </c>
      <c r="J27">
        <v>29.5</v>
      </c>
      <c r="K27">
        <v>24</v>
      </c>
      <c r="L27">
        <v>3826</v>
      </c>
      <c r="M27">
        <v>2842</v>
      </c>
      <c r="N27">
        <v>465</v>
      </c>
      <c r="O27">
        <v>76.239999999999995</v>
      </c>
      <c r="P27">
        <v>75.677999999999997</v>
      </c>
      <c r="Q27">
        <v>0.56200000000000006</v>
      </c>
      <c r="R27">
        <v>3.5000000000000003E-2</v>
      </c>
      <c r="T27">
        <v>0.36788100000000001</v>
      </c>
      <c r="U27">
        <v>3.859</v>
      </c>
      <c r="V27" s="6" t="str">
        <f t="shared" si="1"/>
        <v/>
      </c>
      <c r="W27" s="5">
        <f t="shared" si="2"/>
        <v>3.8368872441755695</v>
      </c>
      <c r="X27" s="11">
        <f t="shared" si="3"/>
        <v>3.3312180988164073</v>
      </c>
      <c r="Y27" s="11">
        <f t="shared" si="4"/>
        <v>3.3354875210628734</v>
      </c>
      <c r="AO27" s="2"/>
      <c r="AP27" s="2"/>
      <c r="AQ27" s="2"/>
      <c r="AR27" s="2"/>
      <c r="AS27" s="2"/>
      <c r="BC27" s="5"/>
    </row>
    <row r="28" spans="1:79" x14ac:dyDescent="0.2">
      <c r="A28" s="13">
        <v>44252.954710648148</v>
      </c>
      <c r="B28">
        <v>27962</v>
      </c>
      <c r="C28">
        <v>29</v>
      </c>
      <c r="D28" t="s">
        <v>120</v>
      </c>
      <c r="F28">
        <v>5.7469999999999999</v>
      </c>
      <c r="G28">
        <v>4</v>
      </c>
      <c r="H28">
        <v>230.9</v>
      </c>
      <c r="I28">
        <v>0</v>
      </c>
      <c r="J28">
        <v>30.2</v>
      </c>
      <c r="K28">
        <v>24.7</v>
      </c>
      <c r="L28">
        <v>857</v>
      </c>
      <c r="M28">
        <v>636</v>
      </c>
      <c r="N28">
        <v>96</v>
      </c>
      <c r="O28">
        <v>18.861999999999998</v>
      </c>
      <c r="P28">
        <v>18.722999999999999</v>
      </c>
      <c r="Q28">
        <v>0.13900000000000001</v>
      </c>
      <c r="R28">
        <v>7.0000000000000001E-3</v>
      </c>
      <c r="T28">
        <v>0.367477</v>
      </c>
      <c r="U28">
        <v>2.7519999999999998</v>
      </c>
      <c r="V28" s="6" t="str">
        <f t="shared" si="1"/>
        <v/>
      </c>
      <c r="W28" s="5">
        <f t="shared" si="2"/>
        <v>2.7290975028961255</v>
      </c>
      <c r="X28" s="11">
        <f t="shared" si="3"/>
        <v>2.210163190007961</v>
      </c>
      <c r="Y28" s="11">
        <f t="shared" si="4"/>
        <v>2.2136615774048778</v>
      </c>
      <c r="AO28" s="2"/>
      <c r="AP28" s="2"/>
      <c r="AQ28" s="2"/>
      <c r="AR28" s="2"/>
      <c r="AS28" s="2"/>
      <c r="BC28" s="5"/>
    </row>
    <row r="29" spans="1:79" x14ac:dyDescent="0.2">
      <c r="A29" s="13">
        <v>44252.962037037039</v>
      </c>
      <c r="B29">
        <v>27963</v>
      </c>
      <c r="C29">
        <v>30</v>
      </c>
      <c r="D29" t="s">
        <v>121</v>
      </c>
      <c r="F29">
        <v>5.8460000000000001</v>
      </c>
      <c r="G29">
        <v>4</v>
      </c>
      <c r="H29">
        <v>231.4</v>
      </c>
      <c r="I29">
        <v>0</v>
      </c>
      <c r="J29">
        <v>28.5</v>
      </c>
      <c r="K29">
        <v>23.3</v>
      </c>
      <c r="L29">
        <v>3882</v>
      </c>
      <c r="M29">
        <v>2883</v>
      </c>
      <c r="N29">
        <v>473</v>
      </c>
      <c r="O29">
        <v>77.073999999999998</v>
      </c>
      <c r="P29">
        <v>76.506</v>
      </c>
      <c r="Q29">
        <v>0.56799999999999995</v>
      </c>
      <c r="R29">
        <v>3.5999999999999997E-2</v>
      </c>
      <c r="T29">
        <v>0.36774600000000002</v>
      </c>
      <c r="U29">
        <v>3.4889999999999999</v>
      </c>
      <c r="V29" s="6" t="str">
        <f t="shared" si="1"/>
        <v/>
      </c>
      <c r="W29" s="5">
        <f t="shared" si="2"/>
        <v>3.4653077616166814</v>
      </c>
      <c r="X29" s="11">
        <f t="shared" si="3"/>
        <v>2.9565167895640343</v>
      </c>
      <c r="Y29" s="11">
        <f t="shared" si="4"/>
        <v>2.9591963162660022</v>
      </c>
      <c r="AO29" s="2"/>
      <c r="AP29" s="2"/>
      <c r="AQ29" s="2"/>
      <c r="AR29" s="2"/>
      <c r="AS29" s="2"/>
      <c r="BC29" s="5"/>
    </row>
    <row r="30" spans="1:79" x14ac:dyDescent="0.2">
      <c r="A30" s="13">
        <v>44252.969363425924</v>
      </c>
      <c r="B30">
        <v>27964</v>
      </c>
      <c r="C30">
        <v>31</v>
      </c>
      <c r="D30" t="s">
        <v>122</v>
      </c>
      <c r="F30">
        <v>5.8170000000000002</v>
      </c>
      <c r="G30">
        <v>4</v>
      </c>
      <c r="H30">
        <v>230.9</v>
      </c>
      <c r="I30">
        <v>0</v>
      </c>
      <c r="J30">
        <v>29.8</v>
      </c>
      <c r="K30">
        <v>24.5</v>
      </c>
      <c r="L30">
        <v>1212</v>
      </c>
      <c r="M30">
        <v>900</v>
      </c>
      <c r="N30">
        <v>142</v>
      </c>
      <c r="O30">
        <v>26.344000000000001</v>
      </c>
      <c r="P30">
        <v>26.151</v>
      </c>
      <c r="Q30">
        <v>0.19400000000000001</v>
      </c>
      <c r="R30">
        <v>0.01</v>
      </c>
      <c r="T30">
        <v>0.367697</v>
      </c>
      <c r="U30">
        <v>3.3540000000000001</v>
      </c>
      <c r="V30" s="6" t="str">
        <f t="shared" si="1"/>
        <v/>
      </c>
      <c r="W30" s="5">
        <f t="shared" si="2"/>
        <v>3.3295180203372379</v>
      </c>
      <c r="X30" s="11">
        <f t="shared" si="3"/>
        <v>2.8198023578535185</v>
      </c>
      <c r="Y30" s="11">
        <f t="shared" si="4"/>
        <v>2.8216856433898556</v>
      </c>
      <c r="AO30" s="2"/>
      <c r="AP30" s="2"/>
      <c r="AQ30" s="2"/>
      <c r="AR30" s="2"/>
      <c r="AS30" s="2"/>
      <c r="BC30" s="5"/>
    </row>
    <row r="31" spans="1:79" x14ac:dyDescent="0.2">
      <c r="A31" s="13">
        <v>44252.976689814815</v>
      </c>
      <c r="B31">
        <v>27965</v>
      </c>
      <c r="C31">
        <v>32</v>
      </c>
      <c r="D31" t="s">
        <v>123</v>
      </c>
      <c r="F31">
        <v>5.8470000000000004</v>
      </c>
      <c r="G31">
        <v>4</v>
      </c>
      <c r="H31">
        <v>231.6</v>
      </c>
      <c r="I31">
        <v>0</v>
      </c>
      <c r="J31">
        <v>29.6</v>
      </c>
      <c r="K31">
        <v>24.1</v>
      </c>
      <c r="L31">
        <v>1373</v>
      </c>
      <c r="M31">
        <v>1020</v>
      </c>
      <c r="N31">
        <v>163</v>
      </c>
      <c r="O31">
        <v>29.588999999999999</v>
      </c>
      <c r="P31">
        <v>29.370999999999999</v>
      </c>
      <c r="Q31">
        <v>0.218</v>
      </c>
      <c r="R31">
        <v>1.2E-2</v>
      </c>
      <c r="T31">
        <v>0.36765999999999999</v>
      </c>
      <c r="U31">
        <v>3.2530000000000001</v>
      </c>
      <c r="V31" s="6" t="str">
        <f t="shared" si="1"/>
        <v/>
      </c>
      <c r="W31" s="5">
        <f t="shared" si="2"/>
        <v>3.2277282790577941</v>
      </c>
      <c r="X31" s="11">
        <f t="shared" si="3"/>
        <v>2.7175200274031113</v>
      </c>
      <c r="Y31" s="11">
        <f t="shared" si="4"/>
        <v>2.7186061914036372</v>
      </c>
      <c r="AO31" s="2"/>
      <c r="AP31" s="2"/>
      <c r="AQ31" s="2"/>
      <c r="AR31" s="2"/>
      <c r="AS31" s="2"/>
      <c r="BC31" s="5"/>
    </row>
    <row r="32" spans="1:79" x14ac:dyDescent="0.2">
      <c r="A32" s="13">
        <v>44252.984016203707</v>
      </c>
      <c r="B32">
        <v>27966</v>
      </c>
      <c r="C32">
        <v>33</v>
      </c>
      <c r="D32" t="s">
        <v>12</v>
      </c>
      <c r="G32">
        <v>4</v>
      </c>
      <c r="H32">
        <v>232.2</v>
      </c>
      <c r="I32">
        <v>57</v>
      </c>
      <c r="J32">
        <v>12.7</v>
      </c>
      <c r="K32">
        <v>11.5</v>
      </c>
      <c r="L32">
        <v>3334</v>
      </c>
      <c r="M32">
        <v>2464</v>
      </c>
      <c r="N32">
        <v>409</v>
      </c>
      <c r="O32">
        <v>75.033000000000001</v>
      </c>
      <c r="P32">
        <v>74.483000000000004</v>
      </c>
      <c r="Q32">
        <v>0.55000000000000004</v>
      </c>
      <c r="R32">
        <v>3.4000000000000002E-2</v>
      </c>
      <c r="T32">
        <v>0.366037</v>
      </c>
      <c r="U32">
        <v>-1.1910000000000001</v>
      </c>
      <c r="V32" s="6" t="str">
        <f t="shared" si="1"/>
        <v/>
      </c>
      <c r="W32" s="5">
        <f t="shared" si="2"/>
        <v>-1.2170614622216502</v>
      </c>
      <c r="X32" s="11">
        <f t="shared" si="3"/>
        <v>-1.7826326754455977</v>
      </c>
      <c r="Y32" s="11">
        <f t="shared" si="4"/>
        <v>-1.7822316455362852</v>
      </c>
      <c r="AO32" s="2"/>
      <c r="AP32" s="2"/>
      <c r="AQ32" s="2"/>
      <c r="AR32" s="2"/>
      <c r="AS32" s="2"/>
      <c r="BC32" s="5"/>
    </row>
    <row r="33" spans="1:55" x14ac:dyDescent="0.2">
      <c r="A33" s="13">
        <v>44252.991342592592</v>
      </c>
      <c r="B33">
        <v>27967</v>
      </c>
      <c r="C33">
        <v>34</v>
      </c>
      <c r="D33" t="s">
        <v>102</v>
      </c>
      <c r="G33">
        <v>4</v>
      </c>
      <c r="H33">
        <v>231.4</v>
      </c>
      <c r="I33">
        <v>0</v>
      </c>
      <c r="J33">
        <v>29.6</v>
      </c>
      <c r="K33">
        <v>24.1</v>
      </c>
      <c r="L33">
        <v>1002</v>
      </c>
      <c r="M33">
        <v>744</v>
      </c>
      <c r="N33">
        <v>115</v>
      </c>
      <c r="O33">
        <v>22.245999999999999</v>
      </c>
      <c r="P33">
        <v>22.082000000000001</v>
      </c>
      <c r="Q33">
        <v>0.16400000000000001</v>
      </c>
      <c r="R33">
        <v>8.0000000000000002E-3</v>
      </c>
      <c r="T33">
        <v>0.367641</v>
      </c>
      <c r="U33">
        <v>3.2010000000000001</v>
      </c>
      <c r="V33" s="6" t="str">
        <f t="shared" si="1"/>
        <v/>
      </c>
      <c r="W33" s="5">
        <f t="shared" si="2"/>
        <v>3.1741487964989061</v>
      </c>
      <c r="X33" s="11">
        <f t="shared" si="3"/>
        <v>2.6648599239614441</v>
      </c>
      <c r="Y33" s="11">
        <f t="shared" si="4"/>
        <v>2.6643479493211544</v>
      </c>
      <c r="AO33" s="2"/>
      <c r="AP33" s="2"/>
      <c r="AQ33" s="2"/>
      <c r="AR33" s="2"/>
      <c r="AS33" s="2"/>
      <c r="BC33" s="5"/>
    </row>
    <row r="34" spans="1:55" x14ac:dyDescent="0.2">
      <c r="A34" s="13">
        <v>44252.998680555553</v>
      </c>
      <c r="B34">
        <v>27968</v>
      </c>
      <c r="C34">
        <v>35</v>
      </c>
      <c r="D34" t="s">
        <v>11</v>
      </c>
      <c r="E34" t="s">
        <v>57</v>
      </c>
      <c r="G34">
        <v>4</v>
      </c>
      <c r="H34">
        <v>231.2</v>
      </c>
      <c r="I34">
        <v>50</v>
      </c>
      <c r="J34">
        <v>14.2</v>
      </c>
      <c r="K34">
        <v>12.6</v>
      </c>
      <c r="L34">
        <v>3156</v>
      </c>
      <c r="M34">
        <v>2335</v>
      </c>
      <c r="N34">
        <v>388</v>
      </c>
      <c r="O34">
        <v>72.082999999999998</v>
      </c>
      <c r="P34">
        <v>71.554000000000002</v>
      </c>
      <c r="Q34">
        <v>0.52900000000000003</v>
      </c>
      <c r="R34">
        <v>3.3000000000000002E-2</v>
      </c>
      <c r="T34">
        <v>0.36658800000000002</v>
      </c>
      <c r="U34">
        <v>0.317</v>
      </c>
      <c r="V34" s="6" t="str">
        <f t="shared" si="1"/>
        <v/>
      </c>
      <c r="W34" s="5">
        <f t="shared" si="2"/>
        <v>0.28935905521946198</v>
      </c>
      <c r="X34" s="11">
        <f t="shared" si="3"/>
        <v>-0.25563730502301496</v>
      </c>
      <c r="Y34" s="11">
        <f t="shared" si="4"/>
        <v>-0.25687430127345579</v>
      </c>
      <c r="AO34" s="2"/>
      <c r="AP34" s="2"/>
      <c r="AQ34" s="2"/>
      <c r="AR34" s="2"/>
      <c r="AS34" s="2"/>
      <c r="BC34" s="5"/>
    </row>
    <row r="35" spans="1:55" x14ac:dyDescent="0.2">
      <c r="A35" s="13">
        <v>44253.013333333336</v>
      </c>
      <c r="B35">
        <v>27970</v>
      </c>
      <c r="C35">
        <v>37</v>
      </c>
      <c r="D35" t="s">
        <v>14</v>
      </c>
      <c r="G35">
        <v>4</v>
      </c>
      <c r="H35">
        <v>230.5</v>
      </c>
      <c r="I35">
        <v>0</v>
      </c>
      <c r="J35">
        <v>28</v>
      </c>
      <c r="K35">
        <v>22.8</v>
      </c>
      <c r="L35">
        <v>1704</v>
      </c>
      <c r="M35">
        <v>1273</v>
      </c>
      <c r="N35">
        <v>207</v>
      </c>
      <c r="O35">
        <v>38.296999999999997</v>
      </c>
      <c r="P35">
        <v>38.014000000000003</v>
      </c>
      <c r="Q35">
        <v>0.28399999999999997</v>
      </c>
      <c r="R35">
        <v>1.7000000000000001E-2</v>
      </c>
      <c r="T35">
        <v>0.36983500000000002</v>
      </c>
      <c r="U35">
        <v>9.2119999999999997</v>
      </c>
      <c r="V35" s="6" t="str">
        <f t="shared" si="1"/>
        <v/>
      </c>
      <c r="W35" s="5">
        <f t="shared" si="2"/>
        <v>9.1827795726605732</v>
      </c>
      <c r="X35" s="11">
        <f t="shared" si="3"/>
        <v>8.7526439425752187</v>
      </c>
      <c r="Y35" s="11">
        <f t="shared" si="4"/>
        <v>8.7495738939455805</v>
      </c>
      <c r="AO35" s="2"/>
      <c r="AP35" s="2"/>
      <c r="AQ35" s="2"/>
      <c r="AR35" s="2"/>
      <c r="AS35" s="2"/>
      <c r="BC35" s="5"/>
    </row>
    <row r="36" spans="1:55" x14ac:dyDescent="0.2">
      <c r="A36" s="13">
        <v>44253.057291666664</v>
      </c>
      <c r="B36">
        <v>27976</v>
      </c>
      <c r="C36">
        <v>43</v>
      </c>
      <c r="D36" t="s">
        <v>12</v>
      </c>
      <c r="G36">
        <v>4</v>
      </c>
      <c r="H36">
        <v>232.2</v>
      </c>
      <c r="I36">
        <v>57</v>
      </c>
      <c r="J36">
        <v>12.2</v>
      </c>
      <c r="K36">
        <v>10.9</v>
      </c>
      <c r="L36">
        <v>3213</v>
      </c>
      <c r="M36">
        <v>2375</v>
      </c>
      <c r="N36">
        <v>399</v>
      </c>
      <c r="O36">
        <v>72.649000000000001</v>
      </c>
      <c r="P36">
        <v>72.116</v>
      </c>
      <c r="Q36">
        <v>0.53300000000000003</v>
      </c>
      <c r="R36">
        <v>3.4000000000000002E-2</v>
      </c>
      <c r="T36">
        <v>0.36604300000000001</v>
      </c>
      <c r="U36">
        <v>-1.175</v>
      </c>
      <c r="V36" s="6" t="str">
        <f t="shared" si="1"/>
        <v/>
      </c>
      <c r="W36" s="5">
        <f t="shared" si="2"/>
        <v>-1.2089588750160896</v>
      </c>
      <c r="X36" s="11">
        <f t="shared" si="3"/>
        <v>-1.7664314519429354</v>
      </c>
      <c r="Y36" s="11">
        <f t="shared" si="4"/>
        <v>-1.7740273643086084</v>
      </c>
      <c r="AO36" s="2"/>
      <c r="AP36" s="2"/>
      <c r="AQ36" s="2"/>
      <c r="AR36" s="2"/>
      <c r="AS36" s="2"/>
      <c r="BC36" s="5"/>
    </row>
    <row r="37" spans="1:55" x14ac:dyDescent="0.2">
      <c r="A37" s="13">
        <v>44253.071944444448</v>
      </c>
      <c r="B37">
        <v>27978</v>
      </c>
      <c r="C37">
        <v>45</v>
      </c>
      <c r="D37" t="s">
        <v>130</v>
      </c>
      <c r="F37">
        <v>0.26</v>
      </c>
      <c r="G37">
        <v>4</v>
      </c>
      <c r="H37">
        <v>230.9</v>
      </c>
      <c r="I37">
        <v>0</v>
      </c>
      <c r="J37">
        <v>28.2</v>
      </c>
      <c r="K37">
        <v>22.8</v>
      </c>
      <c r="L37">
        <v>589</v>
      </c>
      <c r="M37">
        <v>436</v>
      </c>
      <c r="N37">
        <v>61</v>
      </c>
      <c r="O37">
        <v>13.346</v>
      </c>
      <c r="P37">
        <v>13.247999999999999</v>
      </c>
      <c r="Q37">
        <v>9.8000000000000004E-2</v>
      </c>
      <c r="R37">
        <v>4.0000000000000001E-3</v>
      </c>
      <c r="T37">
        <v>0.36613600000000002</v>
      </c>
      <c r="U37">
        <v>-0.92100000000000004</v>
      </c>
      <c r="V37" s="6" t="str">
        <f t="shared" si="1"/>
        <v/>
      </c>
      <c r="W37" s="5">
        <f t="shared" si="2"/>
        <v>-0.95653835757497752</v>
      </c>
      <c r="X37" s="11">
        <f t="shared" si="3"/>
        <v>-1.5092361127406093</v>
      </c>
      <c r="Y37" s="11">
        <f t="shared" si="4"/>
        <v>-1.518437890280893</v>
      </c>
      <c r="AO37" s="2"/>
      <c r="AP37" s="2"/>
      <c r="AQ37" s="2"/>
      <c r="AR37" s="2"/>
      <c r="AS37" s="2"/>
      <c r="BC37" s="5"/>
    </row>
    <row r="38" spans="1:55" x14ac:dyDescent="0.2">
      <c r="A38" s="13">
        <v>44253.115925925929</v>
      </c>
      <c r="B38">
        <v>27984</v>
      </c>
      <c r="C38">
        <v>51</v>
      </c>
      <c r="D38" t="s">
        <v>102</v>
      </c>
      <c r="G38">
        <v>4</v>
      </c>
      <c r="H38">
        <v>230.9</v>
      </c>
      <c r="I38">
        <v>0</v>
      </c>
      <c r="J38">
        <v>27.6</v>
      </c>
      <c r="K38">
        <v>22.4</v>
      </c>
      <c r="L38">
        <v>969</v>
      </c>
      <c r="M38">
        <v>719</v>
      </c>
      <c r="N38">
        <v>113</v>
      </c>
      <c r="O38">
        <v>21.504999999999999</v>
      </c>
      <c r="P38">
        <v>21.347000000000001</v>
      </c>
      <c r="Q38">
        <v>0.158</v>
      </c>
      <c r="R38">
        <v>8.0000000000000002E-3</v>
      </c>
      <c r="T38">
        <v>0.36770999999999998</v>
      </c>
      <c r="U38">
        <v>3.39</v>
      </c>
      <c r="V38" s="6" t="str">
        <f t="shared" si="1"/>
        <v/>
      </c>
      <c r="W38" s="5">
        <f t="shared" si="2"/>
        <v>3.3497231947483592</v>
      </c>
      <c r="X38" s="11">
        <f t="shared" si="3"/>
        <v>2.8562594920261972</v>
      </c>
      <c r="Y38" s="11">
        <f t="shared" si="4"/>
        <v>2.8421468570470552</v>
      </c>
      <c r="AO38" s="2"/>
      <c r="AP38" s="2"/>
      <c r="AQ38" s="2"/>
      <c r="AR38" s="2"/>
      <c r="AS38" s="2"/>
      <c r="BC38" s="5"/>
    </row>
    <row r="39" spans="1:55" x14ac:dyDescent="0.2">
      <c r="A39" s="13">
        <v>44253.123252314814</v>
      </c>
      <c r="B39">
        <v>27985</v>
      </c>
      <c r="C39">
        <v>52</v>
      </c>
      <c r="D39" t="s">
        <v>11</v>
      </c>
      <c r="E39" t="s">
        <v>57</v>
      </c>
      <c r="G39">
        <v>4</v>
      </c>
      <c r="H39">
        <v>232</v>
      </c>
      <c r="I39">
        <v>57</v>
      </c>
      <c r="J39">
        <v>12.3</v>
      </c>
      <c r="K39">
        <v>11.1</v>
      </c>
      <c r="L39">
        <v>2797</v>
      </c>
      <c r="M39">
        <v>2070</v>
      </c>
      <c r="N39">
        <v>347</v>
      </c>
      <c r="O39">
        <v>64.206000000000003</v>
      </c>
      <c r="P39">
        <v>63.734999999999999</v>
      </c>
      <c r="Q39">
        <v>0.47099999999999997</v>
      </c>
      <c r="R39">
        <v>0.03</v>
      </c>
      <c r="T39">
        <v>0.36658000000000002</v>
      </c>
      <c r="U39">
        <v>0.29699999999999999</v>
      </c>
      <c r="V39" s="6" t="str">
        <f t="shared" si="1"/>
        <v/>
      </c>
      <c r="W39" s="5">
        <f t="shared" si="2"/>
        <v>0.25593345346891494</v>
      </c>
      <c r="X39" s="11">
        <f t="shared" si="3"/>
        <v>-0.27588963056291504</v>
      </c>
      <c r="Y39" s="11">
        <f t="shared" si="4"/>
        <v>-0.29072074281168625</v>
      </c>
      <c r="AO39" s="2"/>
      <c r="AP39" s="2"/>
      <c r="AQ39" s="2"/>
      <c r="AR39" s="2"/>
      <c r="AS39" s="2"/>
      <c r="BC39" s="5"/>
    </row>
    <row r="40" spans="1:55" x14ac:dyDescent="0.2">
      <c r="A40" s="13">
        <v>44253.137916666667</v>
      </c>
      <c r="B40">
        <v>27987</v>
      </c>
      <c r="C40">
        <v>54</v>
      </c>
      <c r="D40" t="s">
        <v>14</v>
      </c>
      <c r="G40">
        <v>4</v>
      </c>
      <c r="H40">
        <v>230.7</v>
      </c>
      <c r="I40">
        <v>0</v>
      </c>
      <c r="J40">
        <v>27.6</v>
      </c>
      <c r="K40">
        <v>22.4</v>
      </c>
      <c r="L40">
        <v>1992</v>
      </c>
      <c r="M40">
        <v>1487</v>
      </c>
      <c r="N40">
        <v>247</v>
      </c>
      <c r="O40">
        <v>44.683</v>
      </c>
      <c r="P40">
        <v>44.351999999999997</v>
      </c>
      <c r="Q40">
        <v>0.33100000000000002</v>
      </c>
      <c r="R40">
        <v>0.02</v>
      </c>
      <c r="T40">
        <v>0.36982100000000001</v>
      </c>
      <c r="U40">
        <v>9.1720000000000006</v>
      </c>
      <c r="V40" s="6" t="str">
        <f t="shared" si="1"/>
        <v/>
      </c>
      <c r="W40" s="5">
        <f t="shared" si="2"/>
        <v>9.129353970910028</v>
      </c>
      <c r="X40" s="11">
        <f t="shared" si="3"/>
        <v>8.7121297943835998</v>
      </c>
      <c r="Y40" s="11">
        <f t="shared" si="4"/>
        <v>8.695463013534777</v>
      </c>
      <c r="AO40" s="2"/>
      <c r="AP40" s="2"/>
      <c r="AQ40" s="2"/>
      <c r="AR40" s="2"/>
      <c r="AS40" s="2"/>
      <c r="BC40" s="5"/>
    </row>
    <row r="41" spans="1:55" x14ac:dyDescent="0.2">
      <c r="A41" s="13">
        <v>44253.145266203705</v>
      </c>
      <c r="B41">
        <v>27988</v>
      </c>
      <c r="C41">
        <v>55</v>
      </c>
      <c r="D41" t="s">
        <v>12</v>
      </c>
      <c r="G41">
        <v>4</v>
      </c>
      <c r="H41">
        <v>232.2</v>
      </c>
      <c r="I41">
        <v>57</v>
      </c>
      <c r="J41">
        <v>12.1</v>
      </c>
      <c r="K41">
        <v>10.9</v>
      </c>
      <c r="L41">
        <v>3098</v>
      </c>
      <c r="M41">
        <v>2290</v>
      </c>
      <c r="N41">
        <v>385</v>
      </c>
      <c r="O41">
        <v>69.968000000000004</v>
      </c>
      <c r="P41">
        <v>69.454999999999998</v>
      </c>
      <c r="Q41">
        <v>0.51300000000000001</v>
      </c>
      <c r="R41">
        <v>3.3000000000000002E-2</v>
      </c>
      <c r="T41">
        <v>0.36602699999999999</v>
      </c>
      <c r="U41">
        <v>-1.218</v>
      </c>
      <c r="V41" s="6" t="str">
        <f t="shared" si="1"/>
        <v/>
      </c>
      <c r="W41" s="5">
        <f t="shared" si="2"/>
        <v>-1.2614357703694168</v>
      </c>
      <c r="X41" s="11">
        <f t="shared" si="3"/>
        <v>-1.8099722245979137</v>
      </c>
      <c r="Y41" s="11">
        <f t="shared" si="4"/>
        <v>-1.827162856156292</v>
      </c>
      <c r="AO41" s="2"/>
      <c r="AP41" s="2"/>
      <c r="AQ41" s="2"/>
      <c r="AR41" s="2"/>
      <c r="AS41" s="2"/>
      <c r="BC41" s="5"/>
    </row>
    <row r="42" spans="1:55" x14ac:dyDescent="0.2">
      <c r="A42" s="13">
        <v>44253.152592592596</v>
      </c>
      <c r="B42">
        <v>27989</v>
      </c>
      <c r="C42">
        <v>56</v>
      </c>
      <c r="D42" t="s">
        <v>12</v>
      </c>
      <c r="G42">
        <v>4</v>
      </c>
      <c r="H42">
        <v>232.2</v>
      </c>
      <c r="I42">
        <v>57</v>
      </c>
      <c r="J42">
        <v>12.5</v>
      </c>
      <c r="K42">
        <v>11.3</v>
      </c>
      <c r="L42">
        <v>3376</v>
      </c>
      <c r="M42">
        <v>2495</v>
      </c>
      <c r="N42">
        <v>420</v>
      </c>
      <c r="O42">
        <v>76.076999999999998</v>
      </c>
      <c r="P42">
        <v>75.519000000000005</v>
      </c>
      <c r="Q42">
        <v>0.55800000000000005</v>
      </c>
      <c r="R42">
        <v>3.5999999999999997E-2</v>
      </c>
      <c r="T42">
        <v>0.366037</v>
      </c>
      <c r="U42">
        <v>-1.1930000000000001</v>
      </c>
      <c r="V42" s="6" t="str">
        <f t="shared" si="1"/>
        <v/>
      </c>
      <c r="W42" s="5">
        <f t="shared" si="2"/>
        <v>-1.2372255116488609</v>
      </c>
      <c r="X42" s="11">
        <f t="shared" si="3"/>
        <v>-1.7846578279027199</v>
      </c>
      <c r="Y42" s="11">
        <f t="shared" si="4"/>
        <v>-1.8026487625079426</v>
      </c>
      <c r="AO42" s="2"/>
      <c r="AP42" s="2"/>
      <c r="AQ42" s="2"/>
      <c r="AR42" s="2"/>
      <c r="AS42" s="2"/>
      <c r="BC42" s="5"/>
    </row>
    <row r="43" spans="1:55" x14ac:dyDescent="0.2">
      <c r="A43" s="13"/>
      <c r="V43" s="6" t="str">
        <f t="shared" si="1"/>
        <v/>
      </c>
      <c r="W43" s="5" t="str">
        <f t="shared" si="2"/>
        <v/>
      </c>
      <c r="X43" s="11" t="str">
        <f t="shared" si="3"/>
        <v/>
      </c>
      <c r="Y43" s="11" t="str">
        <f t="shared" si="4"/>
        <v/>
      </c>
      <c r="AO43" s="2"/>
      <c r="AP43" s="2"/>
      <c r="AQ43" s="2"/>
      <c r="AR43" s="2"/>
      <c r="AS43" s="2"/>
      <c r="BC43" s="5"/>
    </row>
    <row r="44" spans="1:55" x14ac:dyDescent="0.2">
      <c r="A44" s="13"/>
      <c r="V44" s="6" t="str">
        <f t="shared" si="1"/>
        <v/>
      </c>
      <c r="W44" s="5" t="str">
        <f t="shared" si="2"/>
        <v/>
      </c>
      <c r="X44" s="11" t="str">
        <f t="shared" si="3"/>
        <v/>
      </c>
      <c r="Y44" s="11" t="str">
        <f t="shared" si="4"/>
        <v/>
      </c>
      <c r="AO44" s="2"/>
      <c r="AP44" s="2"/>
      <c r="AQ44" s="2"/>
      <c r="AR44" s="2"/>
      <c r="AS44" s="2"/>
      <c r="BC44" s="5"/>
    </row>
    <row r="45" spans="1:55" x14ac:dyDescent="0.2">
      <c r="A45" s="13"/>
      <c r="V45" s="6" t="str">
        <f t="shared" si="1"/>
        <v/>
      </c>
      <c r="W45" s="5" t="str">
        <f t="shared" si="2"/>
        <v/>
      </c>
      <c r="X45" s="11" t="str">
        <f t="shared" si="3"/>
        <v/>
      </c>
      <c r="Y45" s="11" t="str">
        <f t="shared" si="4"/>
        <v/>
      </c>
      <c r="AO45" s="2"/>
      <c r="AP45" s="2"/>
      <c r="AQ45" s="2"/>
      <c r="AR45" s="2"/>
      <c r="AS45" s="2"/>
      <c r="BC45" s="5"/>
    </row>
    <row r="46" spans="1:55" x14ac:dyDescent="0.2">
      <c r="A46" s="13"/>
      <c r="V46" s="6" t="str">
        <f t="shared" si="1"/>
        <v/>
      </c>
      <c r="W46" s="5" t="str">
        <f t="shared" si="2"/>
        <v/>
      </c>
      <c r="X46" s="11" t="str">
        <f t="shared" si="3"/>
        <v/>
      </c>
      <c r="Y46" s="11" t="str">
        <f t="shared" si="4"/>
        <v/>
      </c>
      <c r="AO46" s="2"/>
      <c r="AP46" s="2"/>
      <c r="AQ46" s="2"/>
      <c r="AR46" s="2"/>
      <c r="AS46" s="2"/>
      <c r="BC46" s="5"/>
    </row>
    <row r="47" spans="1:55" x14ac:dyDescent="0.2">
      <c r="A47" s="13"/>
      <c r="V47" s="6" t="str">
        <f t="shared" si="1"/>
        <v/>
      </c>
      <c r="W47" s="5" t="str">
        <f t="shared" si="2"/>
        <v/>
      </c>
      <c r="X47" s="11" t="str">
        <f t="shared" si="3"/>
        <v/>
      </c>
      <c r="Y47" s="11" t="str">
        <f t="shared" si="4"/>
        <v/>
      </c>
      <c r="AO47" s="2"/>
      <c r="AP47" s="2"/>
      <c r="AQ47" s="2"/>
      <c r="AR47" s="2"/>
      <c r="AS47" s="2"/>
      <c r="BC47" s="5"/>
    </row>
    <row r="48" spans="1:55" x14ac:dyDescent="0.2">
      <c r="A48" s="13"/>
      <c r="V48" s="6" t="str">
        <f t="shared" si="1"/>
        <v/>
      </c>
      <c r="W48" s="5" t="str">
        <f t="shared" si="2"/>
        <v/>
      </c>
      <c r="X48" s="11" t="str">
        <f t="shared" si="3"/>
        <v/>
      </c>
      <c r="Y48" s="11" t="str">
        <f t="shared" si="4"/>
        <v/>
      </c>
      <c r="AO48" s="2"/>
      <c r="AP48" s="2"/>
      <c r="AQ48" s="2"/>
      <c r="AR48" s="2"/>
      <c r="AS48" s="2"/>
      <c r="BC48" s="5"/>
    </row>
    <row r="49" spans="1:55" x14ac:dyDescent="0.2">
      <c r="A49" s="13"/>
      <c r="V49" s="6" t="str">
        <f t="shared" si="1"/>
        <v/>
      </c>
      <c r="W49" s="5" t="str">
        <f t="shared" si="2"/>
        <v/>
      </c>
      <c r="X49" s="11" t="str">
        <f t="shared" si="3"/>
        <v/>
      </c>
      <c r="Y49" s="11" t="str">
        <f t="shared" si="4"/>
        <v/>
      </c>
      <c r="AO49" s="2"/>
      <c r="AP49" s="2"/>
      <c r="AQ49" s="2"/>
      <c r="AR49" s="2"/>
      <c r="AS49" s="2"/>
      <c r="BC49" s="5"/>
    </row>
    <row r="50" spans="1:55" x14ac:dyDescent="0.2">
      <c r="A50" s="13"/>
      <c r="V50" s="6" t="str">
        <f t="shared" si="1"/>
        <v/>
      </c>
      <c r="W50" s="5" t="str">
        <f t="shared" si="2"/>
        <v/>
      </c>
      <c r="X50" s="11" t="str">
        <f t="shared" si="3"/>
        <v/>
      </c>
      <c r="Y50" s="11" t="str">
        <f t="shared" si="4"/>
        <v/>
      </c>
      <c r="AO50" s="2"/>
      <c r="AP50" s="2"/>
      <c r="AQ50" s="2"/>
      <c r="AR50" s="2"/>
      <c r="AS50" s="2"/>
      <c r="BC50" s="5"/>
    </row>
    <row r="51" spans="1:55" x14ac:dyDescent="0.2">
      <c r="A51" s="13"/>
      <c r="V51" s="6" t="str">
        <f t="shared" si="1"/>
        <v/>
      </c>
      <c r="W51" s="5" t="str">
        <f t="shared" si="2"/>
        <v/>
      </c>
      <c r="X51" s="11" t="str">
        <f t="shared" si="3"/>
        <v/>
      </c>
      <c r="Y51" s="11" t="str">
        <f t="shared" si="4"/>
        <v/>
      </c>
      <c r="AO51" s="2"/>
      <c r="AP51" s="2"/>
      <c r="AQ51" s="2"/>
      <c r="AR51" s="2"/>
      <c r="AS51" s="2"/>
      <c r="BC51" s="5"/>
    </row>
    <row r="52" spans="1:55" x14ac:dyDescent="0.2">
      <c r="A52" s="13"/>
      <c r="V52" s="6" t="str">
        <f t="shared" si="1"/>
        <v/>
      </c>
      <c r="W52" s="5" t="str">
        <f t="shared" si="2"/>
        <v/>
      </c>
      <c r="X52" s="11" t="str">
        <f t="shared" si="3"/>
        <v/>
      </c>
      <c r="Y52" s="11" t="str">
        <f t="shared" si="4"/>
        <v/>
      </c>
      <c r="AO52" s="2"/>
      <c r="AP52" s="2"/>
      <c r="AQ52" s="2"/>
      <c r="AR52" s="2"/>
      <c r="AS52" s="2"/>
      <c r="BC52" s="5"/>
    </row>
    <row r="53" spans="1:55" x14ac:dyDescent="0.2">
      <c r="A53" s="13"/>
      <c r="V53" s="6" t="str">
        <f t="shared" si="1"/>
        <v/>
      </c>
      <c r="W53" s="5" t="str">
        <f t="shared" si="2"/>
        <v/>
      </c>
      <c r="X53" s="11" t="str">
        <f t="shared" si="3"/>
        <v/>
      </c>
      <c r="Y53" s="11" t="str">
        <f t="shared" si="4"/>
        <v/>
      </c>
      <c r="AO53" s="2"/>
      <c r="AP53" s="2"/>
      <c r="AQ53" s="2"/>
      <c r="AR53" s="2"/>
      <c r="AS53" s="2"/>
      <c r="BC53" s="5"/>
    </row>
    <row r="54" spans="1:55" x14ac:dyDescent="0.2">
      <c r="A54" s="13"/>
      <c r="V54" s="6" t="str">
        <f t="shared" si="1"/>
        <v/>
      </c>
      <c r="W54" s="5" t="str">
        <f t="shared" si="2"/>
        <v/>
      </c>
      <c r="X54" s="11" t="str">
        <f t="shared" si="3"/>
        <v/>
      </c>
      <c r="Y54" s="11" t="str">
        <f t="shared" si="4"/>
        <v/>
      </c>
      <c r="AO54" s="2"/>
      <c r="AP54" s="2"/>
      <c r="AQ54" s="2"/>
      <c r="AR54" s="2"/>
      <c r="AS54" s="2"/>
      <c r="BC54" s="5"/>
    </row>
    <row r="55" spans="1:55" x14ac:dyDescent="0.2">
      <c r="A55" s="13"/>
      <c r="V55" s="6" t="str">
        <f t="shared" si="1"/>
        <v/>
      </c>
      <c r="W55" s="5" t="str">
        <f t="shared" si="2"/>
        <v/>
      </c>
      <c r="X55" s="11" t="str">
        <f t="shared" si="3"/>
        <v/>
      </c>
      <c r="Y55" s="11" t="str">
        <f t="shared" si="4"/>
        <v/>
      </c>
      <c r="AO55" s="2"/>
      <c r="AP55" s="2"/>
      <c r="AQ55" s="2"/>
      <c r="AR55" s="2"/>
      <c r="AS55" s="2"/>
      <c r="BC55" s="5"/>
    </row>
    <row r="56" spans="1:55" x14ac:dyDescent="0.2">
      <c r="A56" s="13"/>
      <c r="V56" s="6" t="str">
        <f t="shared" si="1"/>
        <v/>
      </c>
      <c r="W56" s="5" t="str">
        <f t="shared" si="2"/>
        <v/>
      </c>
      <c r="X56" s="11" t="str">
        <f t="shared" si="3"/>
        <v/>
      </c>
      <c r="Y56" s="11" t="str">
        <f t="shared" si="4"/>
        <v/>
      </c>
      <c r="AO56" s="2"/>
      <c r="AP56" s="2"/>
      <c r="AQ56" s="2"/>
      <c r="AR56" s="2"/>
      <c r="AS56" s="2"/>
      <c r="BC56" s="5"/>
    </row>
    <row r="57" spans="1:55" x14ac:dyDescent="0.2">
      <c r="A57" s="13"/>
      <c r="V57" s="6" t="str">
        <f t="shared" si="1"/>
        <v/>
      </c>
      <c r="W57" s="5" t="str">
        <f t="shared" si="2"/>
        <v/>
      </c>
      <c r="X57" s="11" t="str">
        <f t="shared" si="3"/>
        <v/>
      </c>
      <c r="Y57" s="11" t="str">
        <f t="shared" si="4"/>
        <v/>
      </c>
      <c r="AO57" s="2"/>
      <c r="AP57" s="2"/>
      <c r="AQ57" s="2"/>
      <c r="AR57" s="2"/>
      <c r="AS57" s="2"/>
      <c r="BC57" s="5"/>
    </row>
    <row r="58" spans="1:55" x14ac:dyDescent="0.2">
      <c r="A58" s="13"/>
      <c r="V58" s="6" t="str">
        <f t="shared" si="1"/>
        <v/>
      </c>
      <c r="W58" s="5" t="str">
        <f t="shared" si="2"/>
        <v/>
      </c>
      <c r="X58" s="11" t="str">
        <f t="shared" si="3"/>
        <v/>
      </c>
      <c r="Y58" s="11" t="str">
        <f t="shared" si="4"/>
        <v/>
      </c>
      <c r="AO58" s="2"/>
      <c r="AP58" s="2"/>
      <c r="AQ58" s="2"/>
      <c r="AR58" s="2"/>
      <c r="AS58" s="2"/>
      <c r="BC58" s="5"/>
    </row>
    <row r="59" spans="1:55" x14ac:dyDescent="0.2">
      <c r="A59" s="13"/>
      <c r="V59" s="6" t="str">
        <f t="shared" si="1"/>
        <v/>
      </c>
      <c r="W59" s="5" t="str">
        <f t="shared" si="2"/>
        <v/>
      </c>
      <c r="X59" s="11" t="str">
        <f t="shared" si="3"/>
        <v/>
      </c>
      <c r="Y59" s="11" t="str">
        <f t="shared" si="4"/>
        <v/>
      </c>
      <c r="AO59" s="2"/>
      <c r="AP59" s="2"/>
      <c r="AQ59" s="2"/>
      <c r="AR59" s="2"/>
      <c r="AS59" s="2"/>
      <c r="BC59" s="5"/>
    </row>
    <row r="60" spans="1:55" x14ac:dyDescent="0.2">
      <c r="A60" s="13"/>
      <c r="V60" s="6" t="str">
        <f t="shared" si="1"/>
        <v/>
      </c>
      <c r="W60" s="5" t="str">
        <f t="shared" si="2"/>
        <v/>
      </c>
      <c r="X60" s="11" t="str">
        <f t="shared" si="3"/>
        <v/>
      </c>
      <c r="Y60" s="11" t="str">
        <f t="shared" si="4"/>
        <v/>
      </c>
      <c r="AO60" s="2"/>
      <c r="AP60" s="2"/>
      <c r="AQ60" s="2"/>
      <c r="AR60" s="2"/>
      <c r="AS60" s="2"/>
      <c r="BC60" s="5"/>
    </row>
    <row r="61" spans="1:55" x14ac:dyDescent="0.2">
      <c r="A61" s="13"/>
      <c r="V61" s="6" t="str">
        <f t="shared" si="1"/>
        <v/>
      </c>
      <c r="W61" s="5" t="str">
        <f t="shared" si="2"/>
        <v/>
      </c>
      <c r="X61" s="11" t="str">
        <f t="shared" si="3"/>
        <v/>
      </c>
      <c r="Y61" s="11" t="str">
        <f t="shared" si="4"/>
        <v/>
      </c>
      <c r="AO61" s="2"/>
      <c r="AP61" s="2"/>
      <c r="AQ61" s="2"/>
      <c r="AR61" s="2"/>
      <c r="AS61" s="2"/>
      <c r="BC61" s="5"/>
    </row>
    <row r="62" spans="1:55" x14ac:dyDescent="0.2">
      <c r="A62" s="13"/>
      <c r="V62" s="6" t="str">
        <f t="shared" si="1"/>
        <v/>
      </c>
      <c r="W62" s="5" t="str">
        <f t="shared" si="2"/>
        <v/>
      </c>
      <c r="X62" s="11" t="str">
        <f t="shared" si="3"/>
        <v/>
      </c>
      <c r="Y62" s="11" t="str">
        <f t="shared" si="4"/>
        <v/>
      </c>
      <c r="AO62" s="2"/>
      <c r="AP62" s="2"/>
      <c r="AQ62" s="2"/>
      <c r="AR62" s="2"/>
      <c r="AS62" s="2"/>
      <c r="BC62" s="5"/>
    </row>
    <row r="63" spans="1:55" x14ac:dyDescent="0.2">
      <c r="A63" s="13"/>
      <c r="V63" s="6" t="str">
        <f t="shared" si="1"/>
        <v/>
      </c>
      <c r="W63" s="5" t="str">
        <f t="shared" si="2"/>
        <v/>
      </c>
      <c r="X63" s="11" t="str">
        <f t="shared" si="3"/>
        <v/>
      </c>
      <c r="Y63" s="11" t="str">
        <f t="shared" si="4"/>
        <v/>
      </c>
      <c r="AO63" s="2"/>
      <c r="AP63" s="2"/>
      <c r="AQ63" s="2"/>
      <c r="AR63" s="2"/>
      <c r="AS63" s="2"/>
      <c r="BC63" s="5"/>
    </row>
    <row r="64" spans="1:55" x14ac:dyDescent="0.2">
      <c r="A64" s="13"/>
      <c r="V64" s="6" t="str">
        <f t="shared" si="1"/>
        <v/>
      </c>
      <c r="W64" s="5" t="str">
        <f t="shared" si="2"/>
        <v/>
      </c>
      <c r="X64" s="11" t="str">
        <f t="shared" si="3"/>
        <v/>
      </c>
      <c r="Y64" s="11" t="str">
        <f t="shared" si="4"/>
        <v/>
      </c>
      <c r="AO64" s="2"/>
      <c r="AP64" s="2"/>
      <c r="AQ64" s="2"/>
      <c r="AR64" s="2"/>
      <c r="AS64" s="2"/>
      <c r="BC64" s="5"/>
    </row>
    <row r="65" spans="1:55" x14ac:dyDescent="0.2">
      <c r="A65" s="13"/>
      <c r="V65" s="6" t="str">
        <f t="shared" si="1"/>
        <v/>
      </c>
      <c r="W65" s="5" t="str">
        <f t="shared" si="2"/>
        <v/>
      </c>
      <c r="X65" s="11" t="str">
        <f t="shared" si="3"/>
        <v/>
      </c>
      <c r="Y65" s="11" t="str">
        <f t="shared" si="4"/>
        <v/>
      </c>
      <c r="AO65" s="2"/>
      <c r="AP65" s="2"/>
      <c r="AQ65" s="2"/>
      <c r="AR65" s="2"/>
      <c r="AS65" s="2"/>
      <c r="BC65" s="5"/>
    </row>
    <row r="66" spans="1:55" x14ac:dyDescent="0.2">
      <c r="A66" s="13"/>
      <c r="V66" s="6" t="str">
        <f t="shared" si="1"/>
        <v/>
      </c>
      <c r="W66" s="5" t="str">
        <f t="shared" si="2"/>
        <v/>
      </c>
      <c r="X66" s="11" t="str">
        <f t="shared" si="3"/>
        <v/>
      </c>
      <c r="Y66" s="11" t="str">
        <f t="shared" si="4"/>
        <v/>
      </c>
      <c r="AO66" s="2"/>
      <c r="AP66" s="2"/>
      <c r="AQ66" s="2"/>
      <c r="AR66" s="2"/>
      <c r="AS66" s="2"/>
      <c r="BC66" s="5"/>
    </row>
    <row r="67" spans="1:55" x14ac:dyDescent="0.2">
      <c r="A67" s="13"/>
      <c r="V67" s="6" t="str">
        <f t="shared" ref="V67:V130" si="14">IF(NOT(ISBLANK(S67)),S67-(A67*$AH$1+$AI$1),"")</f>
        <v/>
      </c>
      <c r="W67" s="5" t="str">
        <f t="shared" ref="W67:W130" si="15">IF(NOT(ISBLANK(U67)),U67-C67*$AA$3,"")</f>
        <v/>
      </c>
      <c r="X67" s="11" t="str">
        <f t="shared" ref="X67:X130" si="16">IF(ISNUMBER(U67),(U67+1000)/((U67*$AT$1+$AU$1)/1000+1)-1000,"")</f>
        <v/>
      </c>
      <c r="Y67" s="11" t="str">
        <f t="shared" ref="Y67:Y130" si="17">IF(ISNUMBER(W67),(W67+1000)/((W67*$AT$2+$AU$2)/1000+1)-1000,"")</f>
        <v/>
      </c>
      <c r="AO67" s="2"/>
      <c r="AP67" s="2"/>
      <c r="AQ67" s="2"/>
      <c r="AR67" s="2"/>
      <c r="AS67" s="2"/>
      <c r="BC67" s="5"/>
    </row>
    <row r="68" spans="1:55" x14ac:dyDescent="0.2">
      <c r="A68" s="13"/>
      <c r="V68" s="6" t="str">
        <f t="shared" si="14"/>
        <v/>
      </c>
      <c r="W68" s="5" t="str">
        <f t="shared" si="15"/>
        <v/>
      </c>
      <c r="X68" s="11" t="str">
        <f t="shared" si="16"/>
        <v/>
      </c>
      <c r="Y68" s="11" t="str">
        <f t="shared" si="17"/>
        <v/>
      </c>
      <c r="AO68" s="2"/>
      <c r="AP68" s="2"/>
      <c r="AQ68" s="2"/>
      <c r="AR68" s="2"/>
      <c r="AS68" s="2"/>
      <c r="BC68" s="5"/>
    </row>
    <row r="69" spans="1:55" x14ac:dyDescent="0.2">
      <c r="A69" s="13"/>
      <c r="V69" s="6" t="str">
        <f t="shared" si="14"/>
        <v/>
      </c>
      <c r="W69" s="5" t="str">
        <f t="shared" si="15"/>
        <v/>
      </c>
      <c r="X69" s="11" t="str">
        <f t="shared" si="16"/>
        <v/>
      </c>
      <c r="Y69" s="11" t="str">
        <f t="shared" si="17"/>
        <v/>
      </c>
      <c r="AO69" s="2"/>
      <c r="AP69" s="2"/>
      <c r="AQ69" s="2"/>
      <c r="AR69" s="2"/>
      <c r="AS69" s="2"/>
      <c r="BC69" s="5"/>
    </row>
    <row r="70" spans="1:55" x14ac:dyDescent="0.2">
      <c r="A70" s="13"/>
      <c r="V70" s="6" t="str">
        <f t="shared" si="14"/>
        <v/>
      </c>
      <c r="W70" s="5" t="str">
        <f t="shared" si="15"/>
        <v/>
      </c>
      <c r="X70" s="11" t="str">
        <f t="shared" si="16"/>
        <v/>
      </c>
      <c r="Y70" s="11" t="str">
        <f t="shared" si="17"/>
        <v/>
      </c>
      <c r="AO70" s="2"/>
      <c r="AP70" s="2"/>
      <c r="AQ70" s="2"/>
      <c r="AR70" s="2"/>
      <c r="AS70" s="2"/>
      <c r="BC70" s="5"/>
    </row>
    <row r="71" spans="1:55" x14ac:dyDescent="0.2">
      <c r="A71" s="13"/>
      <c r="V71" s="6" t="str">
        <f t="shared" si="14"/>
        <v/>
      </c>
      <c r="W71" s="5" t="str">
        <f t="shared" si="15"/>
        <v/>
      </c>
      <c r="X71" s="11" t="str">
        <f t="shared" si="16"/>
        <v/>
      </c>
      <c r="Y71" s="11" t="str">
        <f t="shared" si="17"/>
        <v/>
      </c>
      <c r="AO71" s="2"/>
      <c r="AP71" s="2"/>
      <c r="AQ71" s="2"/>
      <c r="AR71" s="2"/>
      <c r="AS71" s="2"/>
      <c r="BC71" s="5"/>
    </row>
    <row r="72" spans="1:55" x14ac:dyDescent="0.2">
      <c r="A72" s="13"/>
      <c r="V72" s="6" t="str">
        <f t="shared" si="14"/>
        <v/>
      </c>
      <c r="W72" s="5" t="str">
        <f t="shared" si="15"/>
        <v/>
      </c>
      <c r="X72" s="11" t="str">
        <f t="shared" si="16"/>
        <v/>
      </c>
      <c r="Y72" s="11" t="str">
        <f t="shared" si="17"/>
        <v/>
      </c>
      <c r="AO72" s="2"/>
      <c r="AP72" s="2"/>
      <c r="AQ72" s="2"/>
      <c r="AR72" s="2"/>
      <c r="AS72" s="2"/>
      <c r="BC72" s="5"/>
    </row>
    <row r="73" spans="1:55" x14ac:dyDescent="0.2">
      <c r="A73" s="13"/>
      <c r="V73" s="6" t="str">
        <f t="shared" si="14"/>
        <v/>
      </c>
      <c r="W73" s="5" t="str">
        <f t="shared" si="15"/>
        <v/>
      </c>
      <c r="X73" s="11" t="str">
        <f t="shared" si="16"/>
        <v/>
      </c>
      <c r="Y73" s="11" t="str">
        <f t="shared" si="17"/>
        <v/>
      </c>
      <c r="AO73" s="2"/>
      <c r="AP73" s="2"/>
      <c r="AQ73" s="2"/>
      <c r="AR73" s="2"/>
      <c r="AS73" s="2"/>
      <c r="BC73" s="5"/>
    </row>
    <row r="74" spans="1:55" x14ac:dyDescent="0.2">
      <c r="A74" s="13"/>
      <c r="V74" s="6" t="str">
        <f t="shared" si="14"/>
        <v/>
      </c>
      <c r="W74" s="5" t="str">
        <f t="shared" si="15"/>
        <v/>
      </c>
      <c r="X74" s="11" t="str">
        <f t="shared" si="16"/>
        <v/>
      </c>
      <c r="Y74" s="11" t="str">
        <f t="shared" si="17"/>
        <v/>
      </c>
      <c r="AO74" s="2"/>
      <c r="AP74" s="2"/>
      <c r="AQ74" s="2"/>
      <c r="AR74" s="2"/>
      <c r="AS74" s="2"/>
      <c r="BC74" s="5"/>
    </row>
    <row r="75" spans="1:55" x14ac:dyDescent="0.2">
      <c r="A75" s="13"/>
      <c r="V75" s="6" t="str">
        <f t="shared" si="14"/>
        <v/>
      </c>
      <c r="W75" s="5" t="str">
        <f t="shared" si="15"/>
        <v/>
      </c>
      <c r="X75" s="11" t="str">
        <f t="shared" si="16"/>
        <v/>
      </c>
      <c r="Y75" s="11" t="str">
        <f t="shared" si="17"/>
        <v/>
      </c>
      <c r="AO75" s="2"/>
      <c r="AP75" s="2"/>
      <c r="AQ75" s="2"/>
      <c r="AR75" s="2"/>
      <c r="AS75" s="2"/>
      <c r="BC75" s="5"/>
    </row>
    <row r="76" spans="1:55" x14ac:dyDescent="0.2">
      <c r="A76" s="13"/>
      <c r="V76" s="6" t="str">
        <f t="shared" si="14"/>
        <v/>
      </c>
      <c r="W76" s="5" t="str">
        <f t="shared" si="15"/>
        <v/>
      </c>
      <c r="X76" s="11" t="str">
        <f t="shared" si="16"/>
        <v/>
      </c>
      <c r="Y76" s="11" t="str">
        <f t="shared" si="17"/>
        <v/>
      </c>
      <c r="AO76" s="2"/>
      <c r="AP76" s="2"/>
      <c r="AQ76" s="2"/>
      <c r="AR76" s="2"/>
      <c r="AS76" s="2"/>
      <c r="BC76" s="5"/>
    </row>
    <row r="77" spans="1:55" x14ac:dyDescent="0.2">
      <c r="A77" s="13"/>
      <c r="V77" s="6" t="str">
        <f t="shared" si="14"/>
        <v/>
      </c>
      <c r="W77" s="5" t="str">
        <f t="shared" si="15"/>
        <v/>
      </c>
      <c r="X77" s="11" t="str">
        <f t="shared" si="16"/>
        <v/>
      </c>
      <c r="Y77" s="11" t="str">
        <f t="shared" si="17"/>
        <v/>
      </c>
      <c r="AO77" s="2"/>
      <c r="AP77" s="2"/>
      <c r="AQ77" s="2"/>
      <c r="AR77" s="2"/>
      <c r="AS77" s="2"/>
      <c r="BC77" s="5"/>
    </row>
    <row r="78" spans="1:55" x14ac:dyDescent="0.2">
      <c r="A78" s="13"/>
      <c r="V78" s="6" t="str">
        <f t="shared" si="14"/>
        <v/>
      </c>
      <c r="W78" s="5" t="str">
        <f t="shared" si="15"/>
        <v/>
      </c>
      <c r="X78" s="11" t="str">
        <f t="shared" si="16"/>
        <v/>
      </c>
      <c r="Y78" s="11" t="str">
        <f t="shared" si="17"/>
        <v/>
      </c>
      <c r="AO78" s="2"/>
      <c r="AP78" s="2"/>
      <c r="AQ78" s="2"/>
      <c r="AR78" s="2"/>
      <c r="AS78" s="2"/>
      <c r="BC78" s="5"/>
    </row>
    <row r="79" spans="1:55" x14ac:dyDescent="0.2">
      <c r="A79" s="13"/>
      <c r="V79" s="6" t="str">
        <f t="shared" si="14"/>
        <v/>
      </c>
      <c r="W79" s="5" t="str">
        <f t="shared" si="15"/>
        <v/>
      </c>
      <c r="X79" s="11" t="str">
        <f t="shared" si="16"/>
        <v/>
      </c>
      <c r="Y79" s="11" t="str">
        <f t="shared" si="17"/>
        <v/>
      </c>
      <c r="AO79" s="2"/>
      <c r="AP79" s="2"/>
      <c r="AQ79" s="2"/>
      <c r="AR79" s="2"/>
      <c r="AS79" s="2"/>
      <c r="BC79" s="5"/>
    </row>
    <row r="80" spans="1:55" x14ac:dyDescent="0.2">
      <c r="A80" s="13"/>
      <c r="V80" s="6" t="str">
        <f t="shared" si="14"/>
        <v/>
      </c>
      <c r="W80" s="5" t="str">
        <f t="shared" si="15"/>
        <v/>
      </c>
      <c r="X80" s="11" t="str">
        <f t="shared" si="16"/>
        <v/>
      </c>
      <c r="Y80" s="11" t="str">
        <f t="shared" si="17"/>
        <v/>
      </c>
      <c r="AO80" s="2"/>
      <c r="AP80" s="2"/>
      <c r="AQ80" s="2"/>
      <c r="AR80" s="2"/>
      <c r="AS80" s="2"/>
      <c r="BC80" s="5"/>
    </row>
    <row r="81" spans="1:55" x14ac:dyDescent="0.2">
      <c r="A81" s="13"/>
      <c r="V81" s="6" t="str">
        <f t="shared" si="14"/>
        <v/>
      </c>
      <c r="W81" s="5" t="str">
        <f t="shared" si="15"/>
        <v/>
      </c>
      <c r="X81" s="11" t="str">
        <f t="shared" si="16"/>
        <v/>
      </c>
      <c r="Y81" s="11" t="str">
        <f t="shared" si="17"/>
        <v/>
      </c>
      <c r="AO81" s="2"/>
      <c r="AP81" s="2"/>
      <c r="AQ81" s="2"/>
      <c r="AR81" s="2"/>
      <c r="AS81" s="2"/>
      <c r="BC81" s="5"/>
    </row>
    <row r="82" spans="1:55" x14ac:dyDescent="0.2">
      <c r="A82" s="13"/>
      <c r="V82" s="6" t="str">
        <f t="shared" si="14"/>
        <v/>
      </c>
      <c r="W82" s="5" t="str">
        <f t="shared" si="15"/>
        <v/>
      </c>
      <c r="X82" s="11" t="str">
        <f t="shared" si="16"/>
        <v/>
      </c>
      <c r="Y82" s="11" t="str">
        <f t="shared" si="17"/>
        <v/>
      </c>
      <c r="AO82" s="2"/>
      <c r="AP82" s="2"/>
      <c r="AQ82" s="2"/>
      <c r="AR82" s="2"/>
      <c r="AS82" s="2"/>
      <c r="BC82" s="5"/>
    </row>
    <row r="83" spans="1:55" x14ac:dyDescent="0.2">
      <c r="A83" s="13"/>
      <c r="V83" s="6" t="str">
        <f t="shared" si="14"/>
        <v/>
      </c>
      <c r="W83" s="5" t="str">
        <f t="shared" si="15"/>
        <v/>
      </c>
      <c r="X83" s="11" t="str">
        <f t="shared" si="16"/>
        <v/>
      </c>
      <c r="Y83" s="11" t="str">
        <f t="shared" si="17"/>
        <v/>
      </c>
      <c r="AO83" s="2"/>
      <c r="AP83" s="2"/>
      <c r="AQ83" s="2"/>
      <c r="AR83" s="2"/>
      <c r="AS83" s="2"/>
      <c r="BC83" s="5"/>
    </row>
    <row r="84" spans="1:55" x14ac:dyDescent="0.2">
      <c r="A84" s="13"/>
      <c r="V84" s="6" t="str">
        <f t="shared" si="14"/>
        <v/>
      </c>
      <c r="W84" s="5" t="str">
        <f t="shared" si="15"/>
        <v/>
      </c>
      <c r="X84" s="11" t="str">
        <f t="shared" si="16"/>
        <v/>
      </c>
      <c r="Y84" s="11" t="str">
        <f t="shared" si="17"/>
        <v/>
      </c>
      <c r="AO84" s="2"/>
      <c r="AP84" s="2"/>
      <c r="AQ84" s="2"/>
      <c r="AR84" s="2"/>
      <c r="AS84" s="2"/>
      <c r="BC84" s="5"/>
    </row>
    <row r="85" spans="1:55" x14ac:dyDescent="0.2">
      <c r="A85" s="13"/>
      <c r="V85" s="6" t="str">
        <f t="shared" si="14"/>
        <v/>
      </c>
      <c r="W85" s="5" t="str">
        <f t="shared" si="15"/>
        <v/>
      </c>
      <c r="X85" s="11" t="str">
        <f t="shared" si="16"/>
        <v/>
      </c>
      <c r="Y85" s="11" t="str">
        <f t="shared" si="17"/>
        <v/>
      </c>
      <c r="AO85" s="2"/>
      <c r="AP85" s="2"/>
      <c r="AQ85" s="2"/>
      <c r="AR85" s="2"/>
      <c r="AS85" s="2"/>
      <c r="BC85" s="5"/>
    </row>
    <row r="86" spans="1:55" x14ac:dyDescent="0.2">
      <c r="A86" s="13"/>
      <c r="V86" s="6" t="str">
        <f t="shared" si="14"/>
        <v/>
      </c>
      <c r="W86" s="5" t="str">
        <f t="shared" si="15"/>
        <v/>
      </c>
      <c r="X86" s="11" t="str">
        <f t="shared" si="16"/>
        <v/>
      </c>
      <c r="Y86" s="11" t="str">
        <f t="shared" si="17"/>
        <v/>
      </c>
      <c r="AO86" s="2"/>
      <c r="AP86" s="2"/>
      <c r="AQ86" s="2"/>
      <c r="AR86" s="2"/>
      <c r="AS86" s="2"/>
      <c r="BC86" s="5"/>
    </row>
    <row r="87" spans="1:55" x14ac:dyDescent="0.2">
      <c r="A87" s="13"/>
      <c r="V87" s="6" t="str">
        <f t="shared" si="14"/>
        <v/>
      </c>
      <c r="W87" s="5" t="str">
        <f t="shared" si="15"/>
        <v/>
      </c>
      <c r="X87" s="11" t="str">
        <f t="shared" si="16"/>
        <v/>
      </c>
      <c r="Y87" s="11" t="str">
        <f t="shared" si="17"/>
        <v/>
      </c>
      <c r="AO87" s="2"/>
      <c r="AP87" s="2"/>
      <c r="AQ87" s="2"/>
      <c r="AR87" s="2"/>
      <c r="AS87" s="2"/>
      <c r="BC87" s="5"/>
    </row>
    <row r="88" spans="1:55" x14ac:dyDescent="0.2">
      <c r="A88" s="13"/>
      <c r="V88" s="6" t="str">
        <f t="shared" si="14"/>
        <v/>
      </c>
      <c r="W88" s="5" t="str">
        <f t="shared" si="15"/>
        <v/>
      </c>
      <c r="X88" s="11" t="str">
        <f t="shared" si="16"/>
        <v/>
      </c>
      <c r="Y88" s="11" t="str">
        <f t="shared" si="17"/>
        <v/>
      </c>
      <c r="AO88" s="2"/>
      <c r="AP88" s="2"/>
      <c r="AQ88" s="2"/>
      <c r="AR88" s="2"/>
      <c r="AS88" s="2"/>
      <c r="BC88" s="5"/>
    </row>
    <row r="89" spans="1:55" x14ac:dyDescent="0.2">
      <c r="A89" s="13"/>
      <c r="V89" s="6" t="str">
        <f t="shared" si="14"/>
        <v/>
      </c>
      <c r="W89" s="5" t="str">
        <f t="shared" si="15"/>
        <v/>
      </c>
      <c r="X89" s="11" t="str">
        <f t="shared" si="16"/>
        <v/>
      </c>
      <c r="Y89" s="11" t="str">
        <f t="shared" si="17"/>
        <v/>
      </c>
      <c r="AO89" s="2"/>
      <c r="AP89" s="2"/>
      <c r="AQ89" s="2"/>
      <c r="AR89" s="2"/>
      <c r="AS89" s="2"/>
      <c r="BC89" s="5"/>
    </row>
    <row r="90" spans="1:55" x14ac:dyDescent="0.2">
      <c r="A90" s="13"/>
      <c r="V90" s="6" t="str">
        <f t="shared" si="14"/>
        <v/>
      </c>
      <c r="W90" s="5" t="str">
        <f t="shared" si="15"/>
        <v/>
      </c>
      <c r="X90" s="11" t="str">
        <f t="shared" si="16"/>
        <v/>
      </c>
      <c r="Y90" s="11" t="str">
        <f t="shared" si="17"/>
        <v/>
      </c>
      <c r="AO90" s="2"/>
      <c r="AP90" s="2"/>
      <c r="AQ90" s="2"/>
      <c r="AR90" s="2"/>
      <c r="AS90" s="2"/>
      <c r="BC90" s="5"/>
    </row>
    <row r="91" spans="1:55" x14ac:dyDescent="0.2">
      <c r="A91" s="13"/>
      <c r="V91" s="6" t="str">
        <f t="shared" si="14"/>
        <v/>
      </c>
      <c r="W91" s="5" t="str">
        <f t="shared" si="15"/>
        <v/>
      </c>
      <c r="X91" s="11" t="str">
        <f t="shared" si="16"/>
        <v/>
      </c>
      <c r="Y91" s="11" t="str">
        <f t="shared" si="17"/>
        <v/>
      </c>
      <c r="AO91" s="2"/>
      <c r="AP91" s="2"/>
      <c r="AQ91" s="2"/>
      <c r="AR91" s="2"/>
      <c r="AS91" s="2"/>
      <c r="BC91" s="5"/>
    </row>
    <row r="92" spans="1:55" x14ac:dyDescent="0.2">
      <c r="A92" s="13"/>
      <c r="V92" s="6" t="str">
        <f t="shared" si="14"/>
        <v/>
      </c>
      <c r="W92" s="5" t="str">
        <f t="shared" si="15"/>
        <v/>
      </c>
      <c r="X92" s="11" t="str">
        <f t="shared" si="16"/>
        <v/>
      </c>
      <c r="Y92" s="11" t="str">
        <f t="shared" si="17"/>
        <v/>
      </c>
      <c r="AO92" s="2"/>
      <c r="AP92" s="2"/>
      <c r="AQ92" s="2"/>
      <c r="AR92" s="2"/>
      <c r="AS92" s="2"/>
      <c r="BC92" s="5"/>
    </row>
    <row r="93" spans="1:55" x14ac:dyDescent="0.2">
      <c r="A93" s="13"/>
      <c r="V93" s="6" t="str">
        <f t="shared" si="14"/>
        <v/>
      </c>
      <c r="W93" s="5" t="str">
        <f t="shared" si="15"/>
        <v/>
      </c>
      <c r="X93" s="11" t="str">
        <f t="shared" si="16"/>
        <v/>
      </c>
      <c r="Y93" s="11" t="str">
        <f t="shared" si="17"/>
        <v/>
      </c>
      <c r="AO93" s="2"/>
      <c r="AP93" s="2"/>
      <c r="AQ93" s="2"/>
      <c r="AR93" s="2"/>
      <c r="AS93" s="2"/>
      <c r="BC93" s="5"/>
    </row>
    <row r="94" spans="1:55" x14ac:dyDescent="0.2">
      <c r="A94" s="13"/>
      <c r="V94" s="6" t="str">
        <f t="shared" si="14"/>
        <v/>
      </c>
      <c r="W94" s="5" t="str">
        <f t="shared" si="15"/>
        <v/>
      </c>
      <c r="X94" s="11" t="str">
        <f t="shared" si="16"/>
        <v/>
      </c>
      <c r="Y94" s="11" t="str">
        <f t="shared" si="17"/>
        <v/>
      </c>
      <c r="AO94" s="2"/>
      <c r="AP94" s="2"/>
      <c r="AQ94" s="2"/>
      <c r="AR94" s="2"/>
      <c r="AS94" s="2"/>
      <c r="BC94" s="5"/>
    </row>
    <row r="95" spans="1:55" x14ac:dyDescent="0.2">
      <c r="A95" s="13"/>
      <c r="V95" s="6" t="str">
        <f t="shared" si="14"/>
        <v/>
      </c>
      <c r="W95" s="5" t="str">
        <f t="shared" si="15"/>
        <v/>
      </c>
      <c r="X95" s="11" t="str">
        <f t="shared" si="16"/>
        <v/>
      </c>
      <c r="Y95" s="11" t="str">
        <f t="shared" si="17"/>
        <v/>
      </c>
      <c r="AO95" s="2"/>
      <c r="AP95" s="2"/>
      <c r="AQ95" s="2"/>
      <c r="AR95" s="2"/>
      <c r="AS95" s="2"/>
      <c r="BC95" s="5"/>
    </row>
    <row r="96" spans="1:55" x14ac:dyDescent="0.2">
      <c r="A96" s="13"/>
      <c r="V96" s="6" t="str">
        <f t="shared" si="14"/>
        <v/>
      </c>
      <c r="W96" s="5" t="str">
        <f t="shared" si="15"/>
        <v/>
      </c>
      <c r="X96" s="11" t="str">
        <f t="shared" si="16"/>
        <v/>
      </c>
      <c r="Y96" s="11" t="str">
        <f t="shared" si="17"/>
        <v/>
      </c>
      <c r="AO96" s="2"/>
      <c r="AP96" s="2"/>
      <c r="AQ96" s="2"/>
      <c r="AR96" s="2"/>
      <c r="AS96" s="2"/>
      <c r="BC96" s="5"/>
    </row>
    <row r="97" spans="1:55" x14ac:dyDescent="0.2">
      <c r="A97" s="13"/>
      <c r="V97" s="6" t="str">
        <f t="shared" si="14"/>
        <v/>
      </c>
      <c r="W97" s="5" t="str">
        <f t="shared" si="15"/>
        <v/>
      </c>
      <c r="X97" s="11" t="str">
        <f t="shared" si="16"/>
        <v/>
      </c>
      <c r="Y97" s="11" t="str">
        <f t="shared" si="17"/>
        <v/>
      </c>
      <c r="AO97" s="2"/>
      <c r="AP97" s="2"/>
      <c r="AQ97" s="2"/>
      <c r="AR97" s="2"/>
      <c r="AS97" s="2"/>
      <c r="BC97" s="5"/>
    </row>
    <row r="98" spans="1:55" x14ac:dyDescent="0.2">
      <c r="A98" s="13"/>
      <c r="V98" s="6" t="str">
        <f t="shared" si="14"/>
        <v/>
      </c>
      <c r="W98" s="5" t="str">
        <f t="shared" si="15"/>
        <v/>
      </c>
      <c r="X98" s="11" t="str">
        <f t="shared" si="16"/>
        <v/>
      </c>
      <c r="Y98" s="11" t="str">
        <f t="shared" si="17"/>
        <v/>
      </c>
      <c r="AO98" s="2"/>
      <c r="AP98" s="2"/>
      <c r="AQ98" s="2"/>
      <c r="AR98" s="2"/>
      <c r="AS98" s="2"/>
      <c r="BC98" s="5"/>
    </row>
    <row r="99" spans="1:55" x14ac:dyDescent="0.2">
      <c r="A99" s="13"/>
      <c r="V99" s="6" t="str">
        <f t="shared" si="14"/>
        <v/>
      </c>
      <c r="W99" s="5" t="str">
        <f t="shared" si="15"/>
        <v/>
      </c>
      <c r="X99" s="11" t="str">
        <f t="shared" si="16"/>
        <v/>
      </c>
      <c r="Y99" s="11" t="str">
        <f t="shared" si="17"/>
        <v/>
      </c>
      <c r="AO99" s="2"/>
      <c r="AP99" s="2"/>
      <c r="AQ99" s="2"/>
      <c r="AR99" s="2"/>
      <c r="AS99" s="2"/>
      <c r="BC99" s="5"/>
    </row>
    <row r="100" spans="1:55" x14ac:dyDescent="0.2">
      <c r="A100" s="13"/>
      <c r="V100" s="6" t="str">
        <f t="shared" si="14"/>
        <v/>
      </c>
      <c r="W100" s="5" t="str">
        <f t="shared" si="15"/>
        <v/>
      </c>
      <c r="X100" s="11" t="str">
        <f t="shared" si="16"/>
        <v/>
      </c>
      <c r="Y100" s="11" t="str">
        <f t="shared" si="17"/>
        <v/>
      </c>
      <c r="AO100" s="2"/>
      <c r="AP100" s="2"/>
      <c r="AQ100" s="2"/>
      <c r="AR100" s="2"/>
      <c r="AS100" s="2"/>
      <c r="BC100" s="5"/>
    </row>
    <row r="101" spans="1:55" x14ac:dyDescent="0.2">
      <c r="A101" s="13"/>
      <c r="V101" s="6" t="str">
        <f t="shared" si="14"/>
        <v/>
      </c>
      <c r="W101" s="5" t="str">
        <f t="shared" si="15"/>
        <v/>
      </c>
      <c r="X101" s="11" t="str">
        <f t="shared" si="16"/>
        <v/>
      </c>
      <c r="Y101" s="11" t="str">
        <f t="shared" si="17"/>
        <v/>
      </c>
      <c r="AO101" s="2"/>
      <c r="AP101" s="2"/>
      <c r="AQ101" s="2"/>
      <c r="AR101" s="2"/>
      <c r="AS101" s="2"/>
      <c r="BC101" s="5"/>
    </row>
    <row r="102" spans="1:55" x14ac:dyDescent="0.2">
      <c r="A102" s="13"/>
      <c r="V102" s="6" t="str">
        <f t="shared" si="14"/>
        <v/>
      </c>
      <c r="W102" s="5" t="str">
        <f t="shared" si="15"/>
        <v/>
      </c>
      <c r="X102" s="11" t="str">
        <f t="shared" si="16"/>
        <v/>
      </c>
      <c r="Y102" s="11" t="str">
        <f t="shared" si="17"/>
        <v/>
      </c>
      <c r="AO102" s="2"/>
      <c r="AP102" s="2"/>
      <c r="AQ102" s="2"/>
      <c r="AR102" s="2"/>
      <c r="AS102" s="2"/>
      <c r="BC102" s="5"/>
    </row>
    <row r="103" spans="1:55" x14ac:dyDescent="0.2">
      <c r="A103" s="13"/>
      <c r="V103" s="6" t="str">
        <f t="shared" si="14"/>
        <v/>
      </c>
      <c r="W103" s="5" t="str">
        <f t="shared" si="15"/>
        <v/>
      </c>
      <c r="X103" s="11" t="str">
        <f t="shared" si="16"/>
        <v/>
      </c>
      <c r="Y103" s="11" t="str">
        <f t="shared" si="17"/>
        <v/>
      </c>
      <c r="AO103" s="2"/>
      <c r="AP103" s="2"/>
      <c r="AQ103" s="2"/>
      <c r="AR103" s="2"/>
      <c r="AS103" s="2"/>
      <c r="BC103" s="5"/>
    </row>
    <row r="104" spans="1:55" x14ac:dyDescent="0.2">
      <c r="A104" s="13"/>
      <c r="V104" s="6" t="str">
        <f t="shared" si="14"/>
        <v/>
      </c>
      <c r="W104" s="5" t="str">
        <f t="shared" si="15"/>
        <v/>
      </c>
      <c r="X104" s="11" t="str">
        <f t="shared" si="16"/>
        <v/>
      </c>
      <c r="Y104" s="11" t="str">
        <f t="shared" si="17"/>
        <v/>
      </c>
      <c r="AO104" s="2"/>
      <c r="AP104" s="2"/>
      <c r="AQ104" s="2"/>
      <c r="AR104" s="2"/>
      <c r="AS104" s="2"/>
      <c r="BC104" s="5"/>
    </row>
    <row r="105" spans="1:55" x14ac:dyDescent="0.2">
      <c r="A105" s="13"/>
      <c r="V105" s="6" t="str">
        <f t="shared" si="14"/>
        <v/>
      </c>
      <c r="W105" s="5" t="str">
        <f t="shared" si="15"/>
        <v/>
      </c>
      <c r="X105" s="11" t="str">
        <f t="shared" si="16"/>
        <v/>
      </c>
      <c r="Y105" s="11" t="str">
        <f t="shared" si="17"/>
        <v/>
      </c>
      <c r="AO105" s="2"/>
      <c r="AP105" s="2"/>
      <c r="AQ105" s="2"/>
      <c r="AR105" s="2"/>
      <c r="AS105" s="2"/>
      <c r="BC105" s="5"/>
    </row>
    <row r="106" spans="1:55" x14ac:dyDescent="0.2">
      <c r="A106" s="13"/>
      <c r="V106" s="6" t="str">
        <f t="shared" si="14"/>
        <v/>
      </c>
      <c r="W106" s="5" t="str">
        <f t="shared" si="15"/>
        <v/>
      </c>
      <c r="X106" s="11" t="str">
        <f t="shared" si="16"/>
        <v/>
      </c>
      <c r="Y106" s="11" t="str">
        <f t="shared" si="17"/>
        <v/>
      </c>
      <c r="AO106" s="2"/>
      <c r="AP106" s="2"/>
      <c r="AQ106" s="2"/>
      <c r="AR106" s="2"/>
      <c r="AS106" s="2"/>
      <c r="BC106" s="5"/>
    </row>
    <row r="107" spans="1:55" x14ac:dyDescent="0.2">
      <c r="A107" s="13"/>
      <c r="V107" s="6" t="str">
        <f t="shared" si="14"/>
        <v/>
      </c>
      <c r="W107" s="5" t="str">
        <f t="shared" si="15"/>
        <v/>
      </c>
      <c r="X107" s="11" t="str">
        <f t="shared" si="16"/>
        <v/>
      </c>
      <c r="Y107" s="11" t="str">
        <f t="shared" si="17"/>
        <v/>
      </c>
      <c r="AO107" s="2"/>
      <c r="AP107" s="2"/>
      <c r="AQ107" s="2"/>
      <c r="AR107" s="2"/>
      <c r="AS107" s="2"/>
      <c r="BC107" s="5"/>
    </row>
    <row r="108" spans="1:55" x14ac:dyDescent="0.2">
      <c r="A108" s="13"/>
      <c r="V108" s="6" t="str">
        <f t="shared" si="14"/>
        <v/>
      </c>
      <c r="W108" s="5" t="str">
        <f t="shared" si="15"/>
        <v/>
      </c>
      <c r="X108" s="11" t="str">
        <f t="shared" si="16"/>
        <v/>
      </c>
      <c r="Y108" s="11" t="str">
        <f t="shared" si="17"/>
        <v/>
      </c>
      <c r="AO108" s="2"/>
      <c r="AP108" s="2"/>
      <c r="AQ108" s="2"/>
      <c r="AR108" s="2"/>
      <c r="AS108" s="2"/>
      <c r="BC108" s="5"/>
    </row>
    <row r="109" spans="1:55" x14ac:dyDescent="0.2">
      <c r="A109" s="13"/>
      <c r="V109" s="6" t="str">
        <f t="shared" si="14"/>
        <v/>
      </c>
      <c r="W109" s="5" t="str">
        <f t="shared" si="15"/>
        <v/>
      </c>
      <c r="X109" s="11" t="str">
        <f t="shared" si="16"/>
        <v/>
      </c>
      <c r="Y109" s="11" t="str">
        <f t="shared" si="17"/>
        <v/>
      </c>
      <c r="AO109" s="2"/>
      <c r="AP109" s="2"/>
      <c r="AQ109" s="2"/>
      <c r="AR109" s="2"/>
      <c r="AS109" s="2"/>
      <c r="BC109" s="5"/>
    </row>
    <row r="110" spans="1:55" x14ac:dyDescent="0.2">
      <c r="A110" s="13"/>
      <c r="V110" s="6" t="str">
        <f t="shared" si="14"/>
        <v/>
      </c>
      <c r="W110" s="5" t="str">
        <f t="shared" si="15"/>
        <v/>
      </c>
      <c r="X110" s="11" t="str">
        <f t="shared" si="16"/>
        <v/>
      </c>
      <c r="Y110" s="11" t="str">
        <f t="shared" si="17"/>
        <v/>
      </c>
      <c r="AO110" s="2"/>
      <c r="AP110" s="2"/>
      <c r="AQ110" s="2"/>
      <c r="AR110" s="2"/>
      <c r="AS110" s="2"/>
      <c r="BC110" s="5"/>
    </row>
    <row r="111" spans="1:55" x14ac:dyDescent="0.2">
      <c r="A111" s="13"/>
      <c r="V111" s="6" t="str">
        <f t="shared" si="14"/>
        <v/>
      </c>
      <c r="W111" s="5" t="str">
        <f t="shared" si="15"/>
        <v/>
      </c>
      <c r="X111" s="11" t="str">
        <f t="shared" si="16"/>
        <v/>
      </c>
      <c r="Y111" s="11" t="str">
        <f t="shared" si="17"/>
        <v/>
      </c>
      <c r="AO111" s="2"/>
      <c r="AP111" s="2"/>
      <c r="AQ111" s="2"/>
      <c r="AR111" s="2"/>
      <c r="AS111" s="2"/>
      <c r="BC111" s="5"/>
    </row>
    <row r="112" spans="1:55" x14ac:dyDescent="0.2">
      <c r="A112" s="13"/>
      <c r="V112" s="6" t="str">
        <f t="shared" si="14"/>
        <v/>
      </c>
      <c r="W112" s="5" t="str">
        <f t="shared" si="15"/>
        <v/>
      </c>
      <c r="X112" s="11" t="str">
        <f t="shared" si="16"/>
        <v/>
      </c>
      <c r="Y112" s="11" t="str">
        <f t="shared" si="17"/>
        <v/>
      </c>
      <c r="AO112" s="2"/>
      <c r="AP112" s="2"/>
      <c r="AQ112" s="2"/>
      <c r="AR112" s="2"/>
      <c r="AS112" s="2"/>
      <c r="BC112" s="5"/>
    </row>
    <row r="113" spans="1:55" x14ac:dyDescent="0.2">
      <c r="A113" s="13"/>
      <c r="V113" s="6" t="str">
        <f t="shared" si="14"/>
        <v/>
      </c>
      <c r="W113" s="5" t="str">
        <f t="shared" si="15"/>
        <v/>
      </c>
      <c r="X113" s="11" t="str">
        <f t="shared" si="16"/>
        <v/>
      </c>
      <c r="Y113" s="11" t="str">
        <f t="shared" si="17"/>
        <v/>
      </c>
      <c r="AO113" s="2"/>
      <c r="AP113" s="2"/>
      <c r="AQ113" s="2"/>
      <c r="AR113" s="2"/>
      <c r="AS113" s="2"/>
      <c r="BC113" s="5"/>
    </row>
    <row r="114" spans="1:55" x14ac:dyDescent="0.2">
      <c r="A114" s="13"/>
      <c r="V114" s="6" t="str">
        <f t="shared" si="14"/>
        <v/>
      </c>
      <c r="W114" s="5" t="str">
        <f t="shared" si="15"/>
        <v/>
      </c>
      <c r="X114" s="11" t="str">
        <f t="shared" si="16"/>
        <v/>
      </c>
      <c r="Y114" s="11" t="str">
        <f t="shared" si="17"/>
        <v/>
      </c>
      <c r="AO114" s="2"/>
      <c r="AP114" s="2"/>
      <c r="AQ114" s="2"/>
      <c r="AR114" s="2"/>
      <c r="AS114" s="2"/>
      <c r="BC114" s="5"/>
    </row>
    <row r="115" spans="1:55" x14ac:dyDescent="0.2">
      <c r="A115" s="13"/>
      <c r="V115" s="6" t="str">
        <f t="shared" si="14"/>
        <v/>
      </c>
      <c r="W115" s="5" t="str">
        <f t="shared" si="15"/>
        <v/>
      </c>
      <c r="X115" s="11" t="str">
        <f t="shared" si="16"/>
        <v/>
      </c>
      <c r="Y115" s="11" t="str">
        <f t="shared" si="17"/>
        <v/>
      </c>
      <c r="AO115" s="2"/>
      <c r="AP115" s="2"/>
      <c r="AQ115" s="2"/>
      <c r="AR115" s="2"/>
      <c r="AS115" s="2"/>
      <c r="BC115" s="5"/>
    </row>
    <row r="116" spans="1:55" x14ac:dyDescent="0.2">
      <c r="A116" s="13"/>
      <c r="V116" s="6" t="str">
        <f t="shared" si="14"/>
        <v/>
      </c>
      <c r="W116" s="5" t="str">
        <f t="shared" si="15"/>
        <v/>
      </c>
      <c r="X116" s="11" t="str">
        <f t="shared" si="16"/>
        <v/>
      </c>
      <c r="Y116" s="11" t="str">
        <f t="shared" si="17"/>
        <v/>
      </c>
      <c r="AO116" s="2"/>
      <c r="AP116" s="2"/>
      <c r="AQ116" s="2"/>
      <c r="AR116" s="2"/>
      <c r="AS116" s="2"/>
      <c r="BC116" s="5"/>
    </row>
    <row r="117" spans="1:55" x14ac:dyDescent="0.2">
      <c r="A117" s="13"/>
      <c r="V117" s="6" t="str">
        <f t="shared" si="14"/>
        <v/>
      </c>
      <c r="W117" s="5" t="str">
        <f t="shared" si="15"/>
        <v/>
      </c>
      <c r="X117" s="11" t="str">
        <f t="shared" si="16"/>
        <v/>
      </c>
      <c r="Y117" s="11" t="str">
        <f t="shared" si="17"/>
        <v/>
      </c>
      <c r="AO117" s="2"/>
      <c r="AP117" s="2"/>
      <c r="AQ117" s="2"/>
      <c r="AR117" s="2"/>
      <c r="AS117" s="2"/>
      <c r="BC117" s="5"/>
    </row>
    <row r="118" spans="1:55" x14ac:dyDescent="0.2">
      <c r="A118" s="13"/>
      <c r="V118" s="6" t="str">
        <f t="shared" si="14"/>
        <v/>
      </c>
      <c r="W118" s="5" t="str">
        <f t="shared" si="15"/>
        <v/>
      </c>
      <c r="X118" s="11" t="str">
        <f t="shared" si="16"/>
        <v/>
      </c>
      <c r="Y118" s="11" t="str">
        <f t="shared" si="17"/>
        <v/>
      </c>
      <c r="AO118" s="2"/>
      <c r="AP118" s="2"/>
      <c r="AQ118" s="2"/>
      <c r="AR118" s="2"/>
      <c r="AS118" s="2"/>
      <c r="BC118" s="5"/>
    </row>
    <row r="119" spans="1:55" x14ac:dyDescent="0.2">
      <c r="A119" s="13"/>
      <c r="V119" s="6" t="str">
        <f t="shared" si="14"/>
        <v/>
      </c>
      <c r="W119" s="5" t="str">
        <f t="shared" si="15"/>
        <v/>
      </c>
      <c r="X119" s="11" t="str">
        <f t="shared" si="16"/>
        <v/>
      </c>
      <c r="Y119" s="11" t="str">
        <f t="shared" si="17"/>
        <v/>
      </c>
      <c r="AO119" s="2"/>
      <c r="AP119" s="2"/>
      <c r="AQ119" s="2"/>
      <c r="AR119" s="2"/>
      <c r="AS119" s="2"/>
      <c r="BC119" s="5"/>
    </row>
    <row r="120" spans="1:55" x14ac:dyDescent="0.2">
      <c r="A120" s="13"/>
      <c r="V120" s="6" t="str">
        <f t="shared" si="14"/>
        <v/>
      </c>
      <c r="W120" s="5" t="str">
        <f t="shared" si="15"/>
        <v/>
      </c>
      <c r="X120" s="11" t="str">
        <f t="shared" si="16"/>
        <v/>
      </c>
      <c r="Y120" s="11" t="str">
        <f t="shared" si="17"/>
        <v/>
      </c>
      <c r="AO120" s="2"/>
      <c r="AP120" s="2"/>
      <c r="AQ120" s="2"/>
      <c r="AR120" s="2"/>
      <c r="AS120" s="2"/>
      <c r="BC120" s="5"/>
    </row>
    <row r="121" spans="1:55" x14ac:dyDescent="0.2">
      <c r="A121" s="13"/>
      <c r="V121" s="6" t="str">
        <f t="shared" si="14"/>
        <v/>
      </c>
      <c r="W121" s="5" t="str">
        <f t="shared" si="15"/>
        <v/>
      </c>
      <c r="X121" s="11" t="str">
        <f t="shared" si="16"/>
        <v/>
      </c>
      <c r="Y121" s="11" t="str">
        <f t="shared" si="17"/>
        <v/>
      </c>
      <c r="AO121" s="2"/>
      <c r="AP121" s="2"/>
      <c r="AQ121" s="2"/>
      <c r="AR121" s="2"/>
      <c r="AS121" s="2"/>
      <c r="BC121" s="5"/>
    </row>
    <row r="122" spans="1:55" x14ac:dyDescent="0.2">
      <c r="A122" s="13"/>
      <c r="V122" s="6" t="str">
        <f t="shared" si="14"/>
        <v/>
      </c>
      <c r="W122" s="5" t="str">
        <f t="shared" si="15"/>
        <v/>
      </c>
      <c r="X122" s="11" t="str">
        <f t="shared" si="16"/>
        <v/>
      </c>
      <c r="Y122" s="11" t="str">
        <f t="shared" si="17"/>
        <v/>
      </c>
      <c r="AO122" s="2"/>
      <c r="AP122" s="2"/>
      <c r="AQ122" s="2"/>
      <c r="AR122" s="2"/>
      <c r="AS122" s="2"/>
      <c r="BC122" s="5"/>
    </row>
    <row r="123" spans="1:55" x14ac:dyDescent="0.2">
      <c r="A123" s="13"/>
      <c r="V123" s="6" t="str">
        <f t="shared" si="14"/>
        <v/>
      </c>
      <c r="W123" s="5" t="str">
        <f t="shared" si="15"/>
        <v/>
      </c>
      <c r="X123" s="11" t="str">
        <f t="shared" si="16"/>
        <v/>
      </c>
      <c r="Y123" s="11" t="str">
        <f t="shared" si="17"/>
        <v/>
      </c>
      <c r="AO123" s="2"/>
      <c r="AP123" s="2"/>
      <c r="AQ123" s="2"/>
      <c r="AR123" s="2"/>
      <c r="AS123" s="2"/>
      <c r="BC123" s="5"/>
    </row>
    <row r="124" spans="1:55" x14ac:dyDescent="0.2">
      <c r="A124" s="13"/>
      <c r="V124" s="6" t="str">
        <f t="shared" si="14"/>
        <v/>
      </c>
      <c r="W124" s="5" t="str">
        <f t="shared" si="15"/>
        <v/>
      </c>
      <c r="X124" s="11" t="str">
        <f t="shared" si="16"/>
        <v/>
      </c>
      <c r="Y124" s="11" t="str">
        <f t="shared" si="17"/>
        <v/>
      </c>
      <c r="AO124" s="2"/>
      <c r="AP124" s="2"/>
      <c r="AQ124" s="2"/>
      <c r="AR124" s="2"/>
      <c r="AS124" s="2"/>
      <c r="BC124" s="5"/>
    </row>
    <row r="125" spans="1:55" x14ac:dyDescent="0.2">
      <c r="A125" s="13"/>
      <c r="V125" s="6" t="str">
        <f t="shared" si="14"/>
        <v/>
      </c>
      <c r="W125" s="5" t="str">
        <f t="shared" si="15"/>
        <v/>
      </c>
      <c r="X125" s="11" t="str">
        <f t="shared" si="16"/>
        <v/>
      </c>
      <c r="Y125" s="11" t="str">
        <f t="shared" si="17"/>
        <v/>
      </c>
      <c r="AO125" s="2"/>
      <c r="AP125" s="2"/>
      <c r="AQ125" s="2"/>
      <c r="AR125" s="2"/>
      <c r="AS125" s="2"/>
      <c r="BC125" s="5"/>
    </row>
    <row r="126" spans="1:55" x14ac:dyDescent="0.2">
      <c r="A126" s="13"/>
      <c r="V126" s="6" t="str">
        <f t="shared" si="14"/>
        <v/>
      </c>
      <c r="W126" s="5" t="str">
        <f t="shared" si="15"/>
        <v/>
      </c>
      <c r="X126" s="11" t="str">
        <f t="shared" si="16"/>
        <v/>
      </c>
      <c r="Y126" s="11" t="str">
        <f t="shared" si="17"/>
        <v/>
      </c>
      <c r="AO126" s="2"/>
      <c r="AP126" s="2"/>
      <c r="AQ126" s="2"/>
      <c r="AR126" s="2"/>
      <c r="AS126" s="2"/>
      <c r="BC126" s="5"/>
    </row>
    <row r="127" spans="1:55" x14ac:dyDescent="0.2">
      <c r="A127" s="13"/>
      <c r="V127" s="6" t="str">
        <f t="shared" si="14"/>
        <v/>
      </c>
      <c r="W127" s="5" t="str">
        <f t="shared" si="15"/>
        <v/>
      </c>
      <c r="X127" s="11" t="str">
        <f t="shared" si="16"/>
        <v/>
      </c>
      <c r="Y127" s="11" t="str">
        <f t="shared" si="17"/>
        <v/>
      </c>
      <c r="AO127" s="2"/>
      <c r="AP127" s="2"/>
      <c r="AQ127" s="2"/>
      <c r="AR127" s="2"/>
      <c r="AS127" s="2"/>
      <c r="BC127" s="5"/>
    </row>
    <row r="128" spans="1:55" x14ac:dyDescent="0.2">
      <c r="A128" s="13"/>
      <c r="V128" s="6" t="str">
        <f t="shared" si="14"/>
        <v/>
      </c>
      <c r="W128" s="5" t="str">
        <f t="shared" si="15"/>
        <v/>
      </c>
      <c r="X128" s="11" t="str">
        <f t="shared" si="16"/>
        <v/>
      </c>
      <c r="Y128" s="11" t="str">
        <f t="shared" si="17"/>
        <v/>
      </c>
      <c r="AO128" s="2"/>
      <c r="AP128" s="2"/>
      <c r="AQ128" s="2"/>
      <c r="AR128" s="2"/>
      <c r="AS128" s="2"/>
      <c r="BC128" s="5"/>
    </row>
    <row r="129" spans="1:55" x14ac:dyDescent="0.2">
      <c r="A129" s="13"/>
      <c r="V129" s="6" t="str">
        <f t="shared" si="14"/>
        <v/>
      </c>
      <c r="W129" s="5" t="str">
        <f t="shared" si="15"/>
        <v/>
      </c>
      <c r="X129" s="11" t="str">
        <f t="shared" si="16"/>
        <v/>
      </c>
      <c r="Y129" s="11" t="str">
        <f t="shared" si="17"/>
        <v/>
      </c>
      <c r="AO129" s="2"/>
      <c r="AP129" s="2"/>
      <c r="AQ129" s="2"/>
      <c r="AR129" s="2"/>
      <c r="AS129" s="2"/>
      <c r="BC129" s="5"/>
    </row>
    <row r="130" spans="1:55" x14ac:dyDescent="0.2">
      <c r="A130" s="13"/>
      <c r="V130" s="6" t="str">
        <f t="shared" si="14"/>
        <v/>
      </c>
      <c r="W130" s="5" t="str">
        <f t="shared" si="15"/>
        <v/>
      </c>
      <c r="X130" s="11" t="str">
        <f t="shared" si="16"/>
        <v/>
      </c>
      <c r="Y130" s="11" t="str">
        <f t="shared" si="17"/>
        <v/>
      </c>
      <c r="AO130" s="2"/>
      <c r="AP130" s="2"/>
      <c r="AQ130" s="2"/>
      <c r="AR130" s="2"/>
      <c r="AS130" s="2"/>
      <c r="BC130" s="5"/>
    </row>
    <row r="131" spans="1:55" x14ac:dyDescent="0.2">
      <c r="A131" s="13"/>
      <c r="W131" s="5" t="str">
        <f t="shared" ref="W131:W147" si="18">IF(NOT(ISBLANK(U131)),U131-C131*$AA$3,"")</f>
        <v/>
      </c>
      <c r="X131" s="11" t="str">
        <f t="shared" ref="X131:X147" si="19">IF(ISNUMBER(U131),(U131+1000)/((U131*$AT$1+$AU$1)/1000+1)-1000,"")</f>
        <v/>
      </c>
      <c r="Y131" s="11" t="str">
        <f>IF(ISNUMBER(W131),(W131+1000)/((W131*$AT$2+$AU$2)/1000+1)-1000,"")</f>
        <v/>
      </c>
    </row>
    <row r="132" spans="1:55" x14ac:dyDescent="0.2">
      <c r="A132" s="13"/>
      <c r="W132" s="5" t="str">
        <f t="shared" si="18"/>
        <v/>
      </c>
      <c r="X132" s="11" t="str">
        <f t="shared" si="19"/>
        <v/>
      </c>
      <c r="Y132" s="11" t="str">
        <f t="shared" ref="Y132:Y147" si="20">IF(ISNUMBER(W132),(W132+1000)/((W132*$AT$2+$AU$2)/1000+1)-1000,"")</f>
        <v/>
      </c>
    </row>
    <row r="133" spans="1:55" x14ac:dyDescent="0.2">
      <c r="A133" s="13"/>
      <c r="W133" s="5" t="str">
        <f t="shared" si="18"/>
        <v/>
      </c>
      <c r="X133" s="11" t="str">
        <f t="shared" si="19"/>
        <v/>
      </c>
      <c r="Y133" s="11" t="str">
        <f t="shared" si="20"/>
        <v/>
      </c>
    </row>
    <row r="134" spans="1:55" x14ac:dyDescent="0.2">
      <c r="A134" s="13"/>
      <c r="W134" s="5" t="str">
        <f t="shared" si="18"/>
        <v/>
      </c>
      <c r="X134" s="11" t="str">
        <f t="shared" si="19"/>
        <v/>
      </c>
      <c r="Y134" s="11" t="str">
        <f t="shared" si="20"/>
        <v/>
      </c>
    </row>
    <row r="135" spans="1:55" x14ac:dyDescent="0.2">
      <c r="A135" s="13"/>
      <c r="W135" s="5" t="str">
        <f t="shared" si="18"/>
        <v/>
      </c>
      <c r="X135" s="11" t="str">
        <f t="shared" si="19"/>
        <v/>
      </c>
      <c r="Y135" s="11" t="str">
        <f t="shared" si="20"/>
        <v/>
      </c>
    </row>
    <row r="136" spans="1:55" x14ac:dyDescent="0.2">
      <c r="A136" s="13"/>
      <c r="W136" s="5" t="str">
        <f t="shared" si="18"/>
        <v/>
      </c>
      <c r="X136" s="11" t="str">
        <f t="shared" si="19"/>
        <v/>
      </c>
      <c r="Y136" s="11" t="str">
        <f t="shared" si="20"/>
        <v/>
      </c>
    </row>
    <row r="137" spans="1:55" x14ac:dyDescent="0.2">
      <c r="A137" s="13"/>
      <c r="W137" s="5" t="str">
        <f t="shared" si="18"/>
        <v/>
      </c>
      <c r="X137" s="11" t="str">
        <f t="shared" si="19"/>
        <v/>
      </c>
      <c r="Y137" s="11" t="str">
        <f t="shared" si="20"/>
        <v/>
      </c>
    </row>
    <row r="138" spans="1:55" x14ac:dyDescent="0.2">
      <c r="A138" s="13"/>
      <c r="W138" s="5" t="str">
        <f t="shared" si="18"/>
        <v/>
      </c>
      <c r="X138" s="11" t="str">
        <f t="shared" si="19"/>
        <v/>
      </c>
      <c r="Y138" s="11" t="str">
        <f t="shared" si="20"/>
        <v/>
      </c>
    </row>
    <row r="139" spans="1:55" x14ac:dyDescent="0.2">
      <c r="A139" s="13"/>
      <c r="W139" s="5" t="str">
        <f t="shared" si="18"/>
        <v/>
      </c>
      <c r="X139" s="11" t="str">
        <f t="shared" si="19"/>
        <v/>
      </c>
      <c r="Y139" s="11" t="str">
        <f t="shared" si="20"/>
        <v/>
      </c>
    </row>
    <row r="140" spans="1:55" x14ac:dyDescent="0.2">
      <c r="A140" s="13"/>
      <c r="W140" s="5" t="str">
        <f t="shared" si="18"/>
        <v/>
      </c>
      <c r="X140" s="11" t="str">
        <f t="shared" si="19"/>
        <v/>
      </c>
      <c r="Y140" s="11" t="str">
        <f t="shared" si="20"/>
        <v/>
      </c>
    </row>
    <row r="141" spans="1:55" x14ac:dyDescent="0.2">
      <c r="A141" s="13"/>
      <c r="W141" s="5" t="str">
        <f t="shared" si="18"/>
        <v/>
      </c>
      <c r="X141" s="11" t="str">
        <f t="shared" si="19"/>
        <v/>
      </c>
      <c r="Y141" s="11" t="str">
        <f t="shared" si="20"/>
        <v/>
      </c>
    </row>
    <row r="142" spans="1:55" x14ac:dyDescent="0.2">
      <c r="A142" s="13"/>
      <c r="W142" s="5" t="str">
        <f t="shared" si="18"/>
        <v/>
      </c>
      <c r="X142" s="11" t="str">
        <f t="shared" si="19"/>
        <v/>
      </c>
      <c r="Y142" s="11" t="str">
        <f t="shared" si="20"/>
        <v/>
      </c>
    </row>
    <row r="143" spans="1:55" x14ac:dyDescent="0.2">
      <c r="A143" s="13"/>
      <c r="W143" s="5" t="str">
        <f t="shared" si="18"/>
        <v/>
      </c>
      <c r="X143" s="11" t="str">
        <f t="shared" si="19"/>
        <v/>
      </c>
      <c r="Y143" s="11" t="str">
        <f t="shared" si="20"/>
        <v/>
      </c>
    </row>
    <row r="144" spans="1:55" x14ac:dyDescent="0.2">
      <c r="A144" s="13"/>
      <c r="W144" s="5" t="str">
        <f t="shared" si="18"/>
        <v/>
      </c>
      <c r="X144" s="11" t="str">
        <f t="shared" si="19"/>
        <v/>
      </c>
      <c r="Y144" s="11" t="str">
        <f t="shared" si="20"/>
        <v/>
      </c>
    </row>
    <row r="145" spans="1:25" x14ac:dyDescent="0.2">
      <c r="A145" s="13"/>
      <c r="W145" s="5" t="str">
        <f t="shared" si="18"/>
        <v/>
      </c>
      <c r="X145" s="11" t="str">
        <f t="shared" si="19"/>
        <v/>
      </c>
      <c r="Y145" s="11" t="str">
        <f t="shared" si="20"/>
        <v/>
      </c>
    </row>
    <row r="146" spans="1:25" x14ac:dyDescent="0.2">
      <c r="A146" s="13"/>
      <c r="W146" s="5" t="str">
        <f t="shared" si="18"/>
        <v/>
      </c>
      <c r="X146" s="11" t="str">
        <f t="shared" si="19"/>
        <v/>
      </c>
      <c r="Y146" s="11" t="str">
        <f t="shared" si="20"/>
        <v/>
      </c>
    </row>
    <row r="147" spans="1:25" x14ac:dyDescent="0.2">
      <c r="A147" s="13"/>
      <c r="W147" s="5" t="str">
        <f t="shared" si="18"/>
        <v/>
      </c>
      <c r="X147" s="11" t="str">
        <f t="shared" si="19"/>
        <v/>
      </c>
      <c r="Y147" s="11" t="str">
        <f t="shared" si="20"/>
        <v/>
      </c>
    </row>
    <row r="148" spans="1:25" x14ac:dyDescent="0.2">
      <c r="A148" s="13"/>
    </row>
    <row r="149" spans="1:25" x14ac:dyDescent="0.2">
      <c r="A149" s="13"/>
    </row>
    <row r="150" spans="1:25" x14ac:dyDescent="0.2">
      <c r="A150" s="13"/>
    </row>
    <row r="151" spans="1:25" x14ac:dyDescent="0.2">
      <c r="A151" s="13"/>
    </row>
    <row r="152" spans="1:25" x14ac:dyDescent="0.2">
      <c r="A152" s="13"/>
    </row>
    <row r="153" spans="1:25" x14ac:dyDescent="0.2">
      <c r="A153" s="13"/>
    </row>
    <row r="154" spans="1:25" x14ac:dyDescent="0.2">
      <c r="A154" s="13"/>
    </row>
    <row r="155" spans="1:25" x14ac:dyDescent="0.2">
      <c r="A155" s="13"/>
    </row>
    <row r="156" spans="1:25" x14ac:dyDescent="0.2">
      <c r="A156" s="13"/>
    </row>
    <row r="157" spans="1:25" x14ac:dyDescent="0.2">
      <c r="A157" s="13"/>
    </row>
    <row r="158" spans="1:25" x14ac:dyDescent="0.2">
      <c r="A158" s="13"/>
    </row>
    <row r="159" spans="1:25" x14ac:dyDescent="0.2">
      <c r="A159" s="13"/>
    </row>
    <row r="160" spans="1:25" x14ac:dyDescent="0.2">
      <c r="A160" s="13"/>
    </row>
    <row r="161" spans="1:1" x14ac:dyDescent="0.2">
      <c r="A161" s="13"/>
    </row>
    <row r="162" spans="1:1" x14ac:dyDescent="0.2">
      <c r="A162" s="13"/>
    </row>
    <row r="163" spans="1:1" x14ac:dyDescent="0.2">
      <c r="A163" s="13"/>
    </row>
    <row r="164" spans="1:1" x14ac:dyDescent="0.2">
      <c r="A164" s="13"/>
    </row>
    <row r="165" spans="1:1" x14ac:dyDescent="0.2">
      <c r="A165" s="13"/>
    </row>
    <row r="166" spans="1:1" x14ac:dyDescent="0.2">
      <c r="A166" s="13"/>
    </row>
    <row r="167" spans="1:1" x14ac:dyDescent="0.2">
      <c r="A167" s="13"/>
    </row>
    <row r="168" spans="1:1" x14ac:dyDescent="0.2">
      <c r="A168" s="13"/>
    </row>
    <row r="169" spans="1:1" x14ac:dyDescent="0.2">
      <c r="A169" s="13"/>
    </row>
    <row r="170" spans="1:1" x14ac:dyDescent="0.2">
      <c r="A170" s="13"/>
    </row>
    <row r="171" spans="1:1" x14ac:dyDescent="0.2">
      <c r="A171" s="13"/>
    </row>
    <row r="172" spans="1:1" x14ac:dyDescent="0.2">
      <c r="A172" s="13"/>
    </row>
    <row r="173" spans="1:1" x14ac:dyDescent="0.2">
      <c r="A173" s="13"/>
    </row>
    <row r="174" spans="1:1" x14ac:dyDescent="0.2">
      <c r="A174" s="13"/>
    </row>
    <row r="175" spans="1:1" x14ac:dyDescent="0.2">
      <c r="A175" s="13"/>
    </row>
    <row r="176" spans="1:1" x14ac:dyDescent="0.2">
      <c r="A176" s="13"/>
    </row>
    <row r="177" spans="1:1" x14ac:dyDescent="0.2">
      <c r="A177" s="13"/>
    </row>
    <row r="178" spans="1:1" x14ac:dyDescent="0.2">
      <c r="A178" s="13"/>
    </row>
    <row r="179" spans="1:1" x14ac:dyDescent="0.2">
      <c r="A179" s="13"/>
    </row>
    <row r="180" spans="1:1" x14ac:dyDescent="0.2">
      <c r="A180" s="13"/>
    </row>
    <row r="181" spans="1:1" x14ac:dyDescent="0.2">
      <c r="A181" s="13"/>
    </row>
    <row r="182" spans="1:1" x14ac:dyDescent="0.2">
      <c r="A182" s="13"/>
    </row>
    <row r="183" spans="1:1" x14ac:dyDescent="0.2">
      <c r="A183" s="13"/>
    </row>
    <row r="184" spans="1:1" x14ac:dyDescent="0.2">
      <c r="A184" s="13"/>
    </row>
    <row r="185" spans="1:1" x14ac:dyDescent="0.2">
      <c r="A185" s="13"/>
    </row>
    <row r="186" spans="1:1" x14ac:dyDescent="0.2">
      <c r="A186" s="13"/>
    </row>
    <row r="187" spans="1:1" x14ac:dyDescent="0.2">
      <c r="A187" s="13"/>
    </row>
    <row r="188" spans="1:1" x14ac:dyDescent="0.2">
      <c r="A188" s="13"/>
    </row>
    <row r="189" spans="1:1" x14ac:dyDescent="0.2">
      <c r="A189" s="13"/>
    </row>
    <row r="190" spans="1:1" x14ac:dyDescent="0.2">
      <c r="A190" s="13"/>
    </row>
    <row r="191" spans="1:1" x14ac:dyDescent="0.2">
      <c r="A191" s="13"/>
    </row>
    <row r="192" spans="1:1" x14ac:dyDescent="0.2">
      <c r="A192" s="13"/>
    </row>
    <row r="193" spans="1:1" x14ac:dyDescent="0.2">
      <c r="A193" s="13"/>
    </row>
    <row r="194" spans="1:1" x14ac:dyDescent="0.2">
      <c r="A194" s="13"/>
    </row>
    <row r="195" spans="1:1" x14ac:dyDescent="0.2">
      <c r="A195" s="13"/>
    </row>
    <row r="196" spans="1:1" x14ac:dyDescent="0.2">
      <c r="A196" s="13"/>
    </row>
    <row r="197" spans="1:1" x14ac:dyDescent="0.2">
      <c r="A197" s="13"/>
    </row>
    <row r="198" spans="1:1" x14ac:dyDescent="0.2">
      <c r="A198" s="13"/>
    </row>
    <row r="199" spans="1:1" x14ac:dyDescent="0.2">
      <c r="A199" s="13"/>
    </row>
    <row r="200" spans="1:1" x14ac:dyDescent="0.2">
      <c r="A200" s="13"/>
    </row>
    <row r="201" spans="1:1" x14ac:dyDescent="0.2">
      <c r="A201" s="13"/>
    </row>
    <row r="202" spans="1:1" x14ac:dyDescent="0.2">
      <c r="A202" s="13"/>
    </row>
    <row r="203" spans="1:1" x14ac:dyDescent="0.2">
      <c r="A203" s="13"/>
    </row>
    <row r="204" spans="1:1" x14ac:dyDescent="0.2">
      <c r="A204" s="13"/>
    </row>
    <row r="205" spans="1:1" x14ac:dyDescent="0.2">
      <c r="A205" s="13"/>
    </row>
    <row r="206" spans="1:1" x14ac:dyDescent="0.2">
      <c r="A206" s="13"/>
    </row>
    <row r="207" spans="1:1" x14ac:dyDescent="0.2">
      <c r="A207" s="13"/>
    </row>
    <row r="208" spans="1:1" x14ac:dyDescent="0.2">
      <c r="A208" s="13"/>
    </row>
    <row r="209" spans="1:1" x14ac:dyDescent="0.2">
      <c r="A209" s="13"/>
    </row>
    <row r="210" spans="1:1" x14ac:dyDescent="0.2">
      <c r="A210" s="13"/>
    </row>
    <row r="211" spans="1:1" x14ac:dyDescent="0.2">
      <c r="A211" s="13"/>
    </row>
    <row r="212" spans="1:1" x14ac:dyDescent="0.2">
      <c r="A212" s="13"/>
    </row>
    <row r="213" spans="1:1" x14ac:dyDescent="0.2">
      <c r="A213" s="13"/>
    </row>
    <row r="214" spans="1:1" x14ac:dyDescent="0.2">
      <c r="A214" s="13"/>
    </row>
    <row r="215" spans="1:1" x14ac:dyDescent="0.2">
      <c r="A215" s="13"/>
    </row>
    <row r="216" spans="1:1" x14ac:dyDescent="0.2">
      <c r="A216" s="13"/>
    </row>
    <row r="217" spans="1:1" x14ac:dyDescent="0.2">
      <c r="A217" s="13"/>
    </row>
    <row r="218" spans="1:1" x14ac:dyDescent="0.2">
      <c r="A218" s="13"/>
    </row>
    <row r="219" spans="1:1" x14ac:dyDescent="0.2">
      <c r="A219" s="13"/>
    </row>
    <row r="220" spans="1:1" x14ac:dyDescent="0.2">
      <c r="A220" s="13"/>
    </row>
    <row r="221" spans="1:1" x14ac:dyDescent="0.2">
      <c r="A221" s="13"/>
    </row>
    <row r="222" spans="1:1" x14ac:dyDescent="0.2">
      <c r="A222" s="13"/>
    </row>
    <row r="223" spans="1:1" x14ac:dyDescent="0.2">
      <c r="A223" s="13"/>
    </row>
    <row r="224" spans="1:1" x14ac:dyDescent="0.2">
      <c r="A224" s="13"/>
    </row>
    <row r="225" spans="1:1" x14ac:dyDescent="0.2">
      <c r="A225" s="13"/>
    </row>
    <row r="226" spans="1:1" x14ac:dyDescent="0.2">
      <c r="A226" s="13"/>
    </row>
    <row r="227" spans="1:1" x14ac:dyDescent="0.2">
      <c r="A227" s="13"/>
    </row>
    <row r="228" spans="1:1" x14ac:dyDescent="0.2">
      <c r="A228" s="13"/>
    </row>
    <row r="229" spans="1:1" x14ac:dyDescent="0.2">
      <c r="A229" s="13"/>
    </row>
    <row r="230" spans="1:1" x14ac:dyDescent="0.2">
      <c r="A230" s="13"/>
    </row>
    <row r="231" spans="1:1" x14ac:dyDescent="0.2">
      <c r="A231" s="13"/>
    </row>
    <row r="232" spans="1:1" x14ac:dyDescent="0.2">
      <c r="A232" s="13"/>
    </row>
    <row r="233" spans="1:1" x14ac:dyDescent="0.2">
      <c r="A233" s="13"/>
    </row>
    <row r="234" spans="1:1" x14ac:dyDescent="0.2">
      <c r="A234" s="13"/>
    </row>
    <row r="235" spans="1:1" x14ac:dyDescent="0.2">
      <c r="A235" s="13"/>
    </row>
    <row r="236" spans="1:1" x14ac:dyDescent="0.2">
      <c r="A236" s="13"/>
    </row>
    <row r="237" spans="1:1" x14ac:dyDescent="0.2">
      <c r="A237" s="13"/>
    </row>
    <row r="238" spans="1:1" x14ac:dyDescent="0.2">
      <c r="A238" s="13"/>
    </row>
    <row r="239" spans="1:1" x14ac:dyDescent="0.2">
      <c r="A239" s="13"/>
    </row>
    <row r="240" spans="1:1" x14ac:dyDescent="0.2">
      <c r="A240" s="13"/>
    </row>
    <row r="241" spans="1:1" x14ac:dyDescent="0.2">
      <c r="A241" s="13"/>
    </row>
    <row r="242" spans="1:1" x14ac:dyDescent="0.2">
      <c r="A242" s="13"/>
    </row>
    <row r="243" spans="1:1" x14ac:dyDescent="0.2">
      <c r="A243" s="13"/>
    </row>
    <row r="244" spans="1:1" x14ac:dyDescent="0.2">
      <c r="A244" s="13"/>
    </row>
    <row r="245" spans="1:1" x14ac:dyDescent="0.2">
      <c r="A245" s="13"/>
    </row>
    <row r="246" spans="1:1" x14ac:dyDescent="0.2">
      <c r="A246" s="13"/>
    </row>
    <row r="247" spans="1:1" x14ac:dyDescent="0.2">
      <c r="A247" s="13"/>
    </row>
    <row r="248" spans="1:1" x14ac:dyDescent="0.2">
      <c r="A248" s="13"/>
    </row>
    <row r="249" spans="1:1" x14ac:dyDescent="0.2">
      <c r="A249" s="13"/>
    </row>
    <row r="250" spans="1:1" x14ac:dyDescent="0.2">
      <c r="A250" s="13"/>
    </row>
    <row r="251" spans="1:1" x14ac:dyDescent="0.2">
      <c r="A251" s="13"/>
    </row>
    <row r="252" spans="1:1" x14ac:dyDescent="0.2">
      <c r="A252" s="13"/>
    </row>
    <row r="253" spans="1:1" x14ac:dyDescent="0.2">
      <c r="A253" s="13"/>
    </row>
    <row r="254" spans="1:1" x14ac:dyDescent="0.2">
      <c r="A254" s="13"/>
    </row>
    <row r="255" spans="1:1" x14ac:dyDescent="0.2">
      <c r="A255" s="13"/>
    </row>
    <row r="256" spans="1:1" x14ac:dyDescent="0.2">
      <c r="A256" s="13"/>
    </row>
    <row r="257" spans="1:1" x14ac:dyDescent="0.2">
      <c r="A257" s="13"/>
    </row>
    <row r="258" spans="1:1" x14ac:dyDescent="0.2">
      <c r="A258" s="13"/>
    </row>
    <row r="259" spans="1:1" x14ac:dyDescent="0.2">
      <c r="A259" s="13"/>
    </row>
    <row r="260" spans="1:1" x14ac:dyDescent="0.2">
      <c r="A260" s="13"/>
    </row>
    <row r="261" spans="1:1" x14ac:dyDescent="0.2">
      <c r="A261" s="13"/>
    </row>
    <row r="262" spans="1:1" x14ac:dyDescent="0.2">
      <c r="A262" s="13"/>
    </row>
    <row r="263" spans="1:1" x14ac:dyDescent="0.2">
      <c r="A263" s="13"/>
    </row>
    <row r="264" spans="1:1" x14ac:dyDescent="0.2">
      <c r="A264" s="13"/>
    </row>
    <row r="265" spans="1:1" x14ac:dyDescent="0.2">
      <c r="A265" s="13"/>
    </row>
    <row r="266" spans="1:1" x14ac:dyDescent="0.2">
      <c r="A266" s="13"/>
    </row>
    <row r="267" spans="1:1" x14ac:dyDescent="0.2">
      <c r="A267" s="13"/>
    </row>
    <row r="268" spans="1:1" x14ac:dyDescent="0.2">
      <c r="A268" s="13"/>
    </row>
    <row r="269" spans="1:1" x14ac:dyDescent="0.2">
      <c r="A269" s="13"/>
    </row>
    <row r="270" spans="1:1" x14ac:dyDescent="0.2">
      <c r="A270" s="13"/>
    </row>
    <row r="271" spans="1:1" x14ac:dyDescent="0.2">
      <c r="A271" s="13"/>
    </row>
    <row r="272" spans="1:1" x14ac:dyDescent="0.2">
      <c r="A272" s="13"/>
    </row>
    <row r="273" spans="1:1" x14ac:dyDescent="0.2">
      <c r="A273" s="13"/>
    </row>
    <row r="274" spans="1:1" x14ac:dyDescent="0.2">
      <c r="A274" s="13"/>
    </row>
    <row r="275" spans="1:1" x14ac:dyDescent="0.2">
      <c r="A275" s="13"/>
    </row>
    <row r="276" spans="1:1" x14ac:dyDescent="0.2">
      <c r="A276" s="13"/>
    </row>
    <row r="277" spans="1:1" x14ac:dyDescent="0.2">
      <c r="A277" s="13"/>
    </row>
    <row r="278" spans="1:1" x14ac:dyDescent="0.2">
      <c r="A278" s="13"/>
    </row>
    <row r="279" spans="1:1" x14ac:dyDescent="0.2">
      <c r="A279" s="13"/>
    </row>
    <row r="280" spans="1:1" x14ac:dyDescent="0.2">
      <c r="A280" s="13"/>
    </row>
    <row r="281" spans="1:1" x14ac:dyDescent="0.2">
      <c r="A281" s="13"/>
    </row>
    <row r="282" spans="1:1" x14ac:dyDescent="0.2">
      <c r="A282" s="13"/>
    </row>
    <row r="283" spans="1:1" x14ac:dyDescent="0.2">
      <c r="A283" s="13"/>
    </row>
    <row r="284" spans="1:1" x14ac:dyDescent="0.2">
      <c r="A284" s="13"/>
    </row>
    <row r="285" spans="1:1" x14ac:dyDescent="0.2">
      <c r="A285" s="13"/>
    </row>
    <row r="286" spans="1:1" x14ac:dyDescent="0.2">
      <c r="A286" s="13"/>
    </row>
    <row r="287" spans="1:1" x14ac:dyDescent="0.2">
      <c r="A287" s="13"/>
    </row>
    <row r="288" spans="1:1" x14ac:dyDescent="0.2">
      <c r="A288" s="13"/>
    </row>
    <row r="289" spans="1:1" x14ac:dyDescent="0.2">
      <c r="A289" s="13"/>
    </row>
    <row r="290" spans="1:1" x14ac:dyDescent="0.2">
      <c r="A290" s="13"/>
    </row>
    <row r="291" spans="1:1" x14ac:dyDescent="0.2">
      <c r="A291" s="13"/>
    </row>
    <row r="292" spans="1:1" x14ac:dyDescent="0.2">
      <c r="A292" s="13"/>
    </row>
    <row r="293" spans="1:1" x14ac:dyDescent="0.2">
      <c r="A293" s="13"/>
    </row>
    <row r="294" spans="1:1" x14ac:dyDescent="0.2">
      <c r="A294" s="13"/>
    </row>
    <row r="295" spans="1:1" x14ac:dyDescent="0.2">
      <c r="A295" s="13"/>
    </row>
    <row r="296" spans="1:1" x14ac:dyDescent="0.2">
      <c r="A296" s="13"/>
    </row>
    <row r="297" spans="1:1" x14ac:dyDescent="0.2">
      <c r="A297" s="13"/>
    </row>
    <row r="298" spans="1:1" x14ac:dyDescent="0.2">
      <c r="A298" s="13"/>
    </row>
    <row r="299" spans="1:1" x14ac:dyDescent="0.2">
      <c r="A299" s="13"/>
    </row>
    <row r="300" spans="1:1" x14ac:dyDescent="0.2">
      <c r="A300" s="13"/>
    </row>
    <row r="301" spans="1:1" x14ac:dyDescent="0.2">
      <c r="A301" s="13"/>
    </row>
    <row r="302" spans="1:1" x14ac:dyDescent="0.2">
      <c r="A302" s="13"/>
    </row>
    <row r="303" spans="1:1" x14ac:dyDescent="0.2">
      <c r="A303" s="13"/>
    </row>
    <row r="304" spans="1:1" x14ac:dyDescent="0.2">
      <c r="A304" s="13"/>
    </row>
    <row r="305" spans="1:1" x14ac:dyDescent="0.2">
      <c r="A305" s="13"/>
    </row>
    <row r="306" spans="1:1" x14ac:dyDescent="0.2">
      <c r="A306" s="13"/>
    </row>
    <row r="307" spans="1:1" x14ac:dyDescent="0.2">
      <c r="A307" s="13"/>
    </row>
    <row r="308" spans="1:1" x14ac:dyDescent="0.2">
      <c r="A308" s="13"/>
    </row>
    <row r="309" spans="1:1" x14ac:dyDescent="0.2">
      <c r="A309" s="13"/>
    </row>
    <row r="310" spans="1:1" x14ac:dyDescent="0.2">
      <c r="A310" s="13"/>
    </row>
    <row r="311" spans="1:1" x14ac:dyDescent="0.2">
      <c r="A311" s="13"/>
    </row>
  </sheetData>
  <conditionalFormatting sqref="BV2:BV25">
    <cfRule type="cellIs" dxfId="1" priority="1" operator="equal">
      <formula>FALSE</formula>
    </cfRule>
  </conditionalFormatting>
  <dataValidations count="1">
    <dataValidation promptTitle="Reference" prompt="Select two" sqref="AX2 E6 E34 E39" xr:uid="{00000000-0002-0000-0400-000000000000}"/>
  </dataValidations>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autoFill="0" autoPict="0" macro="[0]!d15N_ref">
                <anchor moveWithCells="1" sizeWithCells="1">
                  <from>
                    <xdr:col>36</xdr:col>
                    <xdr:colOff>101600</xdr:colOff>
                    <xdr:row>3</xdr:row>
                    <xdr:rowOff>127000</xdr:rowOff>
                  </from>
                  <to>
                    <xdr:col>38</xdr:col>
                    <xdr:colOff>0</xdr:colOff>
                    <xdr:row>6</xdr:row>
                    <xdr:rowOff>12700</xdr:rowOff>
                  </to>
                </anchor>
              </controlPr>
            </control>
          </mc:Choice>
        </mc:AlternateContent>
        <mc:AlternateContent xmlns:mc="http://schemas.openxmlformats.org/markup-compatibility/2006">
          <mc:Choice Requires="x14">
            <control shapeId="4099" r:id="rId4" name="Button 3">
              <controlPr defaultSize="0" autoFill="0" autoPict="0" macro="[0]!d15N_drift">
                <anchor moveWithCells="1" sizeWithCells="1">
                  <from>
                    <xdr:col>26</xdr:col>
                    <xdr:colOff>12700</xdr:colOff>
                    <xdr:row>3</xdr:row>
                    <xdr:rowOff>12700</xdr:rowOff>
                  </from>
                  <to>
                    <xdr:col>27</xdr:col>
                    <xdr:colOff>114300</xdr:colOff>
                    <xdr:row>5</xdr:row>
                    <xdr:rowOff>139700</xdr:rowOff>
                  </to>
                </anchor>
              </controlPr>
            </control>
          </mc:Choice>
        </mc:AlternateContent>
        <mc:AlternateContent xmlns:mc="http://schemas.openxmlformats.org/markup-compatibility/2006">
          <mc:Choice Requires="x14">
            <control shapeId="4101" r:id="rId5" name="Button 5">
              <controlPr defaultSize="0" autoFill="0" autoPict="0" macro="[0]!N_qc">
                <anchor moveWithCells="1" sizeWithCells="1">
                  <from>
                    <xdr:col>47</xdr:col>
                    <xdr:colOff>838200</xdr:colOff>
                    <xdr:row>3</xdr:row>
                    <xdr:rowOff>0</xdr:rowOff>
                  </from>
                  <to>
                    <xdr:col>49</xdr:col>
                    <xdr:colOff>596900</xdr:colOff>
                    <xdr:row>5</xdr:row>
                    <xdr:rowOff>190500</xdr:rowOff>
                  </to>
                </anchor>
              </controlPr>
            </control>
          </mc:Choice>
        </mc:AlternateContent>
        <mc:AlternateContent xmlns:mc="http://schemas.openxmlformats.org/markup-compatibility/2006">
          <mc:Choice Requires="x14">
            <control shapeId="4103" r:id="rId6" name="Button 7">
              <controlPr defaultSize="0" print="0" autoFill="0" autoPict="0" macro="[0]!d15N_lincheck" altText="d15N_x000a_Linearity Check">
                <anchor moveWithCells="1" sizeWithCells="1">
                  <from>
                    <xdr:col>61</xdr:col>
                    <xdr:colOff>12700</xdr:colOff>
                    <xdr:row>6</xdr:row>
                    <xdr:rowOff>203200</xdr:rowOff>
                  </from>
                  <to>
                    <xdr:col>63</xdr:col>
                    <xdr:colOff>0</xdr:colOff>
                    <xdr:row>11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promptTitle="Reference" prompt="Select two" xr:uid="{00000000-0002-0000-0400-000001000000}">
          <x14:formula1>
            <xm:f>References!$A$2:$A$6</xm:f>
          </x14:formula1>
          <xm:sqref>AA2 AW2 AK2:AK3 BJ2:BJ5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CB147"/>
  <sheetViews>
    <sheetView topLeftCell="BI1" zoomScale="60" zoomScaleNormal="60" workbookViewId="0">
      <pane ySplit="1" topLeftCell="A2" activePane="bottomLeft" state="frozen"/>
      <selection pane="bottomLeft" activeCell="BJ17" sqref="BJ17"/>
    </sheetView>
  </sheetViews>
  <sheetFormatPr baseColWidth="10" defaultColWidth="11" defaultRowHeight="16" x14ac:dyDescent="0.2"/>
  <cols>
    <col min="1" max="1" width="19.6640625" bestFit="1" customWidth="1"/>
    <col min="2" max="2" width="11.33203125" bestFit="1" customWidth="1"/>
    <col min="3" max="3" width="6.6640625" bestFit="1" customWidth="1"/>
    <col min="4" max="4" width="14.83203125" customWidth="1"/>
    <col min="5" max="5" width="14.1640625" bestFit="1" customWidth="1"/>
    <col min="6" max="6" width="10.5" bestFit="1" customWidth="1"/>
    <col min="7" max="7" width="11.6640625" bestFit="1" customWidth="1"/>
    <col min="8" max="8" width="7.6640625" bestFit="1" customWidth="1"/>
    <col min="9" max="9" width="19.83203125" bestFit="1" customWidth="1"/>
    <col min="10" max="12" width="10.5" bestFit="1" customWidth="1"/>
    <col min="13" max="15" width="11.6640625" bestFit="1" customWidth="1"/>
    <col min="16" max="19" width="10.6640625" bestFit="1" customWidth="1"/>
    <col min="20" max="20" width="8.1640625" bestFit="1" customWidth="1"/>
    <col min="21" max="21" width="17" bestFit="1" customWidth="1"/>
    <col min="22" max="22" width="13" bestFit="1" customWidth="1"/>
    <col min="23" max="23" width="9.5" bestFit="1" customWidth="1"/>
    <col min="24" max="24" width="24.83203125" bestFit="1" customWidth="1"/>
    <col min="25" max="25" width="38.5" bestFit="1" customWidth="1"/>
    <col min="26" max="26" width="18.6640625" bestFit="1" customWidth="1"/>
    <col min="28" max="28" width="12.6640625" bestFit="1" customWidth="1"/>
    <col min="29" max="29" width="4.6640625" bestFit="1" customWidth="1"/>
    <col min="30" max="30" width="7.6640625" bestFit="1" customWidth="1"/>
    <col min="31" max="31" width="10" bestFit="1" customWidth="1"/>
    <col min="32" max="32" width="9.5" bestFit="1" customWidth="1"/>
    <col min="33" max="33" width="13" bestFit="1" customWidth="1"/>
    <col min="34" max="34" width="6.6640625" bestFit="1" customWidth="1"/>
    <col min="35" max="36" width="12.6640625" bestFit="1" customWidth="1"/>
    <col min="38" max="38" width="10" bestFit="1" customWidth="1"/>
    <col min="39" max="39" width="10.1640625" bestFit="1" customWidth="1"/>
    <col min="40" max="40" width="7.6640625" bestFit="1" customWidth="1"/>
    <col min="41" max="41" width="10" bestFit="1" customWidth="1"/>
    <col min="42" max="42" width="9.5" bestFit="1" customWidth="1"/>
    <col min="43" max="43" width="18" bestFit="1" customWidth="1"/>
    <col min="44" max="44" width="13" bestFit="1" customWidth="1"/>
    <col min="45" max="45" width="12.6640625" bestFit="1" customWidth="1"/>
    <col min="46" max="46" width="14.1640625" bestFit="1" customWidth="1"/>
    <col min="47" max="48" width="12.6640625" bestFit="1" customWidth="1"/>
    <col min="50" max="54" width="11.6640625" customWidth="1"/>
    <col min="55" max="55" width="24.5" customWidth="1"/>
    <col min="56" max="56" width="18.6640625" bestFit="1" customWidth="1"/>
    <col min="57" max="57" width="12.1640625" bestFit="1" customWidth="1"/>
    <col min="58" max="58" width="16.1640625" bestFit="1" customWidth="1"/>
    <col min="59" max="59" width="11" style="5"/>
    <col min="63" max="63" width="10.6640625" bestFit="1" customWidth="1"/>
    <col min="64" max="64" width="9.1640625" bestFit="1" customWidth="1"/>
    <col min="65" max="65" width="22.6640625" bestFit="1" customWidth="1"/>
    <col min="66" max="66" width="9.1640625" bestFit="1" customWidth="1"/>
    <col min="67" max="67" width="10.83203125" bestFit="1" customWidth="1"/>
    <col min="68" max="68" width="8.83203125" bestFit="1" customWidth="1"/>
    <col min="69" max="69" width="10.83203125" bestFit="1" customWidth="1"/>
    <col min="70" max="70" width="20.83203125" bestFit="1" customWidth="1"/>
    <col min="71" max="71" width="20.33203125" bestFit="1" customWidth="1"/>
    <col min="72" max="72" width="26.1640625" bestFit="1" customWidth="1"/>
    <col min="73" max="73" width="9.1640625" bestFit="1" customWidth="1"/>
    <col min="74" max="74" width="16.83203125" bestFit="1" customWidth="1"/>
    <col min="75" max="75" width="16.83203125" customWidth="1"/>
    <col min="76" max="76" width="14.83203125" bestFit="1" customWidth="1"/>
    <col min="77" max="77" width="17.1640625" bestFit="1" customWidth="1"/>
    <col min="78" max="78" width="27.33203125" bestFit="1" customWidth="1"/>
    <col min="79" max="79" width="27.6640625" bestFit="1" customWidth="1"/>
    <col min="80" max="80" width="22" bestFit="1" customWidth="1"/>
  </cols>
  <sheetData>
    <row r="1" spans="1:80" s="9" customFormat="1" ht="32.25" customHeight="1" x14ac:dyDescent="0.2">
      <c r="A1" s="54" t="s">
        <v>39</v>
      </c>
      <c r="B1" s="54" t="s">
        <v>40</v>
      </c>
      <c r="C1" s="54" t="s">
        <v>0</v>
      </c>
      <c r="D1" s="54" t="s">
        <v>1</v>
      </c>
      <c r="E1" s="54" t="s">
        <v>41</v>
      </c>
      <c r="F1" s="54" t="s">
        <v>2</v>
      </c>
      <c r="G1" s="54" t="s">
        <v>47</v>
      </c>
      <c r="H1" s="54" t="s">
        <v>3</v>
      </c>
      <c r="I1" s="54" t="s">
        <v>4</v>
      </c>
      <c r="J1" s="54" t="s">
        <v>96</v>
      </c>
      <c r="K1" s="54" t="s">
        <v>97</v>
      </c>
      <c r="L1" s="54" t="s">
        <v>98</v>
      </c>
      <c r="M1" s="54" t="s">
        <v>51</v>
      </c>
      <c r="N1" s="54" t="s">
        <v>52</v>
      </c>
      <c r="O1" s="54" t="s">
        <v>53</v>
      </c>
      <c r="P1" s="54" t="s">
        <v>5</v>
      </c>
      <c r="Q1" s="54" t="s">
        <v>7</v>
      </c>
      <c r="R1" s="54" t="s">
        <v>8</v>
      </c>
      <c r="S1" s="54" t="s">
        <v>6</v>
      </c>
      <c r="T1" s="54" t="s">
        <v>9</v>
      </c>
      <c r="U1" s="54" t="s">
        <v>38</v>
      </c>
      <c r="V1" s="54" t="s">
        <v>10</v>
      </c>
      <c r="W1" s="40"/>
      <c r="X1" s="41" t="s">
        <v>34</v>
      </c>
      <c r="Y1" s="38" t="s">
        <v>78</v>
      </c>
      <c r="Z1" s="39" t="s">
        <v>76</v>
      </c>
      <c r="AB1" s="40" t="s">
        <v>1</v>
      </c>
      <c r="AC1" s="40" t="s">
        <v>0</v>
      </c>
      <c r="AD1" s="9" t="s">
        <v>40</v>
      </c>
      <c r="AE1" s="40" t="s">
        <v>1</v>
      </c>
      <c r="AF1" s="40" t="s">
        <v>10</v>
      </c>
      <c r="AG1" s="42"/>
      <c r="AH1" s="42"/>
      <c r="AL1" s="40" t="s">
        <v>1</v>
      </c>
      <c r="AM1" s="9" t="s">
        <v>40</v>
      </c>
      <c r="AN1" s="9" t="s">
        <v>40</v>
      </c>
      <c r="AO1" s="40" t="s">
        <v>1</v>
      </c>
      <c r="AP1" s="40" t="s">
        <v>10</v>
      </c>
      <c r="AQ1" s="42" t="s">
        <v>34</v>
      </c>
      <c r="AR1" s="42" t="s">
        <v>27</v>
      </c>
      <c r="AS1" s="42" t="s">
        <v>28</v>
      </c>
      <c r="AT1" s="42" t="s">
        <v>54</v>
      </c>
      <c r="AU1" s="9">
        <f>SLOPE(AS2:AS15,AP2:AP15)</f>
        <v>-1.9178567529367741E-2</v>
      </c>
      <c r="AV1" s="9">
        <f>INTERCEPT(AS2:AS15,AP2:AP15)</f>
        <v>-0.28972406516976479</v>
      </c>
      <c r="AX1" s="40" t="s">
        <v>1</v>
      </c>
      <c r="AY1" s="40" t="s">
        <v>41</v>
      </c>
      <c r="AZ1" s="9" t="s">
        <v>40</v>
      </c>
      <c r="BA1" s="9" t="s">
        <v>40</v>
      </c>
      <c r="BB1" s="40" t="s">
        <v>1</v>
      </c>
      <c r="BC1" s="38" t="s">
        <v>78</v>
      </c>
      <c r="BD1" s="39" t="s">
        <v>76</v>
      </c>
      <c r="BF1" s="9" t="s">
        <v>86</v>
      </c>
      <c r="BG1" s="44">
        <f>_xlfn.STDEV.S(BC2:BC4)</f>
        <v>3.2093869595548996E-2</v>
      </c>
      <c r="BK1" s="40" t="s">
        <v>1</v>
      </c>
      <c r="BL1" s="9" t="s">
        <v>40</v>
      </c>
      <c r="BM1" s="9" t="s">
        <v>18</v>
      </c>
      <c r="BN1" s="9" t="s">
        <v>40</v>
      </c>
      <c r="BO1" s="40" t="s">
        <v>1</v>
      </c>
      <c r="BP1" s="9" t="s">
        <v>5</v>
      </c>
      <c r="BQ1" s="9" t="s">
        <v>10</v>
      </c>
      <c r="BR1" s="9" t="s">
        <v>34</v>
      </c>
      <c r="BS1" s="38" t="s">
        <v>78</v>
      </c>
      <c r="BT1" s="39" t="s">
        <v>76</v>
      </c>
      <c r="BU1" s="9" t="s">
        <v>40</v>
      </c>
      <c r="BV1" s="9" t="s">
        <v>19</v>
      </c>
      <c r="BW1" s="9" t="s">
        <v>99</v>
      </c>
      <c r="BX1" s="42" t="s">
        <v>27</v>
      </c>
      <c r="BY1" s="9" t="s">
        <v>72</v>
      </c>
      <c r="BZ1" s="9" t="s">
        <v>73</v>
      </c>
      <c r="CA1" s="9" t="s">
        <v>89</v>
      </c>
      <c r="CB1" s="9" t="s">
        <v>90</v>
      </c>
    </row>
    <row r="2" spans="1:80" x14ac:dyDescent="0.2">
      <c r="A2" s="13">
        <v>44252.749490740738</v>
      </c>
      <c r="B2">
        <v>27934</v>
      </c>
      <c r="C2">
        <v>1</v>
      </c>
      <c r="D2" t="s">
        <v>100</v>
      </c>
      <c r="G2">
        <v>5</v>
      </c>
      <c r="H2">
        <v>347.1</v>
      </c>
      <c r="I2">
        <v>78</v>
      </c>
      <c r="J2">
        <v>1.9</v>
      </c>
      <c r="K2">
        <v>2.5</v>
      </c>
      <c r="L2">
        <v>3.1</v>
      </c>
      <c r="M2">
        <v>3404</v>
      </c>
      <c r="N2">
        <v>4001</v>
      </c>
      <c r="O2">
        <v>4921</v>
      </c>
      <c r="P2">
        <v>93.421999999999997</v>
      </c>
      <c r="Q2">
        <v>91.942999999999998</v>
      </c>
      <c r="R2">
        <v>1.08</v>
      </c>
      <c r="S2">
        <v>0.39900000000000002</v>
      </c>
      <c r="U2">
        <v>1.0738909999999999</v>
      </c>
      <c r="V2">
        <v>-29.042999999999999</v>
      </c>
      <c r="W2" s="1"/>
      <c r="X2" s="5">
        <f>IF(ISNUMBER(V2),V2-B2*$AB$3,"")</f>
        <v>-48.719768567383568</v>
      </c>
      <c r="Y2" s="11">
        <f>IF(ISNUMBER(V2),(V2+1000)/((V2*$AU$1+$AV$1)/1000+1)-1000,"")</f>
        <v>-29.302447140718641</v>
      </c>
      <c r="Z2" s="11">
        <f>IF(ISNUMBER(X2),(X2+1000)/((X2*$AU$2+$AV$2)/1000+1)-1000,"")</f>
        <v>-29.276040739786026</v>
      </c>
      <c r="AB2" t="s">
        <v>12</v>
      </c>
      <c r="AC2" t="str">
        <f>"&gt;=0"</f>
        <v>&gt;=0</v>
      </c>
      <c r="AD2">
        <v>27938</v>
      </c>
      <c r="AE2" t="s">
        <v>12</v>
      </c>
      <c r="AF2">
        <v>-31.888000000000002</v>
      </c>
      <c r="AL2" t="s">
        <v>11</v>
      </c>
      <c r="AM2" t="str">
        <f>IF(AL2="Urea","&gt;"&amp;MAX('Elemental analysis'!A6:A9)-100,"&gt;=0")</f>
        <v>&gt;20514</v>
      </c>
      <c r="AN2">
        <v>27939</v>
      </c>
      <c r="AO2" t="s">
        <v>11</v>
      </c>
      <c r="AP2">
        <v>-41.037999999999997</v>
      </c>
      <c r="AQ2" s="5">
        <v>-60.718290577938333</v>
      </c>
      <c r="AR2" s="5">
        <f>IF(ISBLANK(AO2),"",VLOOKUP(AO2,refs[#All],5,FALSE))</f>
        <v>-41.61</v>
      </c>
      <c r="AS2" s="2">
        <f>IF(ISBLANK(AP2),"",((AP2+1000)/(AR2+1000)-1)*1000)</f>
        <v>0.59683427414736201</v>
      </c>
      <c r="AT2" s="2">
        <f>IF(ISBLANK(AQ2),"",((AQ2+1000)/(AR2+1000)-1)*1000)</f>
        <v>-19.937906883354728</v>
      </c>
      <c r="AU2">
        <f>SLOPE(AT2:AT15,AQ2:AQ15)</f>
        <v>1.9718440696729822E-3</v>
      </c>
      <c r="AV2">
        <f>INTERCEPT(AT2:AT15,AQ2:AQ15)</f>
        <v>-19.934062964776334</v>
      </c>
      <c r="AX2" t="s">
        <v>14</v>
      </c>
      <c r="AY2" t="s">
        <v>57</v>
      </c>
      <c r="AZ2" t="str">
        <f>AM2</f>
        <v>&gt;20514</v>
      </c>
      <c r="BA2">
        <v>27941</v>
      </c>
      <c r="BB2" t="s">
        <v>14</v>
      </c>
      <c r="BC2" s="11">
        <v>0.71901236271730795</v>
      </c>
      <c r="BD2" s="11">
        <v>-29.281062707121009</v>
      </c>
      <c r="BF2" s="36" t="s">
        <v>29</v>
      </c>
      <c r="BG2" s="45">
        <f>_xlfn.STDEV.S(BD2:BD4)</f>
        <v>1.4379133091079025E-2</v>
      </c>
      <c r="BK2" t="s">
        <v>12</v>
      </c>
      <c r="BL2" t="str">
        <f>"&gt;=0"</f>
        <v>&gt;=0</v>
      </c>
      <c r="BM2" t="s">
        <v>21</v>
      </c>
      <c r="BN2">
        <v>27938</v>
      </c>
      <c r="BO2" t="s">
        <v>12</v>
      </c>
      <c r="BP2">
        <v>76.55</v>
      </c>
      <c r="BQ2">
        <v>-31.888000000000002</v>
      </c>
      <c r="BR2" s="5">
        <v>-51.567586175827387</v>
      </c>
      <c r="BS2" s="11">
        <v>0.62216042291072426</v>
      </c>
      <c r="BT2" s="11">
        <v>-32.17652057196301</v>
      </c>
      <c r="BU2">
        <v>27938</v>
      </c>
      <c r="BV2">
        <v>1290747</v>
      </c>
      <c r="BW2" t="b">
        <f>BN2=BU2</f>
        <v>1</v>
      </c>
      <c r="BX2" s="2">
        <f>IF(ISBLANK(BO2),"",VLOOKUP(BO2,refs[#All],5,FALSE))</f>
        <v>-32.15</v>
      </c>
      <c r="BY2" s="2">
        <f>IF(ISBLANK($BO2),"",((BQ2+1000)/($BX2+1000)-1)*1000)</f>
        <v>0.27070310481991378</v>
      </c>
      <c r="BZ2" s="2">
        <f>IF(ISBLANK($BO2),"",((BR2+1000)/($BX2+1000)-1)*1000)</f>
        <v>-20.062598724830739</v>
      </c>
      <c r="CA2" s="2">
        <f>IF(ISBLANK($BO2),"",((BS2+1000)/($BX2+1000)-1)*1000)</f>
        <v>33.860784649388577</v>
      </c>
      <c r="CB2" s="2">
        <f>IF(ISBLANK($BO2),"",((BT2+1000)/($BX2+1000)-1)*1000)</f>
        <v>-2.7401531190851536E-2</v>
      </c>
    </row>
    <row r="3" spans="1:80" x14ac:dyDescent="0.2">
      <c r="A3" s="13">
        <v>44252.756828703707</v>
      </c>
      <c r="B3">
        <v>27935</v>
      </c>
      <c r="C3">
        <v>2</v>
      </c>
      <c r="D3" t="s">
        <v>100</v>
      </c>
      <c r="G3">
        <v>5</v>
      </c>
      <c r="H3">
        <v>346.9</v>
      </c>
      <c r="I3">
        <v>78</v>
      </c>
      <c r="J3">
        <v>1.9</v>
      </c>
      <c r="K3">
        <v>2.5</v>
      </c>
      <c r="L3">
        <v>3.1</v>
      </c>
      <c r="M3">
        <v>3684</v>
      </c>
      <c r="N3">
        <v>4330</v>
      </c>
      <c r="O3">
        <v>5327</v>
      </c>
      <c r="P3">
        <v>100.867</v>
      </c>
      <c r="Q3">
        <v>99.271000000000001</v>
      </c>
      <c r="R3">
        <v>1.1659999999999999</v>
      </c>
      <c r="S3">
        <v>0.43099999999999999</v>
      </c>
      <c r="U3">
        <v>1.07382</v>
      </c>
      <c r="V3">
        <v>-29.108000000000001</v>
      </c>
      <c r="W3" s="1"/>
      <c r="X3" s="5">
        <f t="shared" ref="X3:X66" si="0">IF(ISNUMBER(V3),V3-B3*$AB$3,"")</f>
        <v>-48.785472969494521</v>
      </c>
      <c r="Y3" s="11">
        <f t="shared" ref="Y3:Y66" si="1">IF(ISNUMBER(S3),(S3+1000)/((S3*$AU$1+$AV$1)/1000+1)-1000,"")</f>
        <v>0.72920732428588053</v>
      </c>
      <c r="Z3" s="11">
        <f t="shared" ref="Z3:Z66" si="2">IF(ISNUMBER(X3),(X3+1000)/((X3*$AU$2+$AV$2)/1000+1)-1000,"")</f>
        <v>-29.342959781863669</v>
      </c>
      <c r="AB3">
        <f>SLOPE(AF2:AF18,AD2:AD18)</f>
        <v>7.0440211095380433E-4</v>
      </c>
      <c r="AC3" s="1"/>
      <c r="AD3">
        <v>27949</v>
      </c>
      <c r="AE3" t="s">
        <v>12</v>
      </c>
      <c r="AF3">
        <v>-31.847999999999999</v>
      </c>
      <c r="AL3" t="s">
        <v>13</v>
      </c>
      <c r="AM3" t="str">
        <f>AM2</f>
        <v>&gt;20514</v>
      </c>
      <c r="AN3">
        <v>27940</v>
      </c>
      <c r="AO3" t="s">
        <v>13</v>
      </c>
      <c r="AP3">
        <v>-11.545999999999999</v>
      </c>
      <c r="AQ3" s="5">
        <v>-31.226994980049291</v>
      </c>
      <c r="AR3" s="5">
        <f>IF(ISBLANK(AO3),"",VLOOKUP(AO3,refs[#All],5,FALSE))</f>
        <v>-11.38</v>
      </c>
      <c r="AS3" s="2">
        <f t="shared" ref="AS3:AS15" si="3">IF(ISBLANK(AP3),"",((AP3+1000)/(AR3+1000)-1)*1000)</f>
        <v>-0.16791082519074241</v>
      </c>
      <c r="AT3" s="2">
        <f t="shared" ref="AT3:AT15" si="4">IF(ISBLANK(AQ3),"",((AQ3+1000)/(AR3+1000)-1)*1000)</f>
        <v>-20.07545364250096</v>
      </c>
      <c r="BA3">
        <v>27970</v>
      </c>
      <c r="BB3" t="s">
        <v>14</v>
      </c>
      <c r="BC3" s="11">
        <v>0.67415457828656145</v>
      </c>
      <c r="BD3" s="11">
        <v>-29.287609192210198</v>
      </c>
      <c r="BK3" t="s">
        <v>14</v>
      </c>
      <c r="BL3" t="str">
        <f>"&gt;=0"</f>
        <v>&gt;=0</v>
      </c>
      <c r="BM3" t="s">
        <v>21</v>
      </c>
      <c r="BN3">
        <v>27939</v>
      </c>
      <c r="BO3" t="s">
        <v>11</v>
      </c>
      <c r="BP3">
        <v>90.105000000000004</v>
      </c>
      <c r="BQ3">
        <v>-41.037999999999997</v>
      </c>
      <c r="BR3" s="5">
        <v>-60.718290577938333</v>
      </c>
      <c r="BS3" s="11">
        <v>0.68536901729464716</v>
      </c>
      <c r="BT3" s="11">
        <v>-41.496666036958459</v>
      </c>
      <c r="BU3">
        <v>27939</v>
      </c>
      <c r="BV3">
        <v>217046</v>
      </c>
      <c r="BW3" t="b">
        <f t="shared" ref="BW3:BW25" si="5">BN3=BU3</f>
        <v>1</v>
      </c>
      <c r="BX3" s="2">
        <f>IF(ISBLANK(BO3),"",VLOOKUP(BO3,refs[#All],5,FALSE))</f>
        <v>-41.61</v>
      </c>
      <c r="BY3" s="2">
        <f t="shared" ref="BY3:BY8" si="6">IF(ISBLANK($BO3),"",((BQ3+1000)/($BX3+1000)-1)*1000)</f>
        <v>0.59683427414736201</v>
      </c>
      <c r="BZ3" s="2">
        <f t="shared" ref="BZ3:BZ8" si="7">IF(ISBLANK($BO3),"",((BR3+1000)/($BX3+1000)-1)*1000)</f>
        <v>-19.937906883354728</v>
      </c>
      <c r="CA3" s="2">
        <f t="shared" ref="CA3:CA8" si="8">IF(ISBLANK($BO3),"",((BS3+1000)/($BX3+1000)-1)*1000)</f>
        <v>44.131688579069682</v>
      </c>
      <c r="CB3" s="2">
        <f t="shared" ref="CB3:CB8" si="9">IF(ISBLANK($BO3),"",((BT3+1000)/($BX3+1000)-1)*1000)</f>
        <v>0.11825453420999388</v>
      </c>
    </row>
    <row r="4" spans="1:80" x14ac:dyDescent="0.2">
      <c r="A4" s="13">
        <v>44252.764166666668</v>
      </c>
      <c r="B4">
        <v>27936</v>
      </c>
      <c r="C4">
        <v>3</v>
      </c>
      <c r="D4" t="s">
        <v>100</v>
      </c>
      <c r="G4">
        <v>5</v>
      </c>
      <c r="H4">
        <v>347.4</v>
      </c>
      <c r="I4">
        <v>78</v>
      </c>
      <c r="J4">
        <v>2</v>
      </c>
      <c r="K4">
        <v>2.6</v>
      </c>
      <c r="L4">
        <v>3.2</v>
      </c>
      <c r="M4">
        <v>3503</v>
      </c>
      <c r="N4">
        <v>4117</v>
      </c>
      <c r="O4">
        <v>5071</v>
      </c>
      <c r="P4">
        <v>95.652000000000001</v>
      </c>
      <c r="Q4">
        <v>94.138000000000005</v>
      </c>
      <c r="R4">
        <v>1.1060000000000001</v>
      </c>
      <c r="S4">
        <v>0.40899999999999997</v>
      </c>
      <c r="U4">
        <v>1.07392</v>
      </c>
      <c r="V4">
        <v>-29.016999999999999</v>
      </c>
      <c r="W4" s="1"/>
      <c r="X4" s="5">
        <f t="shared" si="0"/>
        <v>-48.695177371605482</v>
      </c>
      <c r="Y4" s="11">
        <f t="shared" si="1"/>
        <v>0.70677841399856334</v>
      </c>
      <c r="Z4" s="11">
        <f t="shared" si="2"/>
        <v>-29.250994945088109</v>
      </c>
      <c r="AC4" s="1"/>
      <c r="AD4">
        <v>27960</v>
      </c>
      <c r="AE4" t="s">
        <v>12</v>
      </c>
      <c r="AF4">
        <v>-31.835999999999999</v>
      </c>
      <c r="AN4">
        <v>27968</v>
      </c>
      <c r="AO4" t="s">
        <v>11</v>
      </c>
      <c r="AP4">
        <v>-41.155000000000001</v>
      </c>
      <c r="AQ4" s="5">
        <v>-60.855718239156005</v>
      </c>
      <c r="AR4" s="5">
        <f>IF(ISBLANK(AO4),"",VLOOKUP(AO4,refs[#All],5,FALSE))</f>
        <v>-41.61</v>
      </c>
      <c r="AS4" s="2">
        <f t="shared" si="3"/>
        <v>0.47475453625356323</v>
      </c>
      <c r="AT4" s="2">
        <f t="shared" si="4"/>
        <v>-20.081301181310241</v>
      </c>
      <c r="BA4">
        <v>27987</v>
      </c>
      <c r="BB4" t="s">
        <v>14</v>
      </c>
      <c r="BC4" s="11">
        <v>0.73634379971110775</v>
      </c>
      <c r="BD4" s="11">
        <v>-29.26008443311332</v>
      </c>
      <c r="BK4" t="s">
        <v>13</v>
      </c>
      <c r="BL4" t="str">
        <f>"&gt;=0"</f>
        <v>&gt;=0</v>
      </c>
      <c r="BM4" t="s">
        <v>21</v>
      </c>
      <c r="BN4">
        <v>27940</v>
      </c>
      <c r="BO4" t="s">
        <v>13</v>
      </c>
      <c r="BP4">
        <v>128.161</v>
      </c>
      <c r="BQ4">
        <v>-11.545999999999999</v>
      </c>
      <c r="BR4" s="5">
        <v>-31.226994980049291</v>
      </c>
      <c r="BS4" s="11">
        <v>0.85154716821728016</v>
      </c>
      <c r="BT4" s="11">
        <v>-11.4605176087058</v>
      </c>
      <c r="BU4">
        <v>27940</v>
      </c>
      <c r="BV4">
        <v>365088</v>
      </c>
      <c r="BW4" t="b">
        <f t="shared" si="5"/>
        <v>1</v>
      </c>
      <c r="BX4" s="2">
        <f>IF(ISBLANK(BO4),"",VLOOKUP(BO4,refs[#All],5,FALSE))</f>
        <v>-11.38</v>
      </c>
      <c r="BY4" s="2">
        <f t="shared" si="6"/>
        <v>-0.16791082519074241</v>
      </c>
      <c r="BZ4" s="2">
        <f t="shared" si="7"/>
        <v>-20.07545364250096</v>
      </c>
      <c r="CA4" s="2">
        <f t="shared" si="8"/>
        <v>12.372344448035921</v>
      </c>
      <c r="CB4" s="2">
        <f t="shared" si="9"/>
        <v>-8.1444446507039636E-2</v>
      </c>
    </row>
    <row r="5" spans="1:80" x14ac:dyDescent="0.2">
      <c r="A5" s="13">
        <v>44252.778831018521</v>
      </c>
      <c r="B5">
        <v>27938</v>
      </c>
      <c r="C5">
        <v>5</v>
      </c>
      <c r="D5" t="s">
        <v>12</v>
      </c>
      <c r="G5">
        <v>5</v>
      </c>
      <c r="H5">
        <v>325.8</v>
      </c>
      <c r="I5">
        <v>89</v>
      </c>
      <c r="J5">
        <v>1.1000000000000001</v>
      </c>
      <c r="K5">
        <v>1.5</v>
      </c>
      <c r="L5">
        <v>2</v>
      </c>
      <c r="M5">
        <v>4066</v>
      </c>
      <c r="N5">
        <v>4772</v>
      </c>
      <c r="O5">
        <v>5854</v>
      </c>
      <c r="P5">
        <v>76.55</v>
      </c>
      <c r="Q5">
        <v>75.340999999999994</v>
      </c>
      <c r="R5">
        <v>0.88200000000000001</v>
      </c>
      <c r="S5">
        <v>0.32600000000000001</v>
      </c>
      <c r="U5">
        <v>1.0707789999999999</v>
      </c>
      <c r="V5">
        <v>-31.888000000000002</v>
      </c>
      <c r="W5" s="1"/>
      <c r="X5" s="5">
        <f t="shared" si="0"/>
        <v>-51.567586175827387</v>
      </c>
      <c r="Y5" s="11">
        <f t="shared" si="1"/>
        <v>0.62216042291072426</v>
      </c>
      <c r="Z5" s="11">
        <f t="shared" si="2"/>
        <v>-32.17652057196301</v>
      </c>
      <c r="AC5" s="1"/>
      <c r="AD5">
        <v>27966</v>
      </c>
      <c r="AE5" t="s">
        <v>12</v>
      </c>
      <c r="AF5">
        <v>-31.844999999999999</v>
      </c>
      <c r="AN5">
        <v>27969</v>
      </c>
      <c r="AO5" t="s">
        <v>13</v>
      </c>
      <c r="AP5">
        <v>-11.413</v>
      </c>
      <c r="AQ5" s="5">
        <v>-31.114422641266952</v>
      </c>
      <c r="AR5" s="5">
        <f>IF(ISBLANK(AO5),"",VLOOKUP(AO5,refs[#All],5,FALSE))</f>
        <v>-11.38</v>
      </c>
      <c r="AS5" s="2">
        <f t="shared" si="3"/>
        <v>-3.3379862839133523E-2</v>
      </c>
      <c r="AT5" s="2">
        <f t="shared" si="4"/>
        <v>-19.961585484075783</v>
      </c>
      <c r="BC5" s="11"/>
      <c r="BD5" s="11"/>
      <c r="BK5" t="s">
        <v>11</v>
      </c>
      <c r="BL5" t="str">
        <f>"&gt;=0"</f>
        <v>&gt;=0</v>
      </c>
      <c r="BM5" t="s">
        <v>21</v>
      </c>
      <c r="BN5">
        <v>27941</v>
      </c>
      <c r="BO5" t="s">
        <v>14</v>
      </c>
      <c r="BP5">
        <v>98.215999999999994</v>
      </c>
      <c r="BQ5">
        <v>-29.042999999999999</v>
      </c>
      <c r="BR5" s="5">
        <v>-48.724699382160246</v>
      </c>
      <c r="BS5" s="11">
        <v>0.71901236271730795</v>
      </c>
      <c r="BT5" s="11">
        <v>-29.281062707121009</v>
      </c>
      <c r="BU5">
        <v>27941</v>
      </c>
      <c r="BV5">
        <v>563852</v>
      </c>
      <c r="BW5" t="b">
        <f t="shared" si="5"/>
        <v>1</v>
      </c>
      <c r="BX5" s="2">
        <f>IF(ISBLANK(BO5),"",VLOOKUP(BO5,refs[#All],5,FALSE))</f>
        <v>-29.21</v>
      </c>
      <c r="BY5" s="2">
        <f t="shared" si="6"/>
        <v>0.17202484574418975</v>
      </c>
      <c r="BZ5" s="2">
        <f t="shared" si="7"/>
        <v>-20.101875155450919</v>
      </c>
      <c r="CA5" s="2">
        <f t="shared" si="8"/>
        <v>30.829543323187547</v>
      </c>
      <c r="CB5" s="2">
        <f t="shared" si="9"/>
        <v>-7.3200905572723407E-2</v>
      </c>
    </row>
    <row r="6" spans="1:80" x14ac:dyDescent="0.2">
      <c r="A6" s="13">
        <v>44252.786157407405</v>
      </c>
      <c r="B6">
        <v>27939</v>
      </c>
      <c r="C6">
        <v>6</v>
      </c>
      <c r="D6" t="s">
        <v>11</v>
      </c>
      <c r="G6">
        <v>5</v>
      </c>
      <c r="H6">
        <v>347.1</v>
      </c>
      <c r="I6">
        <v>50</v>
      </c>
      <c r="J6">
        <v>2.2999999999999998</v>
      </c>
      <c r="K6">
        <v>2.9</v>
      </c>
      <c r="L6">
        <v>3.7</v>
      </c>
      <c r="M6">
        <v>3508</v>
      </c>
      <c r="N6">
        <v>4074</v>
      </c>
      <c r="O6">
        <v>5111</v>
      </c>
      <c r="P6">
        <v>90.105000000000004</v>
      </c>
      <c r="Q6">
        <v>88.686999999999998</v>
      </c>
      <c r="R6">
        <v>1.03</v>
      </c>
      <c r="S6">
        <v>0.38800000000000001</v>
      </c>
      <c r="U6">
        <v>1.0607660000000001</v>
      </c>
      <c r="V6">
        <v>-41.037999999999997</v>
      </c>
      <c r="W6" s="1"/>
      <c r="X6" s="5">
        <f t="shared" si="0"/>
        <v>-60.718290577938333</v>
      </c>
      <c r="Y6" s="11">
        <f t="shared" si="1"/>
        <v>0.68536901729464716</v>
      </c>
      <c r="Z6" s="11">
        <f t="shared" si="2"/>
        <v>-41.496666036958459</v>
      </c>
      <c r="AC6" s="1"/>
      <c r="AD6">
        <v>27976</v>
      </c>
      <c r="AE6" t="s">
        <v>12</v>
      </c>
      <c r="AF6">
        <v>-31.81</v>
      </c>
      <c r="AN6">
        <v>27985</v>
      </c>
      <c r="AO6" t="s">
        <v>11</v>
      </c>
      <c r="AP6">
        <v>-41.201000000000001</v>
      </c>
      <c r="AQ6" s="5">
        <v>-60.913693075042218</v>
      </c>
      <c r="AR6" s="5">
        <f>IF(ISBLANK(AO6),"",VLOOKUP(AO6,refs[#All],5,FALSE))</f>
        <v>-41.61</v>
      </c>
      <c r="AS6" s="2">
        <f t="shared" si="3"/>
        <v>0.4267573743466091</v>
      </c>
      <c r="AT6" s="2">
        <f t="shared" si="4"/>
        <v>-20.14179308532249</v>
      </c>
      <c r="BC6" s="11"/>
      <c r="BD6" s="11"/>
      <c r="BN6">
        <v>27949</v>
      </c>
      <c r="BO6" t="s">
        <v>12</v>
      </c>
      <c r="BP6">
        <v>76.137</v>
      </c>
      <c r="BQ6">
        <v>-31.847999999999999</v>
      </c>
      <c r="BR6" s="5">
        <v>-51.535334599047872</v>
      </c>
      <c r="BS6" s="11">
        <v>0.62012143849858603</v>
      </c>
      <c r="BT6" s="11">
        <v>-32.143672408620546</v>
      </c>
      <c r="BU6">
        <v>27949</v>
      </c>
      <c r="BV6">
        <v>1271531</v>
      </c>
      <c r="BW6" t="b">
        <f t="shared" si="5"/>
        <v>1</v>
      </c>
      <c r="BX6" s="2">
        <f>IF(ISBLANK(BO6),"",VLOOKUP(BO6,refs[#All],5,FALSE))</f>
        <v>-32.15</v>
      </c>
      <c r="BY6" s="2">
        <f t="shared" si="6"/>
        <v>0.31203182311312361</v>
      </c>
      <c r="BZ6" s="2">
        <f t="shared" si="7"/>
        <v>-20.029275816550008</v>
      </c>
      <c r="CA6" s="2">
        <f t="shared" si="8"/>
        <v>33.85867793407926</v>
      </c>
      <c r="CB6" s="2">
        <f t="shared" si="9"/>
        <v>6.53778103987257E-3</v>
      </c>
    </row>
    <row r="7" spans="1:80" x14ac:dyDescent="0.2">
      <c r="A7" s="13">
        <v>44252.793483796297</v>
      </c>
      <c r="B7">
        <v>27940</v>
      </c>
      <c r="C7">
        <v>7</v>
      </c>
      <c r="D7" t="s">
        <v>13</v>
      </c>
      <c r="G7">
        <v>4</v>
      </c>
      <c r="H7">
        <v>346.5</v>
      </c>
      <c r="I7">
        <v>57</v>
      </c>
      <c r="J7">
        <v>2.1</v>
      </c>
      <c r="K7">
        <v>2.7</v>
      </c>
      <c r="L7">
        <v>3.5</v>
      </c>
      <c r="M7">
        <v>4865</v>
      </c>
      <c r="N7">
        <v>5814</v>
      </c>
      <c r="O7">
        <v>7081</v>
      </c>
      <c r="P7">
        <v>128.161</v>
      </c>
      <c r="Q7">
        <v>126.104</v>
      </c>
      <c r="R7">
        <v>1.506</v>
      </c>
      <c r="S7">
        <v>0.55100000000000005</v>
      </c>
      <c r="U7">
        <v>1.093032</v>
      </c>
      <c r="V7">
        <v>-11.545999999999999</v>
      </c>
      <c r="W7" s="1"/>
      <c r="X7" s="5">
        <f t="shared" si="0"/>
        <v>-31.226994980049291</v>
      </c>
      <c r="Y7" s="11">
        <f t="shared" si="1"/>
        <v>0.85154716821728016</v>
      </c>
      <c r="Z7" s="11">
        <f t="shared" si="2"/>
        <v>-11.4605176087058</v>
      </c>
      <c r="AC7" s="1"/>
      <c r="AD7">
        <v>27988</v>
      </c>
      <c r="AE7" t="s">
        <v>12</v>
      </c>
      <c r="AF7">
        <v>-31.834</v>
      </c>
      <c r="AN7">
        <v>27986</v>
      </c>
      <c r="AO7" t="s">
        <v>13</v>
      </c>
      <c r="AP7">
        <v>-11.39</v>
      </c>
      <c r="AQ7" s="5">
        <v>-31.10339747715317</v>
      </c>
      <c r="AR7" s="5">
        <f>IF(ISBLANK(AO7),"",VLOOKUP(AO7,refs[#All],5,FALSE))</f>
        <v>-11.38</v>
      </c>
      <c r="AS7" s="2">
        <f t="shared" si="3"/>
        <v>-1.0115109951192025E-2</v>
      </c>
      <c r="AT7" s="2">
        <f t="shared" si="4"/>
        <v>-19.950433409351653</v>
      </c>
      <c r="BC7" s="11"/>
      <c r="BD7" s="11"/>
      <c r="BN7">
        <v>27960</v>
      </c>
      <c r="BO7" t="s">
        <v>12</v>
      </c>
      <c r="BP7">
        <v>77.070999999999998</v>
      </c>
      <c r="BQ7">
        <v>-31.835999999999999</v>
      </c>
      <c r="BR7" s="5">
        <v>-51.531083022268369</v>
      </c>
      <c r="BS7" s="11">
        <v>0.62419940747929559</v>
      </c>
      <c r="BT7" s="11">
        <v>-32.139342186900876</v>
      </c>
      <c r="BU7">
        <v>27960</v>
      </c>
      <c r="BV7">
        <v>1282417</v>
      </c>
      <c r="BW7" t="b">
        <f t="shared" si="5"/>
        <v>1</v>
      </c>
      <c r="BX7" s="2">
        <f>IF(ISBLANK(BO7),"",VLOOKUP(BO7,refs[#All],5,FALSE))</f>
        <v>-32.15</v>
      </c>
      <c r="BY7" s="2">
        <f t="shared" si="6"/>
        <v>0.32443043860097553</v>
      </c>
      <c r="BZ7" s="2">
        <f t="shared" si="7"/>
        <v>-20.024883011074412</v>
      </c>
      <c r="CA7" s="2">
        <f t="shared" si="8"/>
        <v>33.862891364859536</v>
      </c>
      <c r="CB7" s="2">
        <f t="shared" si="9"/>
        <v>1.1011843879860095E-2</v>
      </c>
    </row>
    <row r="8" spans="1:80" x14ac:dyDescent="0.2">
      <c r="A8" s="13">
        <v>44252.800821759258</v>
      </c>
      <c r="B8">
        <v>27941</v>
      </c>
      <c r="C8">
        <v>8</v>
      </c>
      <c r="D8" t="s">
        <v>14</v>
      </c>
      <c r="E8" t="s">
        <v>57</v>
      </c>
      <c r="G8">
        <v>5</v>
      </c>
      <c r="H8">
        <v>347.6</v>
      </c>
      <c r="I8">
        <v>78</v>
      </c>
      <c r="J8">
        <v>2.1</v>
      </c>
      <c r="K8">
        <v>2.6</v>
      </c>
      <c r="L8">
        <v>3.4</v>
      </c>
      <c r="M8">
        <v>3610</v>
      </c>
      <c r="N8">
        <v>4243</v>
      </c>
      <c r="O8">
        <v>5233</v>
      </c>
      <c r="P8">
        <v>98.215999999999994</v>
      </c>
      <c r="Q8">
        <v>96.66</v>
      </c>
      <c r="R8">
        <v>1.135</v>
      </c>
      <c r="S8">
        <v>0.42099999999999999</v>
      </c>
      <c r="U8">
        <v>1.0738920000000001</v>
      </c>
      <c r="V8">
        <v>-29.042999999999999</v>
      </c>
      <c r="W8" s="1"/>
      <c r="X8" s="5">
        <f t="shared" si="0"/>
        <v>-48.724699382160246</v>
      </c>
      <c r="Y8" s="11">
        <f t="shared" si="1"/>
        <v>0.71901236271730795</v>
      </c>
      <c r="Z8" s="11">
        <f t="shared" si="2"/>
        <v>-29.281062707121009</v>
      </c>
      <c r="AC8" s="1"/>
      <c r="AD8">
        <v>27989</v>
      </c>
      <c r="AE8" t="s">
        <v>12</v>
      </c>
      <c r="AF8">
        <v>-31.855</v>
      </c>
      <c r="AQ8" s="5"/>
      <c r="AR8" s="5" t="str">
        <f>IF(ISBLANK(AO8),"",VLOOKUP(AO8,refs[#All],5,FALSE))</f>
        <v/>
      </c>
      <c r="AS8" s="2" t="str">
        <f t="shared" si="3"/>
        <v/>
      </c>
      <c r="AT8" s="2" t="str">
        <f t="shared" si="4"/>
        <v/>
      </c>
      <c r="BC8" s="11"/>
      <c r="BD8" s="11"/>
      <c r="BN8">
        <v>27966</v>
      </c>
      <c r="BO8" t="s">
        <v>12</v>
      </c>
      <c r="BP8">
        <v>76.727000000000004</v>
      </c>
      <c r="BQ8">
        <v>-31.844999999999999</v>
      </c>
      <c r="BR8" s="5">
        <v>-51.544309434934092</v>
      </c>
      <c r="BS8" s="11">
        <v>0.62317991517545579</v>
      </c>
      <c r="BT8" s="11">
        <v>-32.152813259728873</v>
      </c>
      <c r="BU8">
        <v>27966</v>
      </c>
      <c r="BV8">
        <v>1272872</v>
      </c>
      <c r="BW8" t="b">
        <f t="shared" si="5"/>
        <v>1</v>
      </c>
      <c r="BX8" s="2">
        <f>IF(ISBLANK(BO8),"",VLOOKUP(BO8,refs[#All],5,FALSE))</f>
        <v>-32.15</v>
      </c>
      <c r="BY8" s="2">
        <f t="shared" si="6"/>
        <v>0.31513147698492006</v>
      </c>
      <c r="BZ8" s="2">
        <f t="shared" si="7"/>
        <v>-20.0385487781517</v>
      </c>
      <c r="CA8" s="2">
        <f t="shared" si="8"/>
        <v>33.861838007103849</v>
      </c>
      <c r="CB8" s="2">
        <f t="shared" si="9"/>
        <v>-2.9067104705404745E-3</v>
      </c>
    </row>
    <row r="9" spans="1:80" x14ac:dyDescent="0.2">
      <c r="A9" s="13">
        <v>44252.808148148149</v>
      </c>
      <c r="B9">
        <v>27942</v>
      </c>
      <c r="C9">
        <v>9</v>
      </c>
      <c r="D9" t="s">
        <v>102</v>
      </c>
      <c r="G9">
        <v>5</v>
      </c>
      <c r="H9">
        <v>327.7</v>
      </c>
      <c r="I9">
        <v>89</v>
      </c>
      <c r="J9">
        <v>1.4</v>
      </c>
      <c r="K9">
        <v>1.8</v>
      </c>
      <c r="L9">
        <v>2.4</v>
      </c>
      <c r="M9">
        <v>3363</v>
      </c>
      <c r="N9">
        <v>3951</v>
      </c>
      <c r="O9">
        <v>4853</v>
      </c>
      <c r="P9">
        <v>62.826999999999998</v>
      </c>
      <c r="Q9">
        <v>61.834000000000003</v>
      </c>
      <c r="R9">
        <v>0.72499999999999998</v>
      </c>
      <c r="S9">
        <v>0.26800000000000002</v>
      </c>
      <c r="U9">
        <v>1.0721830000000001</v>
      </c>
      <c r="V9">
        <v>-30.603999999999999</v>
      </c>
      <c r="W9" s="1"/>
      <c r="X9" s="5">
        <f t="shared" si="0"/>
        <v>-50.286403784271201</v>
      </c>
      <c r="Y9" s="11">
        <f t="shared" si="1"/>
        <v>0.56302993848316873</v>
      </c>
      <c r="Z9" s="11">
        <f t="shared" si="2"/>
        <v>-30.871642271064275</v>
      </c>
      <c r="AC9" s="1"/>
      <c r="AQ9" s="5"/>
      <c r="AR9" s="5" t="str">
        <f>IF(ISBLANK(AO9),"",VLOOKUP(AO9,refs[#All],5,FALSE))</f>
        <v/>
      </c>
      <c r="AS9" s="2" t="str">
        <f t="shared" si="3"/>
        <v/>
      </c>
      <c r="AT9" s="2" t="str">
        <f t="shared" si="4"/>
        <v/>
      </c>
      <c r="BC9" s="11"/>
      <c r="BD9" s="11"/>
      <c r="BN9">
        <v>27968</v>
      </c>
      <c r="BO9" t="s">
        <v>11</v>
      </c>
      <c r="BP9">
        <v>105.715</v>
      </c>
      <c r="BQ9">
        <v>-41.155000000000001</v>
      </c>
      <c r="BR9" s="5">
        <v>-60.855718239156005</v>
      </c>
      <c r="BS9" s="11">
        <v>0.75367524800958563</v>
      </c>
      <c r="BT9" s="11">
        <v>-41.636641024195342</v>
      </c>
      <c r="BU9">
        <v>27968</v>
      </c>
      <c r="BV9">
        <v>252183</v>
      </c>
      <c r="BW9" t="b">
        <f t="shared" si="5"/>
        <v>1</v>
      </c>
      <c r="BX9" s="2">
        <f>IF(ISBLANK(BO9),"",VLOOKUP(BO9,refs[#All],5,FALSE))</f>
        <v>-41.61</v>
      </c>
      <c r="BY9" s="2">
        <f t="shared" ref="BY9:BY25" si="10">IF(ISBLANK($BO9),"",((BQ9+1000)/($BX9+1000)-1)*1000)</f>
        <v>0.47475453625356323</v>
      </c>
      <c r="BZ9" s="2">
        <f t="shared" ref="BZ9:BZ25" si="11">IF(ISBLANK($BO9),"",((BR9+1000)/($BX9+1000)-1)*1000)</f>
        <v>-20.081301181310241</v>
      </c>
      <c r="CA9" s="2">
        <f t="shared" ref="CA9:CA25" si="12">IF(ISBLANK($BO9),"",((BS9+1000)/($BX9+1000)-1)*1000)</f>
        <v>44.202960431567021</v>
      </c>
      <c r="CB9" s="2">
        <f t="shared" ref="CB9:CB25" si="13">IF(ISBLANK($BO9),"",((BT9+1000)/($BX9+1000)-1)*1000)</f>
        <v>-2.7797685905883718E-2</v>
      </c>
    </row>
    <row r="10" spans="1:80" x14ac:dyDescent="0.2">
      <c r="A10" s="13">
        <v>44252.815486111111</v>
      </c>
      <c r="B10">
        <v>27943</v>
      </c>
      <c r="C10">
        <v>10</v>
      </c>
      <c r="D10" t="s">
        <v>103</v>
      </c>
      <c r="F10">
        <v>5.72</v>
      </c>
      <c r="G10">
        <v>5</v>
      </c>
      <c r="H10">
        <v>347.8</v>
      </c>
      <c r="I10">
        <v>78</v>
      </c>
      <c r="J10">
        <v>2.2000000000000002</v>
      </c>
      <c r="K10">
        <v>2.8</v>
      </c>
      <c r="L10">
        <v>3.6</v>
      </c>
      <c r="M10">
        <v>3498</v>
      </c>
      <c r="N10">
        <v>4131</v>
      </c>
      <c r="O10">
        <v>5073</v>
      </c>
      <c r="P10">
        <v>93.742999999999995</v>
      </c>
      <c r="Q10">
        <v>92.253</v>
      </c>
      <c r="R10">
        <v>1.089</v>
      </c>
      <c r="S10">
        <v>0.40200000000000002</v>
      </c>
      <c r="U10">
        <v>1.0795189999999999</v>
      </c>
      <c r="V10">
        <v>-23.899000000000001</v>
      </c>
      <c r="W10" s="1"/>
      <c r="X10" s="5">
        <f t="shared" si="0"/>
        <v>-43.582108186382158</v>
      </c>
      <c r="Y10" s="11">
        <f t="shared" si="1"/>
        <v>0.69964194651390699</v>
      </c>
      <c r="Z10" s="11">
        <f t="shared" si="2"/>
        <v>-24.043458133952413</v>
      </c>
      <c r="AC10" s="1"/>
      <c r="AQ10" s="5"/>
      <c r="AR10" s="5" t="str">
        <f>IF(ISBLANK(AO10),"",VLOOKUP(AO10,refs[#All],5,FALSE))</f>
        <v/>
      </c>
      <c r="AS10" s="2" t="str">
        <f t="shared" si="3"/>
        <v/>
      </c>
      <c r="AT10" s="2" t="str">
        <f t="shared" si="4"/>
        <v/>
      </c>
      <c r="BC10" s="11"/>
      <c r="BD10" s="11"/>
      <c r="BN10">
        <v>27969</v>
      </c>
      <c r="BO10" t="s">
        <v>13</v>
      </c>
      <c r="BP10">
        <v>114.676</v>
      </c>
      <c r="BQ10">
        <v>-11.413</v>
      </c>
      <c r="BR10" s="5">
        <v>-31.114422641266952</v>
      </c>
      <c r="BS10" s="11">
        <v>0.79037717584139955</v>
      </c>
      <c r="BT10" s="11">
        <v>-11.345872320878129</v>
      </c>
      <c r="BU10">
        <v>27969</v>
      </c>
      <c r="BV10">
        <v>709411</v>
      </c>
      <c r="BW10" t="b">
        <f t="shared" si="5"/>
        <v>1</v>
      </c>
      <c r="BX10" s="2">
        <f>IF(ISBLANK(BO10),"",VLOOKUP(BO10,refs[#All],5,FALSE))</f>
        <v>-11.38</v>
      </c>
      <c r="BY10" s="2">
        <f t="shared" si="10"/>
        <v>-3.3379862839133523E-2</v>
      </c>
      <c r="BZ10" s="2">
        <f t="shared" si="11"/>
        <v>-19.961585484075783</v>
      </c>
      <c r="CA10" s="2">
        <f t="shared" si="12"/>
        <v>12.310470328176004</v>
      </c>
      <c r="CB10" s="2">
        <f t="shared" si="13"/>
        <v>3.4520522669945208E-2</v>
      </c>
    </row>
    <row r="11" spans="1:80" x14ac:dyDescent="0.2">
      <c r="A11" s="13">
        <v>44252.822812500002</v>
      </c>
      <c r="B11">
        <v>27944</v>
      </c>
      <c r="C11">
        <v>11</v>
      </c>
      <c r="D11" t="s">
        <v>104</v>
      </c>
      <c r="F11">
        <v>5.7050000000000001</v>
      </c>
      <c r="G11">
        <v>5</v>
      </c>
      <c r="H11">
        <v>324.60000000000002</v>
      </c>
      <c r="I11">
        <v>94</v>
      </c>
      <c r="J11">
        <v>1.2</v>
      </c>
      <c r="K11">
        <v>1.6</v>
      </c>
      <c r="L11">
        <v>2.2000000000000002</v>
      </c>
      <c r="M11">
        <v>2210</v>
      </c>
      <c r="N11">
        <v>2617</v>
      </c>
      <c r="O11">
        <v>3168</v>
      </c>
      <c r="P11">
        <v>44.652999999999999</v>
      </c>
      <c r="Q11">
        <v>43.945</v>
      </c>
      <c r="R11">
        <v>0.51800000000000002</v>
      </c>
      <c r="S11">
        <v>0.189</v>
      </c>
      <c r="U11">
        <v>1.0790820000000001</v>
      </c>
      <c r="V11">
        <v>-24.298999999999999</v>
      </c>
      <c r="W11" s="1"/>
      <c r="X11" s="5">
        <f t="shared" si="0"/>
        <v>-43.982812588493104</v>
      </c>
      <c r="Y11" s="11">
        <f t="shared" si="1"/>
        <v>0.4824903524055344</v>
      </c>
      <c r="Z11" s="11">
        <f t="shared" si="2"/>
        <v>-24.451561968088527</v>
      </c>
      <c r="AC11" s="1"/>
      <c r="AQ11" s="5"/>
      <c r="AR11" s="5" t="str">
        <f>IF(ISBLANK(AO11),"",VLOOKUP(AO11,refs[#All],5,FALSE))</f>
        <v/>
      </c>
      <c r="AS11" s="2" t="str">
        <f t="shared" si="3"/>
        <v/>
      </c>
      <c r="AT11" s="2" t="str">
        <f t="shared" si="4"/>
        <v/>
      </c>
      <c r="BC11" s="11"/>
      <c r="BD11" s="11"/>
      <c r="BN11">
        <v>27970</v>
      </c>
      <c r="BO11" t="s">
        <v>14</v>
      </c>
      <c r="BP11">
        <v>87.813999999999993</v>
      </c>
      <c r="BQ11">
        <v>-29.029</v>
      </c>
      <c r="BR11" s="5">
        <v>-48.73112704337791</v>
      </c>
      <c r="BS11" s="11">
        <v>0.67415457828656145</v>
      </c>
      <c r="BT11" s="11">
        <v>-29.287609192210198</v>
      </c>
      <c r="BU11">
        <v>27970</v>
      </c>
      <c r="BV11">
        <v>504014</v>
      </c>
      <c r="BW11" t="b">
        <f t="shared" si="5"/>
        <v>1</v>
      </c>
      <c r="BX11" s="2">
        <f>IF(ISBLANK(BO11),"",VLOOKUP(BO11,refs[#All],5,FALSE))</f>
        <v>-29.21</v>
      </c>
      <c r="BY11" s="2">
        <f t="shared" si="10"/>
        <v>0.1864460902976095</v>
      </c>
      <c r="BZ11" s="2">
        <f t="shared" si="11"/>
        <v>-20.108496217902783</v>
      </c>
      <c r="CA11" s="2">
        <f t="shared" si="12"/>
        <v>30.783335817516246</v>
      </c>
      <c r="CB11" s="2">
        <f t="shared" si="13"/>
        <v>-7.9944367175399655E-2</v>
      </c>
    </row>
    <row r="12" spans="1:80" x14ac:dyDescent="0.2">
      <c r="A12" s="13">
        <v>44252.830138888887</v>
      </c>
      <c r="B12">
        <v>27945</v>
      </c>
      <c r="C12">
        <v>12</v>
      </c>
      <c r="D12" t="s">
        <v>105</v>
      </c>
      <c r="F12">
        <v>5.7519999999999998</v>
      </c>
      <c r="G12">
        <v>5</v>
      </c>
      <c r="H12">
        <v>325.60000000000002</v>
      </c>
      <c r="I12">
        <v>94</v>
      </c>
      <c r="J12">
        <v>1.3</v>
      </c>
      <c r="K12">
        <v>1.7</v>
      </c>
      <c r="L12">
        <v>2.4</v>
      </c>
      <c r="M12">
        <v>1911</v>
      </c>
      <c r="N12">
        <v>2262</v>
      </c>
      <c r="O12">
        <v>2741</v>
      </c>
      <c r="P12">
        <v>37.786000000000001</v>
      </c>
      <c r="Q12">
        <v>37.186999999999998</v>
      </c>
      <c r="R12">
        <v>0.439</v>
      </c>
      <c r="S12">
        <v>0.16</v>
      </c>
      <c r="U12">
        <v>1.079229</v>
      </c>
      <c r="V12">
        <v>-24.164999999999999</v>
      </c>
      <c r="W12" s="1"/>
      <c r="X12" s="5">
        <f t="shared" si="0"/>
        <v>-43.849516990604059</v>
      </c>
      <c r="Y12" s="11">
        <f t="shared" si="1"/>
        <v>0.45292524915203103</v>
      </c>
      <c r="Z12" s="11">
        <f t="shared" si="2"/>
        <v>-24.315804852481506</v>
      </c>
      <c r="AC12" s="1"/>
      <c r="AQ12" s="5"/>
      <c r="AR12" s="5" t="str">
        <f>IF(ISBLANK(AO12),"",VLOOKUP(AO12,refs[#All],5,FALSE))</f>
        <v/>
      </c>
      <c r="AS12" s="2" t="str">
        <f t="shared" si="3"/>
        <v/>
      </c>
      <c r="AT12" s="2" t="str">
        <f t="shared" si="4"/>
        <v/>
      </c>
      <c r="BC12" s="11"/>
      <c r="BD12" s="11"/>
      <c r="BN12">
        <v>27976</v>
      </c>
      <c r="BO12" t="s">
        <v>12</v>
      </c>
      <c r="BP12">
        <v>73.924000000000007</v>
      </c>
      <c r="BQ12">
        <v>-31.81</v>
      </c>
      <c r="BR12" s="5">
        <v>-51.516353456043632</v>
      </c>
      <c r="BS12" s="11">
        <v>0.61094601058016451</v>
      </c>
      <c r="BT12" s="11">
        <v>-32.124340156252742</v>
      </c>
      <c r="BU12">
        <v>27976</v>
      </c>
      <c r="BV12">
        <v>1235095</v>
      </c>
      <c r="BW12" t="b">
        <f t="shared" si="5"/>
        <v>1</v>
      </c>
      <c r="BX12" s="2">
        <f>IF(ISBLANK(BO12),"",VLOOKUP(BO12,refs[#All],5,FALSE))</f>
        <v>-32.15</v>
      </c>
      <c r="BY12" s="2">
        <f t="shared" si="10"/>
        <v>0.35129410549150641</v>
      </c>
      <c r="BZ12" s="2">
        <f t="shared" si="11"/>
        <v>-20.009664158747388</v>
      </c>
      <c r="CA12" s="2">
        <f t="shared" si="12"/>
        <v>33.849197717187749</v>
      </c>
      <c r="CB12" s="2">
        <f t="shared" si="13"/>
        <v>2.6512211341866987E-2</v>
      </c>
    </row>
    <row r="13" spans="1:80" x14ac:dyDescent="0.2">
      <c r="A13" s="13">
        <v>44252.837465277778</v>
      </c>
      <c r="B13">
        <v>27946</v>
      </c>
      <c r="C13">
        <v>13</v>
      </c>
      <c r="D13" t="s">
        <v>106</v>
      </c>
      <c r="F13">
        <v>5.9560000000000004</v>
      </c>
      <c r="G13">
        <v>5</v>
      </c>
      <c r="H13">
        <v>326.7</v>
      </c>
      <c r="I13">
        <v>89</v>
      </c>
      <c r="J13">
        <v>1.4</v>
      </c>
      <c r="K13">
        <v>1.9</v>
      </c>
      <c r="L13">
        <v>2.6</v>
      </c>
      <c r="M13">
        <v>4250</v>
      </c>
      <c r="N13">
        <v>5024</v>
      </c>
      <c r="O13">
        <v>6122</v>
      </c>
      <c r="P13">
        <v>79.707999999999998</v>
      </c>
      <c r="Q13">
        <v>78.442999999999998</v>
      </c>
      <c r="R13">
        <v>0.92500000000000004</v>
      </c>
      <c r="S13">
        <v>0.34</v>
      </c>
      <c r="U13">
        <v>1.0789629999999999</v>
      </c>
      <c r="V13">
        <v>-24.408000000000001</v>
      </c>
      <c r="W13" s="1"/>
      <c r="X13" s="5">
        <f t="shared" si="0"/>
        <v>-44.093221392715016</v>
      </c>
      <c r="Y13" s="11">
        <f t="shared" si="1"/>
        <v>0.63643331817684157</v>
      </c>
      <c r="Z13" s="11">
        <f t="shared" si="2"/>
        <v>-24.564009703693728</v>
      </c>
      <c r="AC13" s="1"/>
      <c r="AN13" s="1"/>
      <c r="AO13" s="1"/>
      <c r="AP13" s="12"/>
      <c r="AQ13" s="12"/>
      <c r="AR13" s="5" t="str">
        <f>IF(ISBLANK(AO13),"",VLOOKUP(AO13,refs[#All],5,FALSE))</f>
        <v/>
      </c>
      <c r="AS13" s="2" t="str">
        <f t="shared" si="3"/>
        <v/>
      </c>
      <c r="AT13" s="2" t="str">
        <f t="shared" si="4"/>
        <v/>
      </c>
      <c r="BC13" s="11"/>
      <c r="BD13" s="11"/>
      <c r="BN13">
        <v>27985</v>
      </c>
      <c r="BO13" t="s">
        <v>11</v>
      </c>
      <c r="BP13">
        <v>114.1</v>
      </c>
      <c r="BQ13">
        <v>-41.201000000000001</v>
      </c>
      <c r="BR13" s="5">
        <v>-60.913693075042218</v>
      </c>
      <c r="BS13" s="11">
        <v>0.79139667456036022</v>
      </c>
      <c r="BT13" s="11">
        <v>-41.695690490889774</v>
      </c>
      <c r="BU13">
        <v>27985</v>
      </c>
      <c r="BV13">
        <v>271994</v>
      </c>
      <c r="BW13" t="b">
        <f t="shared" si="5"/>
        <v>1</v>
      </c>
      <c r="BX13" s="2">
        <f>IF(ISBLANK(BO13),"",VLOOKUP(BO13,refs[#All],5,FALSE))</f>
        <v>-41.61</v>
      </c>
      <c r="BY13" s="2">
        <f t="shared" si="10"/>
        <v>0.4267573743466091</v>
      </c>
      <c r="BZ13" s="2">
        <f t="shared" si="11"/>
        <v>-20.14179308532249</v>
      </c>
      <c r="CA13" s="2">
        <f t="shared" si="12"/>
        <v>44.242319592817438</v>
      </c>
      <c r="CB13" s="2">
        <f t="shared" si="13"/>
        <v>-8.9410877502693609E-2</v>
      </c>
    </row>
    <row r="14" spans="1:80" x14ac:dyDescent="0.2">
      <c r="A14" s="13">
        <v>44252.84479166667</v>
      </c>
      <c r="B14">
        <v>27947</v>
      </c>
      <c r="C14">
        <v>14</v>
      </c>
      <c r="D14" t="s">
        <v>107</v>
      </c>
      <c r="F14">
        <v>5.8090000000000002</v>
      </c>
      <c r="G14">
        <v>5</v>
      </c>
      <c r="H14">
        <v>325.60000000000002</v>
      </c>
      <c r="I14">
        <v>89</v>
      </c>
      <c r="J14">
        <v>1.4</v>
      </c>
      <c r="K14">
        <v>1.8</v>
      </c>
      <c r="L14">
        <v>2.5</v>
      </c>
      <c r="M14">
        <v>4911</v>
      </c>
      <c r="N14">
        <v>5800</v>
      </c>
      <c r="O14">
        <v>7066</v>
      </c>
      <c r="P14">
        <v>93.272999999999996</v>
      </c>
      <c r="Q14">
        <v>91.795000000000002</v>
      </c>
      <c r="R14">
        <v>1.081</v>
      </c>
      <c r="S14">
        <v>0.39700000000000002</v>
      </c>
      <c r="U14">
        <v>1.0777950000000001</v>
      </c>
      <c r="V14">
        <v>-25.475999999999999</v>
      </c>
      <c r="W14" s="1"/>
      <c r="X14" s="5">
        <f t="shared" si="0"/>
        <v>-45.161925794825969</v>
      </c>
      <c r="Y14" s="11">
        <f t="shared" si="1"/>
        <v>0.69454447091266047</v>
      </c>
      <c r="Z14" s="11">
        <f t="shared" si="2"/>
        <v>-25.652452568471745</v>
      </c>
      <c r="AP14" s="5"/>
      <c r="AQ14" s="5"/>
      <c r="AR14" s="5" t="str">
        <f>IF(ISBLANK(AO14),"",VLOOKUP(AO14,refs[#All],5,FALSE))</f>
        <v/>
      </c>
      <c r="AS14" s="2" t="str">
        <f t="shared" si="3"/>
        <v/>
      </c>
      <c r="AT14" s="2" t="str">
        <f t="shared" si="4"/>
        <v/>
      </c>
      <c r="BA14" s="1"/>
      <c r="BB14" s="14"/>
      <c r="BC14" s="11"/>
      <c r="BD14" s="11"/>
      <c r="BN14">
        <v>27986</v>
      </c>
      <c r="BO14" t="s">
        <v>13</v>
      </c>
      <c r="BP14">
        <v>100.502</v>
      </c>
      <c r="BQ14">
        <v>-11.39</v>
      </c>
      <c r="BR14" s="5">
        <v>-31.10339747715317</v>
      </c>
      <c r="BS14" s="11">
        <v>0.72920732428588053</v>
      </c>
      <c r="BT14" s="11">
        <v>-11.334644138071326</v>
      </c>
      <c r="BU14">
        <v>27986</v>
      </c>
      <c r="BV14">
        <v>572653</v>
      </c>
      <c r="BW14" t="b">
        <f t="shared" si="5"/>
        <v>1</v>
      </c>
      <c r="BX14" s="2">
        <f>IF(ISBLANK(BO14),"",VLOOKUP(BO14,refs[#All],5,FALSE))</f>
        <v>-11.38</v>
      </c>
      <c r="BY14" s="2">
        <f t="shared" si="10"/>
        <v>-1.0115109951192025E-2</v>
      </c>
      <c r="BZ14" s="2">
        <f t="shared" si="11"/>
        <v>-19.950433409351653</v>
      </c>
      <c r="CA14" s="2">
        <f t="shared" si="12"/>
        <v>12.248596350757479</v>
      </c>
      <c r="CB14" s="2">
        <f t="shared" si="13"/>
        <v>4.5877953034123564E-2</v>
      </c>
    </row>
    <row r="15" spans="1:80" x14ac:dyDescent="0.2">
      <c r="A15" s="13">
        <v>44252.852118055554</v>
      </c>
      <c r="B15">
        <v>27948</v>
      </c>
      <c r="C15">
        <v>15</v>
      </c>
      <c r="D15" t="s">
        <v>108</v>
      </c>
      <c r="F15">
        <v>5.6559999999999997</v>
      </c>
      <c r="G15">
        <v>5</v>
      </c>
      <c r="H15">
        <v>347.6</v>
      </c>
      <c r="I15">
        <v>78</v>
      </c>
      <c r="J15">
        <v>2.2000000000000002</v>
      </c>
      <c r="K15">
        <v>2.8</v>
      </c>
      <c r="L15">
        <v>3.7</v>
      </c>
      <c r="M15">
        <v>3186</v>
      </c>
      <c r="N15">
        <v>3764</v>
      </c>
      <c r="O15">
        <v>4632</v>
      </c>
      <c r="P15">
        <v>84.805000000000007</v>
      </c>
      <c r="Q15">
        <v>83.456000000000003</v>
      </c>
      <c r="R15">
        <v>0.98499999999999999</v>
      </c>
      <c r="S15">
        <v>0.36499999999999999</v>
      </c>
      <c r="U15">
        <v>1.079566</v>
      </c>
      <c r="V15">
        <v>-23.856999999999999</v>
      </c>
      <c r="W15" s="1"/>
      <c r="X15" s="5">
        <f t="shared" si="0"/>
        <v>-43.543630196936924</v>
      </c>
      <c r="Y15" s="11">
        <f t="shared" si="1"/>
        <v>0.66192065022141833</v>
      </c>
      <c r="Z15" s="11">
        <f t="shared" si="2"/>
        <v>-24.004269642228564</v>
      </c>
      <c r="AD15" s="1"/>
      <c r="AE15" s="14"/>
      <c r="AF15" s="14"/>
      <c r="AP15" s="5"/>
      <c r="AQ15" s="5"/>
      <c r="AR15" s="5" t="str">
        <f>IF(ISBLANK(AO15),"",VLOOKUP(AO15,refs[#All],5,FALSE))</f>
        <v/>
      </c>
      <c r="AS15" s="2" t="str">
        <f t="shared" si="3"/>
        <v/>
      </c>
      <c r="AT15" s="2" t="str">
        <f t="shared" si="4"/>
        <v/>
      </c>
      <c r="BA15" s="1"/>
      <c r="BB15" s="14"/>
      <c r="BC15" s="11"/>
      <c r="BD15" s="11"/>
      <c r="BN15">
        <v>27987</v>
      </c>
      <c r="BO15" t="s">
        <v>14</v>
      </c>
      <c r="BP15">
        <v>102.105</v>
      </c>
      <c r="BQ15">
        <v>-28.99</v>
      </c>
      <c r="BR15" s="5">
        <v>-48.704101879264115</v>
      </c>
      <c r="BS15" s="11">
        <v>0.73634379971110775</v>
      </c>
      <c r="BT15" s="11">
        <v>-29.26008443311332</v>
      </c>
      <c r="BU15">
        <v>27987</v>
      </c>
      <c r="BV15">
        <v>581805</v>
      </c>
      <c r="BW15" t="b">
        <f t="shared" si="5"/>
        <v>1</v>
      </c>
      <c r="BX15" s="2">
        <f>IF(ISBLANK(BO15),"",VLOOKUP(BO15,refs[#All],5,FALSE))</f>
        <v>-29.21</v>
      </c>
      <c r="BY15" s="2">
        <f t="shared" si="10"/>
        <v>0.22661955726777094</v>
      </c>
      <c r="BZ15" s="2">
        <f t="shared" si="11"/>
        <v>-20.08065789641855</v>
      </c>
      <c r="CA15" s="2">
        <f t="shared" si="12"/>
        <v>30.847396243998347</v>
      </c>
      <c r="CB15" s="2">
        <f t="shared" si="13"/>
        <v>-5.1591418446128579E-2</v>
      </c>
    </row>
    <row r="16" spans="1:80" x14ac:dyDescent="0.2">
      <c r="A16" s="13">
        <v>44252.859444444446</v>
      </c>
      <c r="B16">
        <v>27949</v>
      </c>
      <c r="C16">
        <v>16</v>
      </c>
      <c r="D16" t="s">
        <v>12</v>
      </c>
      <c r="G16">
        <v>5</v>
      </c>
      <c r="H16">
        <v>325.2</v>
      </c>
      <c r="I16">
        <v>89</v>
      </c>
      <c r="J16">
        <v>1.3</v>
      </c>
      <c r="K16">
        <v>1.7</v>
      </c>
      <c r="L16">
        <v>2.4</v>
      </c>
      <c r="M16">
        <v>4081</v>
      </c>
      <c r="N16">
        <v>4789</v>
      </c>
      <c r="O16">
        <v>5878</v>
      </c>
      <c r="P16">
        <v>76.137</v>
      </c>
      <c r="Q16">
        <v>74.935000000000002</v>
      </c>
      <c r="R16">
        <v>0.878</v>
      </c>
      <c r="S16">
        <v>0.32400000000000001</v>
      </c>
      <c r="U16">
        <v>1.0708219999999999</v>
      </c>
      <c r="V16">
        <v>-31.847999999999999</v>
      </c>
      <c r="W16" s="1"/>
      <c r="X16" s="5">
        <f t="shared" si="0"/>
        <v>-51.535334599047872</v>
      </c>
      <c r="Y16" s="11">
        <f t="shared" si="1"/>
        <v>0.62012143849858603</v>
      </c>
      <c r="Z16" s="11">
        <f t="shared" si="2"/>
        <v>-32.143672408620546</v>
      </c>
      <c r="AD16" s="1"/>
      <c r="AE16" s="14"/>
      <c r="AF16" s="14"/>
      <c r="AP16" s="5"/>
      <c r="AQ16" s="5"/>
      <c r="AR16" s="5"/>
      <c r="AS16" s="5"/>
      <c r="AT16" s="5"/>
      <c r="BA16" s="1"/>
      <c r="BB16" s="14"/>
      <c r="BC16" s="11"/>
      <c r="BD16" s="11"/>
      <c r="BN16">
        <v>27988</v>
      </c>
      <c r="BO16" t="s">
        <v>12</v>
      </c>
      <c r="BP16">
        <v>70.921999999999997</v>
      </c>
      <c r="BQ16">
        <v>-31.834</v>
      </c>
      <c r="BR16" s="5">
        <v>-51.548806281375079</v>
      </c>
      <c r="BS16" s="11">
        <v>0.59769262029158199</v>
      </c>
      <c r="BT16" s="11">
        <v>-32.157393288312164</v>
      </c>
      <c r="BU16">
        <v>27988</v>
      </c>
      <c r="BV16">
        <v>1188445</v>
      </c>
      <c r="BW16" t="b">
        <f t="shared" si="5"/>
        <v>1</v>
      </c>
      <c r="BX16" s="2">
        <f>IF(ISBLANK(BO16),"",VLOOKUP(BO16,refs[#All],5,FALSE))</f>
        <v>-32.15</v>
      </c>
      <c r="BY16" s="2">
        <f t="shared" si="10"/>
        <v>0.32649687451580256</v>
      </c>
      <c r="BZ16" s="2">
        <f t="shared" si="11"/>
        <v>-20.043195000645888</v>
      </c>
      <c r="CA16" s="2">
        <f t="shared" si="12"/>
        <v>33.835504076346055</v>
      </c>
      <c r="CB16" s="2">
        <f t="shared" si="13"/>
        <v>-7.6388782478398198E-3</v>
      </c>
    </row>
    <row r="17" spans="1:80" x14ac:dyDescent="0.2">
      <c r="A17" s="13">
        <v>44252.866770833331</v>
      </c>
      <c r="B17">
        <v>27950</v>
      </c>
      <c r="C17">
        <v>17</v>
      </c>
      <c r="D17" t="s">
        <v>109</v>
      </c>
      <c r="F17">
        <v>5.6390000000000002</v>
      </c>
      <c r="G17">
        <v>5</v>
      </c>
      <c r="H17">
        <v>327.5</v>
      </c>
      <c r="I17">
        <v>89</v>
      </c>
      <c r="J17">
        <v>1.5</v>
      </c>
      <c r="K17">
        <v>1.9</v>
      </c>
      <c r="L17">
        <v>2.6</v>
      </c>
      <c r="M17">
        <v>3424</v>
      </c>
      <c r="N17">
        <v>4045</v>
      </c>
      <c r="O17">
        <v>4940</v>
      </c>
      <c r="P17">
        <v>63.164999999999999</v>
      </c>
      <c r="Q17">
        <v>62.162999999999997</v>
      </c>
      <c r="R17">
        <v>0.73299999999999998</v>
      </c>
      <c r="S17">
        <v>0.27</v>
      </c>
      <c r="U17">
        <v>1.078608</v>
      </c>
      <c r="V17">
        <v>-24.731999999999999</v>
      </c>
      <c r="W17" s="1"/>
      <c r="X17" s="5">
        <f t="shared" si="0"/>
        <v>-44.420039001158827</v>
      </c>
      <c r="Y17" s="11">
        <f t="shared" si="1"/>
        <v>0.5650689185141573</v>
      </c>
      <c r="Z17" s="11">
        <f t="shared" si="2"/>
        <v>-24.896862981250365</v>
      </c>
      <c r="AD17" s="1"/>
      <c r="AE17" s="14"/>
      <c r="AF17" s="14"/>
      <c r="AP17" s="5"/>
      <c r="AQ17" s="5"/>
      <c r="AR17" s="5"/>
      <c r="AS17" s="5"/>
      <c r="AT17" s="5"/>
      <c r="BA17" s="1"/>
      <c r="BB17" s="14"/>
      <c r="BC17" s="11"/>
      <c r="BD17" s="11"/>
      <c r="BN17">
        <v>27989</v>
      </c>
      <c r="BO17" t="s">
        <v>12</v>
      </c>
      <c r="BP17">
        <v>77.578999999999994</v>
      </c>
      <c r="BQ17">
        <v>-31.855</v>
      </c>
      <c r="BR17" s="5">
        <v>-51.570510683486035</v>
      </c>
      <c r="BS17" s="11">
        <v>0.62725788462569199</v>
      </c>
      <c r="BT17" s="11">
        <v>-32.179499177093589</v>
      </c>
      <c r="BU17">
        <v>27989</v>
      </c>
      <c r="BV17">
        <v>1289422</v>
      </c>
      <c r="BW17" t="b">
        <f t="shared" si="5"/>
        <v>1</v>
      </c>
      <c r="BX17" s="2">
        <f>IF(ISBLANK(BO17),"",VLOOKUP(BO17,refs[#All],5,FALSE))</f>
        <v>-32.15</v>
      </c>
      <c r="BY17" s="2">
        <f t="shared" si="10"/>
        <v>0.30479929741167311</v>
      </c>
      <c r="BZ17" s="2">
        <f t="shared" si="11"/>
        <v>-20.06562037866</v>
      </c>
      <c r="CA17" s="2">
        <f t="shared" si="12"/>
        <v>33.866051438369297</v>
      </c>
      <c r="CB17" s="2">
        <f t="shared" si="13"/>
        <v>-3.0479079499490247E-2</v>
      </c>
    </row>
    <row r="18" spans="1:80" x14ac:dyDescent="0.2">
      <c r="A18" s="13">
        <v>44252.874097222222</v>
      </c>
      <c r="B18">
        <v>27951</v>
      </c>
      <c r="C18">
        <v>18</v>
      </c>
      <c r="D18" t="s">
        <v>110</v>
      </c>
      <c r="F18">
        <v>5.7060000000000004</v>
      </c>
      <c r="G18">
        <v>5</v>
      </c>
      <c r="H18">
        <v>326</v>
      </c>
      <c r="I18">
        <v>89</v>
      </c>
      <c r="J18">
        <v>1.4</v>
      </c>
      <c r="K18">
        <v>1.8</v>
      </c>
      <c r="L18">
        <v>2.6</v>
      </c>
      <c r="M18">
        <v>4542</v>
      </c>
      <c r="N18">
        <v>5368</v>
      </c>
      <c r="O18">
        <v>6542</v>
      </c>
      <c r="P18">
        <v>85.459000000000003</v>
      </c>
      <c r="Q18">
        <v>84.102999999999994</v>
      </c>
      <c r="R18">
        <v>0.99199999999999999</v>
      </c>
      <c r="S18">
        <v>0.36399999999999999</v>
      </c>
      <c r="U18">
        <v>1.0785739999999999</v>
      </c>
      <c r="V18">
        <v>-24.763000000000002</v>
      </c>
      <c r="W18" s="1"/>
      <c r="X18" s="5">
        <f t="shared" si="0"/>
        <v>-44.451743403269788</v>
      </c>
      <c r="Y18" s="11">
        <f t="shared" si="1"/>
        <v>0.6609011564702314</v>
      </c>
      <c r="Z18" s="11">
        <f t="shared" si="2"/>
        <v>-24.929152923700826</v>
      </c>
      <c r="AD18" s="1"/>
      <c r="AE18" s="14"/>
      <c r="AF18" s="14"/>
      <c r="AP18" s="5"/>
      <c r="AQ18" s="5"/>
      <c r="AR18" s="5"/>
      <c r="AS18" s="5"/>
      <c r="AT18" s="5"/>
      <c r="BA18" s="1"/>
      <c r="BB18" s="14"/>
      <c r="BC18" s="11"/>
      <c r="BD18" s="11"/>
      <c r="BR18" s="5"/>
      <c r="BS18" s="11"/>
      <c r="BT18" s="11"/>
      <c r="BW18" t="b">
        <f t="shared" si="5"/>
        <v>1</v>
      </c>
      <c r="BX18" s="2" t="str">
        <f>IF(ISBLANK(BO18),"",VLOOKUP(BO18,refs[#All],5,FALSE))</f>
        <v/>
      </c>
      <c r="BY18" s="2" t="str">
        <f t="shared" si="10"/>
        <v/>
      </c>
      <c r="BZ18" s="2" t="str">
        <f t="shared" si="11"/>
        <v/>
      </c>
      <c r="CA18" s="2" t="str">
        <f t="shared" si="12"/>
        <v/>
      </c>
      <c r="CB18" s="2" t="str">
        <f t="shared" si="13"/>
        <v/>
      </c>
    </row>
    <row r="19" spans="1:80" x14ac:dyDescent="0.2">
      <c r="A19" s="13">
        <v>44252.881423611114</v>
      </c>
      <c r="B19">
        <v>27952</v>
      </c>
      <c r="C19">
        <v>19</v>
      </c>
      <c r="D19" t="s">
        <v>111</v>
      </c>
      <c r="F19">
        <v>5.59</v>
      </c>
      <c r="G19">
        <v>5</v>
      </c>
      <c r="H19">
        <v>327.10000000000002</v>
      </c>
      <c r="I19">
        <v>89</v>
      </c>
      <c r="J19">
        <v>1.4</v>
      </c>
      <c r="K19">
        <v>1.8</v>
      </c>
      <c r="L19">
        <v>2.6</v>
      </c>
      <c r="M19">
        <v>3537</v>
      </c>
      <c r="N19">
        <v>4178</v>
      </c>
      <c r="O19">
        <v>5106</v>
      </c>
      <c r="P19">
        <v>65.299000000000007</v>
      </c>
      <c r="Q19">
        <v>64.262</v>
      </c>
      <c r="R19">
        <v>0.75800000000000001</v>
      </c>
      <c r="S19">
        <v>0.27900000000000003</v>
      </c>
      <c r="U19">
        <v>1.0786290000000001</v>
      </c>
      <c r="V19">
        <v>-24.713000000000001</v>
      </c>
      <c r="W19" s="1"/>
      <c r="X19" s="5">
        <f t="shared" si="0"/>
        <v>-44.402447805380739</v>
      </c>
      <c r="Y19" s="11">
        <f t="shared" si="1"/>
        <v>0.57424433059065905</v>
      </c>
      <c r="Z19" s="11">
        <f t="shared" si="2"/>
        <v>-24.878946900039409</v>
      </c>
      <c r="AP19" s="5"/>
      <c r="AQ19" s="5"/>
      <c r="AR19" s="5"/>
      <c r="AS19" s="5"/>
      <c r="AT19" s="5"/>
      <c r="BC19" s="5"/>
      <c r="BD19" s="5"/>
      <c r="BR19" s="5"/>
      <c r="BS19" s="11"/>
      <c r="BT19" s="11"/>
      <c r="BW19" t="b">
        <f t="shared" si="5"/>
        <v>1</v>
      </c>
      <c r="BX19" s="2" t="str">
        <f>IF(ISBLANK(BO19),"",VLOOKUP(BO19,refs[#All],5,FALSE))</f>
        <v/>
      </c>
      <c r="BY19" s="2" t="str">
        <f t="shared" si="10"/>
        <v/>
      </c>
      <c r="BZ19" s="2" t="str">
        <f t="shared" si="11"/>
        <v/>
      </c>
      <c r="CA19" s="2" t="str">
        <f t="shared" si="12"/>
        <v/>
      </c>
      <c r="CB19" s="2" t="str">
        <f t="shared" si="13"/>
        <v/>
      </c>
    </row>
    <row r="20" spans="1:80" x14ac:dyDescent="0.2">
      <c r="A20" s="13">
        <v>44252.888749999998</v>
      </c>
      <c r="B20">
        <v>27953</v>
      </c>
      <c r="C20">
        <v>20</v>
      </c>
      <c r="D20" t="s">
        <v>112</v>
      </c>
      <c r="F20">
        <v>5.7210000000000001</v>
      </c>
      <c r="G20">
        <v>5</v>
      </c>
      <c r="H20">
        <v>324.8</v>
      </c>
      <c r="I20">
        <v>94</v>
      </c>
      <c r="J20">
        <v>1.3</v>
      </c>
      <c r="K20">
        <v>1.6</v>
      </c>
      <c r="L20">
        <v>2.4</v>
      </c>
      <c r="M20">
        <v>2100</v>
      </c>
      <c r="N20">
        <v>2484</v>
      </c>
      <c r="O20">
        <v>3010</v>
      </c>
      <c r="P20">
        <v>41.837000000000003</v>
      </c>
      <c r="Q20">
        <v>41.174999999999997</v>
      </c>
      <c r="R20">
        <v>0.48499999999999999</v>
      </c>
      <c r="S20">
        <v>0.17699999999999999</v>
      </c>
      <c r="U20">
        <v>1.077755</v>
      </c>
      <c r="V20">
        <v>-25.512</v>
      </c>
      <c r="W20" s="1"/>
      <c r="X20" s="5">
        <f t="shared" si="0"/>
        <v>-45.202152207491693</v>
      </c>
      <c r="Y20" s="11">
        <f t="shared" si="1"/>
        <v>0.4702565125868432</v>
      </c>
      <c r="Z20" s="11">
        <f t="shared" si="2"/>
        <v>-25.693422035287313</v>
      </c>
      <c r="AP20" s="5"/>
      <c r="AQ20" s="5"/>
      <c r="AR20" s="5"/>
      <c r="AS20" s="5"/>
      <c r="AT20" s="5"/>
      <c r="BC20" s="5"/>
      <c r="BD20" s="5"/>
      <c r="BR20" s="5"/>
      <c r="BS20" s="11"/>
      <c r="BT20" s="11"/>
      <c r="BW20" t="b">
        <f t="shared" si="5"/>
        <v>1</v>
      </c>
      <c r="BX20" s="2" t="str">
        <f>IF(ISBLANK(BO20),"",VLOOKUP(BO20,refs[#All],5,FALSE))</f>
        <v/>
      </c>
      <c r="BY20" s="2" t="str">
        <f t="shared" si="10"/>
        <v/>
      </c>
      <c r="BZ20" s="2" t="str">
        <f t="shared" si="11"/>
        <v/>
      </c>
      <c r="CA20" s="2" t="str">
        <f t="shared" si="12"/>
        <v/>
      </c>
      <c r="CB20" s="2" t="str">
        <f t="shared" si="13"/>
        <v/>
      </c>
    </row>
    <row r="21" spans="1:80" x14ac:dyDescent="0.2">
      <c r="A21" s="13">
        <v>44252.89607638889</v>
      </c>
      <c r="B21">
        <v>27954</v>
      </c>
      <c r="C21">
        <v>21</v>
      </c>
      <c r="D21" t="s">
        <v>113</v>
      </c>
      <c r="F21">
        <v>5.7469999999999999</v>
      </c>
      <c r="G21">
        <v>5</v>
      </c>
      <c r="H21">
        <v>325.39999999999998</v>
      </c>
      <c r="I21">
        <v>89</v>
      </c>
      <c r="J21">
        <v>1.4</v>
      </c>
      <c r="K21">
        <v>1.8</v>
      </c>
      <c r="L21">
        <v>2.6</v>
      </c>
      <c r="M21">
        <v>5316</v>
      </c>
      <c r="N21">
        <v>6278</v>
      </c>
      <c r="O21">
        <v>7641</v>
      </c>
      <c r="P21">
        <v>101.301</v>
      </c>
      <c r="Q21">
        <v>99.694999999999993</v>
      </c>
      <c r="R21">
        <v>1.1739999999999999</v>
      </c>
      <c r="S21">
        <v>0.43099999999999999</v>
      </c>
      <c r="U21">
        <v>1.077755</v>
      </c>
      <c r="V21">
        <v>-25.512</v>
      </c>
      <c r="W21" s="1"/>
      <c r="X21" s="5">
        <f t="shared" si="0"/>
        <v>-45.202856609602648</v>
      </c>
      <c r="Y21" s="11">
        <f t="shared" si="1"/>
        <v>0.72920732428588053</v>
      </c>
      <c r="Z21" s="11">
        <f t="shared" si="2"/>
        <v>-25.694139449030445</v>
      </c>
      <c r="AP21" s="5"/>
      <c r="AQ21" s="5"/>
      <c r="AR21" s="5"/>
      <c r="AS21" s="5"/>
      <c r="AT21" s="5"/>
      <c r="BC21" s="5"/>
      <c r="BD21" s="5"/>
      <c r="BR21" s="5"/>
      <c r="BS21" s="11"/>
      <c r="BT21" s="11"/>
      <c r="BU21" s="11"/>
      <c r="BW21" t="b">
        <f t="shared" si="5"/>
        <v>1</v>
      </c>
      <c r="BX21" s="2" t="str">
        <f>IF(ISBLANK(BO21),"",VLOOKUP(BO21,refs[#All],5,FALSE))</f>
        <v/>
      </c>
      <c r="BY21" s="2" t="str">
        <f t="shared" si="10"/>
        <v/>
      </c>
      <c r="BZ21" s="2" t="str">
        <f t="shared" si="11"/>
        <v/>
      </c>
      <c r="CA21" s="2" t="str">
        <f t="shared" si="12"/>
        <v/>
      </c>
      <c r="CB21" s="2" t="str">
        <f t="shared" si="13"/>
        <v/>
      </c>
    </row>
    <row r="22" spans="1:80" x14ac:dyDescent="0.2">
      <c r="A22" s="13">
        <v>44252.903414351851</v>
      </c>
      <c r="B22">
        <v>27955</v>
      </c>
      <c r="C22">
        <v>22</v>
      </c>
      <c r="D22" t="s">
        <v>114</v>
      </c>
      <c r="F22">
        <v>5.7249999999999996</v>
      </c>
      <c r="G22">
        <v>5</v>
      </c>
      <c r="H22">
        <v>348</v>
      </c>
      <c r="I22">
        <v>78</v>
      </c>
      <c r="J22">
        <v>2.4</v>
      </c>
      <c r="K22">
        <v>3</v>
      </c>
      <c r="L22">
        <v>4</v>
      </c>
      <c r="M22">
        <v>3257</v>
      </c>
      <c r="N22">
        <v>3849</v>
      </c>
      <c r="O22">
        <v>4732</v>
      </c>
      <c r="P22">
        <v>86.665000000000006</v>
      </c>
      <c r="Q22">
        <v>85.286000000000001</v>
      </c>
      <c r="R22">
        <v>1.006</v>
      </c>
      <c r="S22">
        <v>0.372</v>
      </c>
      <c r="U22">
        <v>1.0793010000000001</v>
      </c>
      <c r="V22">
        <v>-24.099</v>
      </c>
      <c r="W22" s="1"/>
      <c r="X22" s="5">
        <f t="shared" si="0"/>
        <v>-43.790561011713599</v>
      </c>
      <c r="Y22" s="11">
        <f t="shared" si="1"/>
        <v>0.66905710757487213</v>
      </c>
      <c r="Z22" s="11">
        <f t="shared" si="2"/>
        <v>-24.255760179794606</v>
      </c>
      <c r="AP22" s="5"/>
      <c r="AQ22" s="5"/>
      <c r="AR22" s="5"/>
      <c r="AS22" s="5"/>
      <c r="AT22" s="5"/>
      <c r="BC22" s="5"/>
      <c r="BD22" s="5"/>
      <c r="BR22" s="5"/>
      <c r="BS22" s="11"/>
      <c r="BT22" s="11"/>
      <c r="BU22" s="11"/>
      <c r="BW22" t="b">
        <f t="shared" si="5"/>
        <v>1</v>
      </c>
      <c r="BX22" s="2" t="str">
        <f>IF(ISBLANK(BO22),"",VLOOKUP(BO22,refs[#All],5,FALSE))</f>
        <v/>
      </c>
      <c r="BY22" s="2" t="str">
        <f t="shared" si="10"/>
        <v/>
      </c>
      <c r="BZ22" s="2" t="str">
        <f t="shared" si="11"/>
        <v/>
      </c>
      <c r="CA22" s="2" t="str">
        <f t="shared" si="12"/>
        <v/>
      </c>
      <c r="CB22" s="2" t="str">
        <f t="shared" si="13"/>
        <v/>
      </c>
    </row>
    <row r="23" spans="1:80" x14ac:dyDescent="0.2">
      <c r="A23" s="13">
        <v>44252.910752314812</v>
      </c>
      <c r="B23">
        <v>27956</v>
      </c>
      <c r="C23">
        <v>23</v>
      </c>
      <c r="D23" t="s">
        <v>115</v>
      </c>
      <c r="F23">
        <v>5.742</v>
      </c>
      <c r="G23">
        <v>5</v>
      </c>
      <c r="H23">
        <v>347.4</v>
      </c>
      <c r="I23">
        <v>79</v>
      </c>
      <c r="J23">
        <v>2.1</v>
      </c>
      <c r="K23">
        <v>2.7</v>
      </c>
      <c r="L23">
        <v>3.6</v>
      </c>
      <c r="M23">
        <v>4099</v>
      </c>
      <c r="N23">
        <v>4837</v>
      </c>
      <c r="O23">
        <v>5940</v>
      </c>
      <c r="P23">
        <v>110.443</v>
      </c>
      <c r="Q23">
        <v>108.68899999999999</v>
      </c>
      <c r="R23">
        <v>1.2809999999999999</v>
      </c>
      <c r="S23">
        <v>0.47299999999999998</v>
      </c>
      <c r="U23">
        <v>1.0780430000000001</v>
      </c>
      <c r="V23">
        <v>-25.248000000000001</v>
      </c>
      <c r="W23" s="1"/>
      <c r="X23" s="5">
        <f t="shared" si="0"/>
        <v>-44.940265413824555</v>
      </c>
      <c r="Y23" s="11">
        <f t="shared" si="1"/>
        <v>0.77202620558853141</v>
      </c>
      <c r="Z23" s="11">
        <f t="shared" si="2"/>
        <v>-25.42669784075531</v>
      </c>
      <c r="AP23" s="5"/>
      <c r="AQ23" s="5"/>
      <c r="AR23" s="5"/>
      <c r="AS23" s="5"/>
      <c r="AT23" s="5"/>
      <c r="BC23" s="5"/>
      <c r="BD23" s="5"/>
      <c r="BR23" s="5"/>
      <c r="BS23" s="11"/>
      <c r="BT23" s="11"/>
      <c r="BU23" s="11"/>
      <c r="BW23" t="b">
        <f t="shared" si="5"/>
        <v>1</v>
      </c>
      <c r="BX23" s="2" t="str">
        <f>IF(ISBLANK(BO23),"",VLOOKUP(BO23,refs[#All],5,FALSE))</f>
        <v/>
      </c>
      <c r="BY23" s="2" t="str">
        <f t="shared" si="10"/>
        <v/>
      </c>
      <c r="BZ23" s="2" t="str">
        <f t="shared" si="11"/>
        <v/>
      </c>
      <c r="CA23" s="2" t="str">
        <f t="shared" si="12"/>
        <v/>
      </c>
      <c r="CB23" s="2" t="str">
        <f t="shared" si="13"/>
        <v/>
      </c>
    </row>
    <row r="24" spans="1:80" x14ac:dyDescent="0.2">
      <c r="A24" s="13">
        <v>44252.918078703704</v>
      </c>
      <c r="B24">
        <v>27957</v>
      </c>
      <c r="C24">
        <v>24</v>
      </c>
      <c r="D24" t="s">
        <v>116</v>
      </c>
      <c r="F24">
        <v>5.7069999999999999</v>
      </c>
      <c r="G24">
        <v>5</v>
      </c>
      <c r="H24">
        <v>326.2</v>
      </c>
      <c r="I24">
        <v>94</v>
      </c>
      <c r="J24">
        <v>1.4</v>
      </c>
      <c r="K24">
        <v>1.8</v>
      </c>
      <c r="L24">
        <v>2.6</v>
      </c>
      <c r="M24">
        <v>1891</v>
      </c>
      <c r="N24">
        <v>2236</v>
      </c>
      <c r="O24">
        <v>2713</v>
      </c>
      <c r="P24">
        <v>37.073</v>
      </c>
      <c r="Q24">
        <v>36.485999999999997</v>
      </c>
      <c r="R24">
        <v>0.43</v>
      </c>
      <c r="S24">
        <v>0.157</v>
      </c>
      <c r="U24">
        <v>1.077944</v>
      </c>
      <c r="V24">
        <v>-25.338999999999999</v>
      </c>
      <c r="W24" s="1"/>
      <c r="X24" s="5">
        <f t="shared" si="0"/>
        <v>-45.031969815935511</v>
      </c>
      <c r="Y24" s="11">
        <f t="shared" si="1"/>
        <v>0.44986679207238467</v>
      </c>
      <c r="Z24" s="11">
        <f t="shared" si="2"/>
        <v>-25.520096114375065</v>
      </c>
      <c r="AP24" s="5"/>
      <c r="AQ24" s="5"/>
      <c r="AR24" s="5"/>
      <c r="AS24" s="5"/>
      <c r="AT24" s="5"/>
      <c r="BC24" s="5"/>
      <c r="BD24" s="5"/>
      <c r="BW24" t="b">
        <f t="shared" si="5"/>
        <v>1</v>
      </c>
      <c r="BX24" s="2" t="str">
        <f>IF(ISBLANK(BO24),"",VLOOKUP(BO24,refs[#All],5,FALSE))</f>
        <v/>
      </c>
      <c r="BY24" s="2" t="str">
        <f t="shared" si="10"/>
        <v/>
      </c>
      <c r="BZ24" s="2" t="str">
        <f t="shared" si="11"/>
        <v/>
      </c>
      <c r="CA24" s="2" t="str">
        <f t="shared" si="12"/>
        <v/>
      </c>
      <c r="CB24" s="2" t="str">
        <f t="shared" si="13"/>
        <v/>
      </c>
    </row>
    <row r="25" spans="1:80" x14ac:dyDescent="0.2">
      <c r="A25" s="13">
        <v>44252.925393518519</v>
      </c>
      <c r="B25">
        <v>27958</v>
      </c>
      <c r="C25">
        <v>25</v>
      </c>
      <c r="D25" t="s">
        <v>117</v>
      </c>
      <c r="F25">
        <v>5.9</v>
      </c>
      <c r="G25">
        <v>5</v>
      </c>
      <c r="H25">
        <v>347.1</v>
      </c>
      <c r="I25">
        <v>78</v>
      </c>
      <c r="J25">
        <v>2.2999999999999998</v>
      </c>
      <c r="K25">
        <v>2.9</v>
      </c>
      <c r="L25">
        <v>3.8</v>
      </c>
      <c r="M25">
        <v>4128</v>
      </c>
      <c r="N25">
        <v>4877</v>
      </c>
      <c r="O25">
        <v>5985</v>
      </c>
      <c r="P25">
        <v>110.649</v>
      </c>
      <c r="Q25">
        <v>108.889</v>
      </c>
      <c r="R25">
        <v>1.2849999999999999</v>
      </c>
      <c r="S25">
        <v>0.47399999999999998</v>
      </c>
      <c r="U25">
        <v>1.0796220000000001</v>
      </c>
      <c r="V25">
        <v>-23.806000000000001</v>
      </c>
      <c r="W25" s="1"/>
      <c r="X25" s="5">
        <f t="shared" si="0"/>
        <v>-43.499674218046465</v>
      </c>
      <c r="Y25" s="11">
        <f t="shared" si="1"/>
        <v>0.7730457036034295</v>
      </c>
      <c r="Z25" s="11">
        <f t="shared" si="2"/>
        <v>-23.959502016526699</v>
      </c>
      <c r="AP25" s="5"/>
      <c r="AQ25" s="5"/>
      <c r="AR25" s="5"/>
      <c r="AS25" s="5"/>
      <c r="AT25" s="5"/>
      <c r="BC25" s="5"/>
      <c r="BD25" s="5"/>
      <c r="BW25" t="b">
        <f t="shared" si="5"/>
        <v>1</v>
      </c>
      <c r="BX25" s="2" t="str">
        <f>IF(ISBLANK(BO25),"",VLOOKUP(BO25,refs[#All],5,FALSE))</f>
        <v/>
      </c>
      <c r="BY25" s="2" t="str">
        <f t="shared" si="10"/>
        <v/>
      </c>
      <c r="BZ25" s="2" t="str">
        <f t="shared" si="11"/>
        <v/>
      </c>
      <c r="CA25" s="2" t="str">
        <f t="shared" si="12"/>
        <v/>
      </c>
      <c r="CB25" s="2" t="str">
        <f t="shared" si="13"/>
        <v/>
      </c>
    </row>
    <row r="26" spans="1:80" x14ac:dyDescent="0.2">
      <c r="A26" s="13">
        <v>44252.932719907411</v>
      </c>
      <c r="B26">
        <v>27959</v>
      </c>
      <c r="C26">
        <v>26</v>
      </c>
      <c r="D26" t="s">
        <v>118</v>
      </c>
      <c r="F26">
        <v>5.7190000000000003</v>
      </c>
      <c r="G26">
        <v>5</v>
      </c>
      <c r="H26">
        <v>326.7</v>
      </c>
      <c r="I26">
        <v>94</v>
      </c>
      <c r="J26">
        <v>1.4</v>
      </c>
      <c r="K26">
        <v>1.8</v>
      </c>
      <c r="L26">
        <v>2.6</v>
      </c>
      <c r="M26">
        <v>1616</v>
      </c>
      <c r="N26">
        <v>1913</v>
      </c>
      <c r="O26">
        <v>2322</v>
      </c>
      <c r="P26">
        <v>31.001000000000001</v>
      </c>
      <c r="Q26">
        <v>30.509</v>
      </c>
      <c r="R26">
        <v>0.36</v>
      </c>
      <c r="S26">
        <v>0.13200000000000001</v>
      </c>
      <c r="U26">
        <v>1.0790439999999999</v>
      </c>
      <c r="V26">
        <v>-24.332999999999998</v>
      </c>
      <c r="W26" s="1"/>
      <c r="X26" s="5">
        <f t="shared" si="0"/>
        <v>-44.027378620157414</v>
      </c>
      <c r="Y26" s="11">
        <f t="shared" si="1"/>
        <v>0.42437966343197786</v>
      </c>
      <c r="Z26" s="11">
        <f t="shared" si="2"/>
        <v>-24.496950999488377</v>
      </c>
      <c r="AP26" s="5"/>
      <c r="AQ26" s="5"/>
      <c r="AR26" s="5"/>
      <c r="AS26" s="5"/>
      <c r="AT26" s="5"/>
      <c r="BC26" s="5"/>
      <c r="BD26" s="5"/>
    </row>
    <row r="27" spans="1:80" x14ac:dyDescent="0.2">
      <c r="A27" s="13">
        <v>44252.940046296295</v>
      </c>
      <c r="B27">
        <v>27960</v>
      </c>
      <c r="C27">
        <v>27</v>
      </c>
      <c r="D27" t="s">
        <v>12</v>
      </c>
      <c r="G27">
        <v>5</v>
      </c>
      <c r="H27">
        <v>325.60000000000002</v>
      </c>
      <c r="I27">
        <v>89</v>
      </c>
      <c r="J27">
        <v>1.3</v>
      </c>
      <c r="K27">
        <v>1.7</v>
      </c>
      <c r="L27">
        <v>2.5</v>
      </c>
      <c r="M27">
        <v>4138</v>
      </c>
      <c r="N27">
        <v>4857</v>
      </c>
      <c r="O27">
        <v>5962</v>
      </c>
      <c r="P27">
        <v>77.070999999999998</v>
      </c>
      <c r="Q27">
        <v>75.853999999999999</v>
      </c>
      <c r="R27">
        <v>0.88800000000000001</v>
      </c>
      <c r="S27">
        <v>0.32800000000000001</v>
      </c>
      <c r="U27">
        <v>1.070835</v>
      </c>
      <c r="V27">
        <v>-31.835999999999999</v>
      </c>
      <c r="W27" s="1"/>
      <c r="X27" s="5">
        <f t="shared" si="0"/>
        <v>-51.531083022268369</v>
      </c>
      <c r="Y27" s="11">
        <f t="shared" si="1"/>
        <v>0.62419940747929559</v>
      </c>
      <c r="Z27" s="11">
        <f t="shared" si="2"/>
        <v>-32.139342186900876</v>
      </c>
      <c r="AP27" s="5"/>
      <c r="AQ27" s="5"/>
      <c r="AR27" s="5"/>
      <c r="AS27" s="5"/>
      <c r="AT27" s="5"/>
      <c r="BC27" s="5"/>
      <c r="BD27" s="5"/>
    </row>
    <row r="28" spans="1:80" x14ac:dyDescent="0.2">
      <c r="A28" s="13">
        <v>44252.947372685187</v>
      </c>
      <c r="B28">
        <v>27961</v>
      </c>
      <c r="C28">
        <v>28</v>
      </c>
      <c r="D28" t="s">
        <v>119</v>
      </c>
      <c r="F28">
        <v>5.8710000000000004</v>
      </c>
      <c r="G28">
        <v>5</v>
      </c>
      <c r="H28">
        <v>325.2</v>
      </c>
      <c r="I28">
        <v>96</v>
      </c>
      <c r="J28">
        <v>1.1000000000000001</v>
      </c>
      <c r="K28">
        <v>1.4</v>
      </c>
      <c r="L28">
        <v>2.1</v>
      </c>
      <c r="M28">
        <v>1409</v>
      </c>
      <c r="N28">
        <v>1670</v>
      </c>
      <c r="O28">
        <v>2014</v>
      </c>
      <c r="P28">
        <v>30.57</v>
      </c>
      <c r="Q28">
        <v>30.085999999999999</v>
      </c>
      <c r="R28">
        <v>0.35499999999999998</v>
      </c>
      <c r="S28">
        <v>0.129</v>
      </c>
      <c r="U28">
        <v>1.078883</v>
      </c>
      <c r="V28">
        <v>-24.481000000000002</v>
      </c>
      <c r="W28" s="1"/>
      <c r="X28" s="5">
        <f t="shared" si="0"/>
        <v>-44.176787424379327</v>
      </c>
      <c r="Y28" s="11">
        <f t="shared" si="1"/>
        <v>0.42132120963822217</v>
      </c>
      <c r="Z28" s="11">
        <f t="shared" si="2"/>
        <v>-24.649118991562432</v>
      </c>
      <c r="AP28" s="5"/>
      <c r="AQ28" s="5"/>
      <c r="AR28" s="5"/>
      <c r="AS28" s="5"/>
      <c r="AT28" s="5"/>
      <c r="BC28" s="5"/>
      <c r="BD28" s="5"/>
    </row>
    <row r="29" spans="1:80" x14ac:dyDescent="0.2">
      <c r="A29" s="13">
        <v>44252.954710648148</v>
      </c>
      <c r="B29">
        <v>27962</v>
      </c>
      <c r="C29">
        <v>29</v>
      </c>
      <c r="D29" t="s">
        <v>120</v>
      </c>
      <c r="F29">
        <v>5.7469999999999999</v>
      </c>
      <c r="G29">
        <v>5</v>
      </c>
      <c r="H29">
        <v>346.7</v>
      </c>
      <c r="I29">
        <v>79</v>
      </c>
      <c r="J29">
        <v>2.5</v>
      </c>
      <c r="K29">
        <v>3.1</v>
      </c>
      <c r="L29">
        <v>4.0999999999999996</v>
      </c>
      <c r="M29">
        <v>4613</v>
      </c>
      <c r="N29">
        <v>5448</v>
      </c>
      <c r="O29">
        <v>6666</v>
      </c>
      <c r="P29">
        <v>125.65300000000001</v>
      </c>
      <c r="Q29">
        <v>123.658</v>
      </c>
      <c r="R29">
        <v>1.458</v>
      </c>
      <c r="S29">
        <v>0.53700000000000003</v>
      </c>
      <c r="U29">
        <v>1.0789219999999999</v>
      </c>
      <c r="V29">
        <v>-24.445</v>
      </c>
      <c r="W29" s="1"/>
      <c r="X29" s="5">
        <f t="shared" si="0"/>
        <v>-44.141491826490281</v>
      </c>
      <c r="Y29" s="11">
        <f t="shared" si="1"/>
        <v>0.8372741574006568</v>
      </c>
      <c r="Z29" s="11">
        <f t="shared" si="2"/>
        <v>-24.613171568510666</v>
      </c>
      <c r="AP29" s="5"/>
      <c r="AQ29" s="5"/>
      <c r="AR29" s="5"/>
      <c r="AS29" s="5"/>
      <c r="AT29" s="5"/>
      <c r="BC29" s="5"/>
      <c r="BD29" s="5"/>
    </row>
    <row r="30" spans="1:80" x14ac:dyDescent="0.2">
      <c r="A30" s="13">
        <v>44252.962037037039</v>
      </c>
      <c r="B30">
        <v>27963</v>
      </c>
      <c r="C30">
        <v>30</v>
      </c>
      <c r="D30" t="s">
        <v>121</v>
      </c>
      <c r="F30">
        <v>5.8460000000000001</v>
      </c>
      <c r="G30">
        <v>5</v>
      </c>
      <c r="H30">
        <v>324.8</v>
      </c>
      <c r="I30">
        <v>96</v>
      </c>
      <c r="J30">
        <v>1.1000000000000001</v>
      </c>
      <c r="K30">
        <v>1.5</v>
      </c>
      <c r="L30">
        <v>2.2999999999999998</v>
      </c>
      <c r="M30">
        <v>1403</v>
      </c>
      <c r="N30">
        <v>1663</v>
      </c>
      <c r="O30">
        <v>2006</v>
      </c>
      <c r="P30">
        <v>30.484999999999999</v>
      </c>
      <c r="Q30">
        <v>30.001999999999999</v>
      </c>
      <c r="R30">
        <v>0.35399999999999998</v>
      </c>
      <c r="S30">
        <v>0.129</v>
      </c>
      <c r="U30">
        <v>1.0792360000000001</v>
      </c>
      <c r="V30">
        <v>-24.158000000000001</v>
      </c>
      <c r="W30" s="1"/>
      <c r="X30" s="5">
        <f t="shared" si="0"/>
        <v>-43.85519622860123</v>
      </c>
      <c r="Y30" s="11">
        <f t="shared" si="1"/>
        <v>0.42132120963822217</v>
      </c>
      <c r="Z30" s="11">
        <f t="shared" si="2"/>
        <v>-24.321588965262208</v>
      </c>
      <c r="AP30" s="5"/>
      <c r="AQ30" s="5"/>
      <c r="AR30" s="5"/>
      <c r="AS30" s="5"/>
      <c r="AT30" s="5"/>
      <c r="BC30" s="5"/>
      <c r="BD30" s="5"/>
    </row>
    <row r="31" spans="1:80" x14ac:dyDescent="0.2">
      <c r="A31" s="13">
        <v>44252.969363425924</v>
      </c>
      <c r="B31">
        <v>27964</v>
      </c>
      <c r="C31">
        <v>31</v>
      </c>
      <c r="D31" t="s">
        <v>122</v>
      </c>
      <c r="F31">
        <v>5.8170000000000002</v>
      </c>
      <c r="G31">
        <v>5</v>
      </c>
      <c r="H31">
        <v>327.3</v>
      </c>
      <c r="I31">
        <v>89</v>
      </c>
      <c r="J31">
        <v>1.6</v>
      </c>
      <c r="K31">
        <v>2</v>
      </c>
      <c r="L31">
        <v>2.9</v>
      </c>
      <c r="M31">
        <v>3773</v>
      </c>
      <c r="N31">
        <v>4458</v>
      </c>
      <c r="O31">
        <v>5436</v>
      </c>
      <c r="P31">
        <v>69.933999999999997</v>
      </c>
      <c r="Q31">
        <v>68.825000000000003</v>
      </c>
      <c r="R31">
        <v>0.81200000000000006</v>
      </c>
      <c r="S31">
        <v>0.29799999999999999</v>
      </c>
      <c r="U31">
        <v>1.078892</v>
      </c>
      <c r="V31">
        <v>-24.472999999999999</v>
      </c>
      <c r="W31" s="1"/>
      <c r="X31" s="5">
        <f t="shared" si="0"/>
        <v>-44.170900630712183</v>
      </c>
      <c r="Y31" s="11">
        <f t="shared" si="1"/>
        <v>0.59361465537892855</v>
      </c>
      <c r="Z31" s="11">
        <f t="shared" si="2"/>
        <v>-24.643123482559872</v>
      </c>
      <c r="AP31" s="5"/>
      <c r="AQ31" s="5"/>
      <c r="AR31" s="5"/>
      <c r="AS31" s="5"/>
      <c r="AT31" s="5"/>
      <c r="BC31" s="5"/>
      <c r="BD31" s="5"/>
    </row>
    <row r="32" spans="1:80" x14ac:dyDescent="0.2">
      <c r="A32" s="13">
        <v>44252.976689814815</v>
      </c>
      <c r="B32">
        <v>27965</v>
      </c>
      <c r="C32">
        <v>32</v>
      </c>
      <c r="D32" t="s">
        <v>123</v>
      </c>
      <c r="F32">
        <v>5.8470000000000004</v>
      </c>
      <c r="G32">
        <v>5</v>
      </c>
      <c r="H32">
        <v>326.5</v>
      </c>
      <c r="I32">
        <v>89</v>
      </c>
      <c r="J32">
        <v>1.5</v>
      </c>
      <c r="K32">
        <v>1.9</v>
      </c>
      <c r="L32">
        <v>2.8</v>
      </c>
      <c r="M32">
        <v>4859</v>
      </c>
      <c r="N32">
        <v>5732</v>
      </c>
      <c r="O32">
        <v>6994</v>
      </c>
      <c r="P32">
        <v>91.796999999999997</v>
      </c>
      <c r="Q32">
        <v>90.343000000000004</v>
      </c>
      <c r="R32">
        <v>1.0629999999999999</v>
      </c>
      <c r="S32">
        <v>0.39100000000000001</v>
      </c>
      <c r="U32">
        <v>1.076648</v>
      </c>
      <c r="V32">
        <v>-26.523</v>
      </c>
      <c r="W32" s="1"/>
      <c r="X32" s="5">
        <f t="shared" si="0"/>
        <v>-46.221605032823135</v>
      </c>
      <c r="Y32" s="11">
        <f t="shared" si="1"/>
        <v>0.68842750148178311</v>
      </c>
      <c r="Z32" s="11">
        <f t="shared" si="2"/>
        <v>-26.731708200642743</v>
      </c>
      <c r="AP32" s="5"/>
      <c r="AQ32" s="5"/>
      <c r="AR32" s="5"/>
      <c r="AS32" s="5"/>
      <c r="AT32" s="5"/>
      <c r="BC32" s="5"/>
      <c r="BD32" s="5"/>
    </row>
    <row r="33" spans="1:56" x14ac:dyDescent="0.2">
      <c r="A33" s="13">
        <v>44252.984016203707</v>
      </c>
      <c r="B33">
        <v>27966</v>
      </c>
      <c r="C33">
        <v>33</v>
      </c>
      <c r="D33" t="s">
        <v>12</v>
      </c>
      <c r="G33">
        <v>5</v>
      </c>
      <c r="H33">
        <v>325.8</v>
      </c>
      <c r="I33">
        <v>89</v>
      </c>
      <c r="J33">
        <v>1.4</v>
      </c>
      <c r="K33">
        <v>1.8</v>
      </c>
      <c r="L33">
        <v>2.6</v>
      </c>
      <c r="M33">
        <v>4119</v>
      </c>
      <c r="N33">
        <v>4834</v>
      </c>
      <c r="O33">
        <v>5933</v>
      </c>
      <c r="P33">
        <v>76.727000000000004</v>
      </c>
      <c r="Q33">
        <v>75.515000000000001</v>
      </c>
      <c r="R33">
        <v>0.88400000000000001</v>
      </c>
      <c r="S33">
        <v>0.32700000000000001</v>
      </c>
      <c r="U33">
        <v>1.0708260000000001</v>
      </c>
      <c r="V33">
        <v>-31.844999999999999</v>
      </c>
      <c r="W33" s="1"/>
      <c r="X33" s="5">
        <f t="shared" si="0"/>
        <v>-51.544309434934092</v>
      </c>
      <c r="Y33" s="11">
        <f t="shared" si="1"/>
        <v>0.62317991517545579</v>
      </c>
      <c r="Z33" s="11">
        <f t="shared" si="2"/>
        <v>-32.152813259728873</v>
      </c>
      <c r="AP33" s="5"/>
      <c r="AQ33" s="5"/>
      <c r="AR33" s="5"/>
      <c r="AS33" s="5"/>
      <c r="AT33" s="5"/>
      <c r="BC33" s="5"/>
      <c r="BD33" s="5"/>
    </row>
    <row r="34" spans="1:56" x14ac:dyDescent="0.2">
      <c r="A34" s="13">
        <v>44252.991342592592</v>
      </c>
      <c r="B34">
        <v>27967</v>
      </c>
      <c r="C34">
        <v>34</v>
      </c>
      <c r="D34" t="s">
        <v>102</v>
      </c>
      <c r="G34">
        <v>5</v>
      </c>
      <c r="H34">
        <v>328.3</v>
      </c>
      <c r="I34">
        <v>89</v>
      </c>
      <c r="J34">
        <v>1.5</v>
      </c>
      <c r="K34">
        <v>1.9</v>
      </c>
      <c r="L34">
        <v>2.8</v>
      </c>
      <c r="M34">
        <v>3235</v>
      </c>
      <c r="N34">
        <v>3798</v>
      </c>
      <c r="O34">
        <v>4666</v>
      </c>
      <c r="P34">
        <v>60.034999999999997</v>
      </c>
      <c r="Q34">
        <v>59.087000000000003</v>
      </c>
      <c r="R34">
        <v>0.69299999999999995</v>
      </c>
      <c r="S34">
        <v>0.25600000000000001</v>
      </c>
      <c r="U34">
        <v>1.072222</v>
      </c>
      <c r="V34">
        <v>-30.568999999999999</v>
      </c>
      <c r="W34" s="1"/>
      <c r="X34" s="5">
        <f t="shared" si="0"/>
        <v>-50.269013837045044</v>
      </c>
      <c r="Y34" s="11">
        <f t="shared" si="1"/>
        <v>0.55079606158199113</v>
      </c>
      <c r="Z34" s="11">
        <f t="shared" si="2"/>
        <v>-30.853930737057226</v>
      </c>
      <c r="AP34" s="5"/>
      <c r="AQ34" s="5"/>
      <c r="AR34" s="5"/>
      <c r="AS34" s="5"/>
      <c r="AT34" s="5"/>
      <c r="BC34" s="5"/>
      <c r="BD34" s="5"/>
    </row>
    <row r="35" spans="1:56" x14ac:dyDescent="0.2">
      <c r="A35" s="13">
        <v>44252.998680555553</v>
      </c>
      <c r="B35">
        <v>27968</v>
      </c>
      <c r="C35">
        <v>35</v>
      </c>
      <c r="D35" t="s">
        <v>11</v>
      </c>
      <c r="G35">
        <v>5</v>
      </c>
      <c r="H35">
        <v>347.4</v>
      </c>
      <c r="I35">
        <v>50</v>
      </c>
      <c r="J35">
        <v>2.7</v>
      </c>
      <c r="K35">
        <v>3.3</v>
      </c>
      <c r="L35">
        <v>4.5</v>
      </c>
      <c r="M35">
        <v>4144</v>
      </c>
      <c r="N35">
        <v>4813</v>
      </c>
      <c r="O35">
        <v>6038</v>
      </c>
      <c r="P35">
        <v>105.715</v>
      </c>
      <c r="Q35">
        <v>104.05200000000001</v>
      </c>
      <c r="R35">
        <v>1.208</v>
      </c>
      <c r="S35">
        <v>0.45500000000000002</v>
      </c>
      <c r="U35">
        <v>1.060638</v>
      </c>
      <c r="V35">
        <v>-41.155000000000001</v>
      </c>
      <c r="W35" s="1"/>
      <c r="X35" s="5">
        <f t="shared" si="0"/>
        <v>-60.855718239156005</v>
      </c>
      <c r="Y35" s="11">
        <f t="shared" si="1"/>
        <v>0.75367524800958563</v>
      </c>
      <c r="Z35" s="11">
        <f t="shared" si="2"/>
        <v>-41.636641024195342</v>
      </c>
      <c r="AP35" s="5"/>
      <c r="AQ35" s="5"/>
      <c r="AR35" s="5"/>
      <c r="AS35" s="5"/>
      <c r="AT35" s="5"/>
      <c r="BC35" s="5"/>
      <c r="BD35" s="5"/>
    </row>
    <row r="36" spans="1:56" x14ac:dyDescent="0.2">
      <c r="A36" s="13">
        <v>44253.005995370368</v>
      </c>
      <c r="B36">
        <v>27969</v>
      </c>
      <c r="C36">
        <v>36</v>
      </c>
      <c r="D36" t="s">
        <v>13</v>
      </c>
      <c r="G36">
        <v>4</v>
      </c>
      <c r="H36">
        <v>346.9</v>
      </c>
      <c r="I36">
        <v>79</v>
      </c>
      <c r="J36">
        <v>2.1</v>
      </c>
      <c r="K36">
        <v>2.7</v>
      </c>
      <c r="L36">
        <v>3.7</v>
      </c>
      <c r="M36">
        <v>4185</v>
      </c>
      <c r="N36">
        <v>5003</v>
      </c>
      <c r="O36">
        <v>6061</v>
      </c>
      <c r="P36">
        <v>114.676</v>
      </c>
      <c r="Q36">
        <v>112.83799999999999</v>
      </c>
      <c r="R36">
        <v>1.347</v>
      </c>
      <c r="S36">
        <v>0.49099999999999999</v>
      </c>
      <c r="U36">
        <v>1.0931770000000001</v>
      </c>
      <c r="V36">
        <v>-11.413</v>
      </c>
      <c r="W36" s="1"/>
      <c r="X36" s="5">
        <f t="shared" si="0"/>
        <v>-31.114422641266952</v>
      </c>
      <c r="Y36" s="11">
        <f t="shared" si="1"/>
        <v>0.79037717584139955</v>
      </c>
      <c r="Z36" s="11">
        <f t="shared" si="2"/>
        <v>-11.345872320878129</v>
      </c>
      <c r="AP36" s="5"/>
      <c r="AQ36" s="5"/>
      <c r="AR36" s="5"/>
      <c r="AS36" s="5"/>
      <c r="AT36" s="5"/>
      <c r="BC36" s="5"/>
      <c r="BD36" s="5"/>
    </row>
    <row r="37" spans="1:56" x14ac:dyDescent="0.2">
      <c r="A37" s="13">
        <v>44253.013333333336</v>
      </c>
      <c r="B37">
        <v>27970</v>
      </c>
      <c r="C37">
        <v>37</v>
      </c>
      <c r="D37" t="s">
        <v>14</v>
      </c>
      <c r="E37" t="s">
        <v>57</v>
      </c>
      <c r="G37">
        <v>5</v>
      </c>
      <c r="H37">
        <v>348</v>
      </c>
      <c r="I37">
        <v>78</v>
      </c>
      <c r="J37">
        <v>2.2999999999999998</v>
      </c>
      <c r="K37">
        <v>2.9</v>
      </c>
      <c r="L37">
        <v>3.9</v>
      </c>
      <c r="M37">
        <v>3262</v>
      </c>
      <c r="N37">
        <v>3835</v>
      </c>
      <c r="O37">
        <v>4732</v>
      </c>
      <c r="P37">
        <v>87.813999999999993</v>
      </c>
      <c r="Q37">
        <v>86.421999999999997</v>
      </c>
      <c r="R37">
        <v>1.0149999999999999</v>
      </c>
      <c r="S37">
        <v>0.377</v>
      </c>
      <c r="U37">
        <v>1.0739069999999999</v>
      </c>
      <c r="V37">
        <v>-29.029</v>
      </c>
      <c r="W37" s="1"/>
      <c r="X37" s="5">
        <f t="shared" si="0"/>
        <v>-48.73112704337791</v>
      </c>
      <c r="Y37" s="11">
        <f t="shared" si="1"/>
        <v>0.67415457828656145</v>
      </c>
      <c r="Z37" s="11">
        <f t="shared" si="2"/>
        <v>-29.287609192210198</v>
      </c>
      <c r="AP37" s="5"/>
      <c r="AQ37" s="5"/>
      <c r="AR37" s="5"/>
      <c r="AS37" s="5"/>
      <c r="AT37" s="5"/>
      <c r="BC37" s="5"/>
      <c r="BD37" s="5"/>
    </row>
    <row r="38" spans="1:56" x14ac:dyDescent="0.2">
      <c r="A38" s="13">
        <v>44253.02065972222</v>
      </c>
      <c r="B38">
        <v>27971</v>
      </c>
      <c r="C38">
        <v>38</v>
      </c>
      <c r="D38" t="s">
        <v>124</v>
      </c>
      <c r="F38">
        <v>0.248</v>
      </c>
      <c r="G38">
        <v>5</v>
      </c>
      <c r="H38">
        <v>347.4</v>
      </c>
      <c r="I38">
        <v>57</v>
      </c>
      <c r="J38">
        <v>2.4</v>
      </c>
      <c r="K38">
        <v>3</v>
      </c>
      <c r="L38">
        <v>4.0999999999999996</v>
      </c>
      <c r="M38">
        <v>4351</v>
      </c>
      <c r="N38">
        <v>5104</v>
      </c>
      <c r="O38">
        <v>6327</v>
      </c>
      <c r="P38">
        <v>113.869</v>
      </c>
      <c r="Q38">
        <v>112.066</v>
      </c>
      <c r="R38">
        <v>1.3140000000000001</v>
      </c>
      <c r="S38">
        <v>0.48899999999999999</v>
      </c>
      <c r="U38">
        <v>1.0719209999999999</v>
      </c>
      <c r="V38">
        <v>-30.844000000000001</v>
      </c>
      <c r="W38" s="1"/>
      <c r="X38" s="5">
        <f t="shared" si="0"/>
        <v>-50.546831445488863</v>
      </c>
      <c r="Y38" s="11">
        <f t="shared" si="1"/>
        <v>0.78833817852080301</v>
      </c>
      <c r="Z38" s="11">
        <f t="shared" si="2"/>
        <v>-31.13688608673101</v>
      </c>
      <c r="AP38" s="5"/>
      <c r="AQ38" s="5"/>
      <c r="AR38" s="5"/>
      <c r="AS38" s="5"/>
      <c r="AT38" s="5"/>
      <c r="BC38" s="5"/>
      <c r="BD38" s="5"/>
    </row>
    <row r="39" spans="1:56" x14ac:dyDescent="0.2">
      <c r="A39" s="13">
        <v>44253.027986111112</v>
      </c>
      <c r="B39">
        <v>27972</v>
      </c>
      <c r="C39">
        <v>39</v>
      </c>
      <c r="D39" t="s">
        <v>125</v>
      </c>
      <c r="F39">
        <v>0.245</v>
      </c>
      <c r="G39">
        <v>5</v>
      </c>
      <c r="H39">
        <v>347.4</v>
      </c>
      <c r="I39">
        <v>57</v>
      </c>
      <c r="J39">
        <v>2.2000000000000002</v>
      </c>
      <c r="K39">
        <v>2.8</v>
      </c>
      <c r="L39">
        <v>3.8</v>
      </c>
      <c r="M39">
        <v>4319</v>
      </c>
      <c r="N39">
        <v>5075</v>
      </c>
      <c r="O39">
        <v>6279</v>
      </c>
      <c r="P39">
        <v>112.98399999999999</v>
      </c>
      <c r="Q39">
        <v>111.193</v>
      </c>
      <c r="R39">
        <v>1.306</v>
      </c>
      <c r="S39">
        <v>0.48499999999999999</v>
      </c>
      <c r="U39">
        <v>1.0737669999999999</v>
      </c>
      <c r="V39">
        <v>-29.157</v>
      </c>
      <c r="W39" s="1"/>
      <c r="X39" s="5">
        <f t="shared" si="0"/>
        <v>-48.860535847599813</v>
      </c>
      <c r="Y39" s="11">
        <f t="shared" si="1"/>
        <v>0.78426018434890921</v>
      </c>
      <c r="Z39" s="11">
        <f t="shared" si="2"/>
        <v>-29.419410326420575</v>
      </c>
      <c r="AP39" s="5"/>
      <c r="AQ39" s="5"/>
      <c r="AR39" s="5"/>
      <c r="AS39" s="5"/>
      <c r="AT39" s="5"/>
      <c r="BC39" s="5"/>
      <c r="BD39" s="5"/>
    </row>
    <row r="40" spans="1:56" x14ac:dyDescent="0.2">
      <c r="A40" s="13">
        <v>44253.035312499997</v>
      </c>
      <c r="B40">
        <v>27973</v>
      </c>
      <c r="C40">
        <v>40</v>
      </c>
      <c r="D40" t="s">
        <v>126</v>
      </c>
      <c r="F40">
        <v>0.245</v>
      </c>
      <c r="G40">
        <v>5</v>
      </c>
      <c r="H40">
        <v>347.1</v>
      </c>
      <c r="I40">
        <v>57</v>
      </c>
      <c r="J40">
        <v>2.2000000000000002</v>
      </c>
      <c r="K40">
        <v>2.8</v>
      </c>
      <c r="L40">
        <v>3.8</v>
      </c>
      <c r="M40">
        <v>4124</v>
      </c>
      <c r="N40">
        <v>4840</v>
      </c>
      <c r="O40">
        <v>5996</v>
      </c>
      <c r="P40">
        <v>107.584</v>
      </c>
      <c r="Q40">
        <v>105.879</v>
      </c>
      <c r="R40">
        <v>1.242</v>
      </c>
      <c r="S40">
        <v>0.46200000000000002</v>
      </c>
      <c r="U40">
        <v>1.0723609999999999</v>
      </c>
      <c r="V40">
        <v>-30.442</v>
      </c>
      <c r="W40" s="1"/>
      <c r="X40" s="5">
        <f t="shared" si="0"/>
        <v>-50.146240249710772</v>
      </c>
      <c r="Y40" s="11">
        <f t="shared" si="1"/>
        <v>0.7608117300064805</v>
      </c>
      <c r="Z40" s="11">
        <f t="shared" si="2"/>
        <v>-30.728886771961925</v>
      </c>
      <c r="AP40" s="5"/>
      <c r="AQ40" s="5"/>
      <c r="AR40" s="5"/>
      <c r="AS40" s="5"/>
      <c r="AT40" s="5"/>
      <c r="BC40" s="5"/>
      <c r="BD40" s="5"/>
    </row>
    <row r="41" spans="1:56" x14ac:dyDescent="0.2">
      <c r="A41" s="13">
        <v>44253.042627314811</v>
      </c>
      <c r="B41">
        <v>27974</v>
      </c>
      <c r="C41">
        <v>41</v>
      </c>
      <c r="D41" t="s">
        <v>127</v>
      </c>
      <c r="F41">
        <v>0.27500000000000002</v>
      </c>
      <c r="G41">
        <v>5</v>
      </c>
      <c r="H41">
        <v>346.7</v>
      </c>
      <c r="I41">
        <v>57</v>
      </c>
      <c r="J41">
        <v>2.2999999999999998</v>
      </c>
      <c r="K41">
        <v>2.9</v>
      </c>
      <c r="L41">
        <v>3.9</v>
      </c>
      <c r="M41">
        <v>4733</v>
      </c>
      <c r="N41">
        <v>5563</v>
      </c>
      <c r="O41">
        <v>6877</v>
      </c>
      <c r="P41">
        <v>123.786</v>
      </c>
      <c r="Q41">
        <v>121.82299999999999</v>
      </c>
      <c r="R41">
        <v>1.431</v>
      </c>
      <c r="S41">
        <v>0.53200000000000003</v>
      </c>
      <c r="U41">
        <v>1.0742370000000001</v>
      </c>
      <c r="V41">
        <v>-28.728000000000002</v>
      </c>
      <c r="W41" s="1"/>
      <c r="X41" s="5">
        <f t="shared" si="0"/>
        <v>-48.432944651821728</v>
      </c>
      <c r="Y41" s="11">
        <f t="shared" si="1"/>
        <v>0.83217665539564223</v>
      </c>
      <c r="Z41" s="11">
        <f t="shared" si="2"/>
        <v>-28.983914680608109</v>
      </c>
      <c r="AP41" s="5"/>
      <c r="AQ41" s="5"/>
      <c r="AR41" s="5"/>
      <c r="AS41" s="5"/>
      <c r="AT41" s="5"/>
      <c r="BC41" s="5"/>
      <c r="BD41" s="5"/>
    </row>
    <row r="42" spans="1:56" x14ac:dyDescent="0.2">
      <c r="A42" s="13">
        <v>44253.04996527778</v>
      </c>
      <c r="B42">
        <v>27975</v>
      </c>
      <c r="C42">
        <v>42</v>
      </c>
      <c r="D42" t="s">
        <v>128</v>
      </c>
      <c r="F42">
        <v>0.24</v>
      </c>
      <c r="G42">
        <v>5</v>
      </c>
      <c r="H42">
        <v>347.6</v>
      </c>
      <c r="I42">
        <v>57</v>
      </c>
      <c r="J42">
        <v>2.2999999999999998</v>
      </c>
      <c r="K42">
        <v>2.9</v>
      </c>
      <c r="L42">
        <v>3.9</v>
      </c>
      <c r="M42">
        <v>4473</v>
      </c>
      <c r="N42">
        <v>5257</v>
      </c>
      <c r="O42">
        <v>6502</v>
      </c>
      <c r="P42">
        <v>116.714</v>
      </c>
      <c r="Q42">
        <v>114.864</v>
      </c>
      <c r="R42">
        <v>1.349</v>
      </c>
      <c r="S42">
        <v>0.502</v>
      </c>
      <c r="U42">
        <v>1.074101</v>
      </c>
      <c r="V42">
        <v>-28.852</v>
      </c>
      <c r="W42" s="1"/>
      <c r="X42" s="5">
        <f t="shared" si="0"/>
        <v>-48.557649053932678</v>
      </c>
      <c r="Y42" s="11">
        <f t="shared" si="1"/>
        <v>0.80159166390160408</v>
      </c>
      <c r="Z42" s="11">
        <f t="shared" si="2"/>
        <v>-29.110924290653656</v>
      </c>
      <c r="AP42" s="5"/>
      <c r="AQ42" s="5"/>
      <c r="AR42" s="5"/>
      <c r="AS42" s="5"/>
      <c r="AT42" s="5"/>
      <c r="BC42" s="5"/>
      <c r="BD42" s="5"/>
    </row>
    <row r="43" spans="1:56" x14ac:dyDescent="0.2">
      <c r="A43" s="13">
        <v>44253.057291666664</v>
      </c>
      <c r="B43">
        <v>27976</v>
      </c>
      <c r="C43">
        <v>43</v>
      </c>
      <c r="D43" t="s">
        <v>12</v>
      </c>
      <c r="G43">
        <v>5</v>
      </c>
      <c r="H43">
        <v>326</v>
      </c>
      <c r="I43">
        <v>89</v>
      </c>
      <c r="J43">
        <v>1.3</v>
      </c>
      <c r="K43">
        <v>1.7</v>
      </c>
      <c r="L43">
        <v>2.6</v>
      </c>
      <c r="M43">
        <v>3972</v>
      </c>
      <c r="N43">
        <v>4660</v>
      </c>
      <c r="O43">
        <v>5722</v>
      </c>
      <c r="P43">
        <v>73.924000000000007</v>
      </c>
      <c r="Q43">
        <v>72.757000000000005</v>
      </c>
      <c r="R43">
        <v>0.85199999999999998</v>
      </c>
      <c r="S43">
        <v>0.315</v>
      </c>
      <c r="U43">
        <v>1.070864</v>
      </c>
      <c r="V43">
        <v>-31.81</v>
      </c>
      <c r="W43" s="1"/>
      <c r="X43" s="5">
        <f t="shared" si="0"/>
        <v>-51.516353456043632</v>
      </c>
      <c r="Y43" s="11">
        <f t="shared" si="1"/>
        <v>0.61094601058016451</v>
      </c>
      <c r="Z43" s="11">
        <f t="shared" si="2"/>
        <v>-32.124340156252742</v>
      </c>
      <c r="AP43" s="5"/>
      <c r="AQ43" s="5"/>
      <c r="AR43" s="5"/>
      <c r="AS43" s="5"/>
      <c r="AT43" s="5"/>
      <c r="BC43" s="5"/>
      <c r="BD43" s="5"/>
    </row>
    <row r="44" spans="1:56" x14ac:dyDescent="0.2">
      <c r="A44" s="13">
        <v>44253.064618055556</v>
      </c>
      <c r="B44">
        <v>27977</v>
      </c>
      <c r="C44">
        <v>44</v>
      </c>
      <c r="D44" t="s">
        <v>129</v>
      </c>
      <c r="F44">
        <v>0.23899999999999999</v>
      </c>
      <c r="G44">
        <v>5</v>
      </c>
      <c r="H44">
        <v>347.6</v>
      </c>
      <c r="I44">
        <v>57</v>
      </c>
      <c r="J44">
        <v>2.5</v>
      </c>
      <c r="K44">
        <v>3.1</v>
      </c>
      <c r="L44">
        <v>4.2</v>
      </c>
      <c r="M44">
        <v>4203</v>
      </c>
      <c r="N44">
        <v>4941</v>
      </c>
      <c r="O44">
        <v>6113</v>
      </c>
      <c r="P44">
        <v>109.761</v>
      </c>
      <c r="Q44">
        <v>108.02</v>
      </c>
      <c r="R44">
        <v>1.2689999999999999</v>
      </c>
      <c r="S44">
        <v>0.47199999999999998</v>
      </c>
      <c r="U44">
        <v>1.074228</v>
      </c>
      <c r="V44">
        <v>-28.734999999999999</v>
      </c>
      <c r="W44" s="1"/>
      <c r="X44" s="5">
        <f t="shared" si="0"/>
        <v>-48.442057858154584</v>
      </c>
      <c r="Y44" s="11">
        <f t="shared" si="1"/>
        <v>0.77100670761274159</v>
      </c>
      <c r="Z44" s="11">
        <f t="shared" si="2"/>
        <v>-28.993196345840488</v>
      </c>
      <c r="AP44" s="5"/>
      <c r="AQ44" s="5"/>
      <c r="AR44" s="5"/>
      <c r="AS44" s="5"/>
      <c r="AT44" s="5"/>
      <c r="BC44" s="5"/>
      <c r="BD44" s="5"/>
    </row>
    <row r="45" spans="1:56" x14ac:dyDescent="0.2">
      <c r="A45" s="13">
        <v>44253.071944444448</v>
      </c>
      <c r="B45">
        <v>27978</v>
      </c>
      <c r="C45">
        <v>45</v>
      </c>
      <c r="D45" t="s">
        <v>130</v>
      </c>
      <c r="F45">
        <v>0.26</v>
      </c>
      <c r="G45">
        <v>5</v>
      </c>
      <c r="H45">
        <v>347.1</v>
      </c>
      <c r="I45">
        <v>57</v>
      </c>
      <c r="J45">
        <v>2.2999999999999998</v>
      </c>
      <c r="K45">
        <v>2.9</v>
      </c>
      <c r="L45">
        <v>4</v>
      </c>
      <c r="M45">
        <v>4888</v>
      </c>
      <c r="N45">
        <v>5743</v>
      </c>
      <c r="O45">
        <v>7101</v>
      </c>
      <c r="P45">
        <v>128.04499999999999</v>
      </c>
      <c r="Q45">
        <v>126.01600000000001</v>
      </c>
      <c r="R45">
        <v>1.48</v>
      </c>
      <c r="S45">
        <v>0.55000000000000004</v>
      </c>
      <c r="U45">
        <v>1.073709</v>
      </c>
      <c r="V45">
        <v>-29.21</v>
      </c>
      <c r="W45" s="1"/>
      <c r="X45" s="5">
        <f t="shared" si="0"/>
        <v>-48.917762260265533</v>
      </c>
      <c r="Y45" s="11">
        <f t="shared" si="1"/>
        <v>0.85052766719036299</v>
      </c>
      <c r="Z45" s="11">
        <f t="shared" si="2"/>
        <v>-29.477694683300115</v>
      </c>
      <c r="AP45" s="5"/>
      <c r="AQ45" s="5"/>
      <c r="AR45" s="5"/>
      <c r="AS45" s="5"/>
      <c r="AT45" s="5"/>
      <c r="BC45" s="5"/>
      <c r="BD45" s="5"/>
    </row>
    <row r="46" spans="1:56" x14ac:dyDescent="0.2">
      <c r="A46" s="13">
        <v>44253.079270833332</v>
      </c>
      <c r="B46">
        <v>27979</v>
      </c>
      <c r="C46">
        <v>46</v>
      </c>
      <c r="D46" t="s">
        <v>131</v>
      </c>
      <c r="F46">
        <v>0.27500000000000002</v>
      </c>
      <c r="G46">
        <v>5</v>
      </c>
      <c r="H46">
        <v>346.9</v>
      </c>
      <c r="I46">
        <v>57</v>
      </c>
      <c r="J46">
        <v>2.2000000000000002</v>
      </c>
      <c r="K46">
        <v>2.8</v>
      </c>
      <c r="L46">
        <v>3.8</v>
      </c>
      <c r="M46">
        <v>4830</v>
      </c>
      <c r="N46">
        <v>5692</v>
      </c>
      <c r="O46">
        <v>7018</v>
      </c>
      <c r="P46">
        <v>126.432</v>
      </c>
      <c r="Q46">
        <v>124.423</v>
      </c>
      <c r="R46">
        <v>1.4650000000000001</v>
      </c>
      <c r="S46">
        <v>0.54300000000000004</v>
      </c>
      <c r="U46">
        <v>1.07717</v>
      </c>
      <c r="V46">
        <v>-26.047000000000001</v>
      </c>
      <c r="W46" s="1"/>
      <c r="X46" s="5">
        <f t="shared" si="0"/>
        <v>-45.755466662376492</v>
      </c>
      <c r="Y46" s="11">
        <f t="shared" si="1"/>
        <v>0.84339116109754286</v>
      </c>
      <c r="Z46" s="11">
        <f t="shared" si="2"/>
        <v>-26.256957875770809</v>
      </c>
      <c r="AP46" s="5"/>
      <c r="AQ46" s="5"/>
      <c r="AR46" s="5"/>
      <c r="AS46" s="5"/>
      <c r="AT46" s="5"/>
      <c r="BC46" s="5"/>
      <c r="BD46" s="5"/>
    </row>
    <row r="47" spans="1:56" x14ac:dyDescent="0.2">
      <c r="A47" s="13">
        <v>44253.086608796293</v>
      </c>
      <c r="B47">
        <v>27980</v>
      </c>
      <c r="C47">
        <v>47</v>
      </c>
      <c r="D47" t="s">
        <v>132</v>
      </c>
      <c r="F47">
        <v>0.27700000000000002</v>
      </c>
      <c r="G47">
        <v>5</v>
      </c>
      <c r="H47">
        <v>347.1</v>
      </c>
      <c r="I47">
        <v>57</v>
      </c>
      <c r="J47">
        <v>2.2000000000000002</v>
      </c>
      <c r="K47">
        <v>2.8</v>
      </c>
      <c r="L47">
        <v>3.8</v>
      </c>
      <c r="M47">
        <v>4683</v>
      </c>
      <c r="N47">
        <v>5515</v>
      </c>
      <c r="O47">
        <v>6806</v>
      </c>
      <c r="P47">
        <v>122.563</v>
      </c>
      <c r="Q47">
        <v>120.617</v>
      </c>
      <c r="R47">
        <v>1.42</v>
      </c>
      <c r="S47">
        <v>0.52700000000000002</v>
      </c>
      <c r="U47">
        <v>1.0764590000000001</v>
      </c>
      <c r="V47">
        <v>-26.696000000000002</v>
      </c>
      <c r="W47" s="1"/>
      <c r="X47" s="5">
        <f t="shared" si="0"/>
        <v>-46.405171064487448</v>
      </c>
      <c r="Y47" s="11">
        <f t="shared" si="1"/>
        <v>0.82707915436856183</v>
      </c>
      <c r="Z47" s="11">
        <f t="shared" si="2"/>
        <v>-26.91866587806544</v>
      </c>
      <c r="AP47" s="5"/>
      <c r="AQ47" s="5"/>
      <c r="AR47" s="5"/>
      <c r="AS47" s="5"/>
      <c r="AT47" s="5"/>
      <c r="BC47" s="5"/>
      <c r="BD47" s="5"/>
    </row>
    <row r="48" spans="1:56" x14ac:dyDescent="0.2">
      <c r="A48" s="13">
        <v>44253.093935185185</v>
      </c>
      <c r="B48">
        <v>27981</v>
      </c>
      <c r="C48">
        <v>48</v>
      </c>
      <c r="D48" t="s">
        <v>133</v>
      </c>
      <c r="F48">
        <v>0.26800000000000002</v>
      </c>
      <c r="G48">
        <v>5</v>
      </c>
      <c r="H48">
        <v>346.9</v>
      </c>
      <c r="I48">
        <v>57</v>
      </c>
      <c r="J48">
        <v>2.1</v>
      </c>
      <c r="K48">
        <v>2.7</v>
      </c>
      <c r="L48">
        <v>3.8</v>
      </c>
      <c r="M48">
        <v>5334</v>
      </c>
      <c r="N48">
        <v>6259</v>
      </c>
      <c r="O48">
        <v>7747</v>
      </c>
      <c r="P48">
        <v>139.852</v>
      </c>
      <c r="Q48">
        <v>137.637</v>
      </c>
      <c r="R48">
        <v>1.6140000000000001</v>
      </c>
      <c r="S48">
        <v>0.6</v>
      </c>
      <c r="U48">
        <v>1.072071</v>
      </c>
      <c r="V48">
        <v>-30.707000000000001</v>
      </c>
      <c r="W48" s="1"/>
      <c r="X48" s="5">
        <f t="shared" si="0"/>
        <v>-50.416875466598398</v>
      </c>
      <c r="Y48" s="11">
        <f t="shared" si="1"/>
        <v>0.90150276645260874</v>
      </c>
      <c r="Z48" s="11">
        <f t="shared" si="2"/>
        <v>-31.004526764384764</v>
      </c>
      <c r="AP48" s="5"/>
      <c r="AQ48" s="5"/>
      <c r="AR48" s="5"/>
      <c r="AS48" s="5"/>
      <c r="AT48" s="5"/>
      <c r="BC48" s="5"/>
      <c r="BD48" s="5"/>
    </row>
    <row r="49" spans="1:56" x14ac:dyDescent="0.2">
      <c r="A49" s="13">
        <v>44253.101261574076</v>
      </c>
      <c r="B49">
        <v>27982</v>
      </c>
      <c r="C49">
        <v>49</v>
      </c>
      <c r="D49" t="s">
        <v>134</v>
      </c>
      <c r="F49">
        <v>0.25600000000000001</v>
      </c>
      <c r="G49">
        <v>5</v>
      </c>
      <c r="H49">
        <v>347.4</v>
      </c>
      <c r="I49">
        <v>57</v>
      </c>
      <c r="J49">
        <v>2.2000000000000002</v>
      </c>
      <c r="K49">
        <v>2.8</v>
      </c>
      <c r="L49">
        <v>3.9</v>
      </c>
      <c r="M49">
        <v>4047</v>
      </c>
      <c r="N49">
        <v>4763</v>
      </c>
      <c r="O49">
        <v>5885</v>
      </c>
      <c r="P49">
        <v>105.749</v>
      </c>
      <c r="Q49">
        <v>104.07</v>
      </c>
      <c r="R49">
        <v>1.224</v>
      </c>
      <c r="S49">
        <v>0.45400000000000001</v>
      </c>
      <c r="U49">
        <v>1.0755920000000001</v>
      </c>
      <c r="V49">
        <v>-27.489000000000001</v>
      </c>
      <c r="W49" s="1"/>
      <c r="X49" s="5">
        <f t="shared" si="0"/>
        <v>-47.19957986870935</v>
      </c>
      <c r="Y49" s="11">
        <f t="shared" si="1"/>
        <v>0.7526557507378584</v>
      </c>
      <c r="Z49" s="11">
        <f t="shared" si="2"/>
        <v>-27.727754116655547</v>
      </c>
      <c r="AP49" s="5"/>
      <c r="AQ49" s="5"/>
      <c r="AR49" s="5"/>
      <c r="AS49" s="5"/>
      <c r="AT49" s="5"/>
      <c r="BC49" s="5"/>
      <c r="BD49" s="5"/>
    </row>
    <row r="50" spans="1:56" x14ac:dyDescent="0.2">
      <c r="A50" s="13">
        <v>44253.108587962961</v>
      </c>
      <c r="B50">
        <v>27983</v>
      </c>
      <c r="C50">
        <v>50</v>
      </c>
      <c r="D50" t="s">
        <v>135</v>
      </c>
      <c r="F50">
        <v>0.24</v>
      </c>
      <c r="G50">
        <v>5</v>
      </c>
      <c r="H50">
        <v>346.7</v>
      </c>
      <c r="I50">
        <v>57</v>
      </c>
      <c r="J50">
        <v>2.2999999999999998</v>
      </c>
      <c r="K50">
        <v>2.8</v>
      </c>
      <c r="L50">
        <v>3.9</v>
      </c>
      <c r="M50">
        <v>4677</v>
      </c>
      <c r="N50">
        <v>5499</v>
      </c>
      <c r="O50">
        <v>6796</v>
      </c>
      <c r="P50">
        <v>121.76</v>
      </c>
      <c r="Q50">
        <v>119.82899999999999</v>
      </c>
      <c r="R50">
        <v>1.4079999999999999</v>
      </c>
      <c r="S50">
        <v>0.52300000000000002</v>
      </c>
      <c r="U50">
        <v>1.074648</v>
      </c>
      <c r="V50">
        <v>-28.352</v>
      </c>
      <c r="W50" s="1"/>
      <c r="X50" s="5">
        <f t="shared" si="0"/>
        <v>-48.063284270820304</v>
      </c>
      <c r="Y50" s="11">
        <f t="shared" si="1"/>
        <v>0.8230011542509601</v>
      </c>
      <c r="Z50" s="11">
        <f t="shared" si="2"/>
        <v>-28.607421362470859</v>
      </c>
      <c r="AP50" s="5"/>
      <c r="AQ50" s="5"/>
      <c r="AR50" s="5"/>
      <c r="AS50" s="5"/>
      <c r="AT50" s="5"/>
      <c r="BC50" s="5"/>
      <c r="BD50" s="5"/>
    </row>
    <row r="51" spans="1:56" x14ac:dyDescent="0.2">
      <c r="A51" s="13">
        <v>44253.115925925929</v>
      </c>
      <c r="B51">
        <v>27984</v>
      </c>
      <c r="C51">
        <v>51</v>
      </c>
      <c r="D51" t="s">
        <v>102</v>
      </c>
      <c r="G51">
        <v>5</v>
      </c>
      <c r="H51">
        <v>328.1</v>
      </c>
      <c r="I51">
        <v>89</v>
      </c>
      <c r="J51">
        <v>1.5</v>
      </c>
      <c r="K51">
        <v>1.9</v>
      </c>
      <c r="L51">
        <v>2.8</v>
      </c>
      <c r="M51">
        <v>3122</v>
      </c>
      <c r="N51">
        <v>3667</v>
      </c>
      <c r="O51">
        <v>4509</v>
      </c>
      <c r="P51">
        <v>57.734000000000002</v>
      </c>
      <c r="Q51">
        <v>56.820999999999998</v>
      </c>
      <c r="R51">
        <v>0.66600000000000004</v>
      </c>
      <c r="S51">
        <v>0.247</v>
      </c>
      <c r="U51">
        <v>1.072208</v>
      </c>
      <c r="V51">
        <v>-30.582000000000001</v>
      </c>
      <c r="W51" s="1"/>
      <c r="X51" s="5">
        <f t="shared" si="0"/>
        <v>-50.293988672931263</v>
      </c>
      <c r="Y51" s="11">
        <f t="shared" si="1"/>
        <v>0.5416206576028344</v>
      </c>
      <c r="Z51" s="11">
        <f t="shared" si="2"/>
        <v>-30.879367425053829</v>
      </c>
      <c r="AP51" s="5"/>
      <c r="AQ51" s="5"/>
      <c r="AR51" s="5"/>
      <c r="AS51" s="5"/>
      <c r="AT51" s="5"/>
      <c r="BC51" s="5"/>
      <c r="BD51" s="5"/>
    </row>
    <row r="52" spans="1:56" x14ac:dyDescent="0.2">
      <c r="A52" s="13">
        <v>44253.123252314814</v>
      </c>
      <c r="B52">
        <v>27985</v>
      </c>
      <c r="C52">
        <v>52</v>
      </c>
      <c r="D52" t="s">
        <v>11</v>
      </c>
      <c r="G52">
        <v>5</v>
      </c>
      <c r="H52">
        <v>347.8</v>
      </c>
      <c r="I52">
        <v>50</v>
      </c>
      <c r="J52">
        <v>2.4</v>
      </c>
      <c r="K52">
        <v>3</v>
      </c>
      <c r="L52">
        <v>4.2</v>
      </c>
      <c r="M52">
        <v>4485</v>
      </c>
      <c r="N52">
        <v>5209</v>
      </c>
      <c r="O52">
        <v>6535</v>
      </c>
      <c r="P52">
        <v>114.1</v>
      </c>
      <c r="Q52">
        <v>112.30500000000001</v>
      </c>
      <c r="R52">
        <v>1.304</v>
      </c>
      <c r="S52">
        <v>0.49199999999999999</v>
      </c>
      <c r="U52">
        <v>1.0605880000000001</v>
      </c>
      <c r="V52">
        <v>-41.201000000000001</v>
      </c>
      <c r="W52" s="1"/>
      <c r="X52" s="5">
        <f t="shared" si="0"/>
        <v>-60.913693075042218</v>
      </c>
      <c r="Y52" s="11">
        <f t="shared" si="1"/>
        <v>0.79139667456036022</v>
      </c>
      <c r="Z52" s="11">
        <f t="shared" si="2"/>
        <v>-41.695690490889774</v>
      </c>
      <c r="AP52" s="5"/>
      <c r="AQ52" s="5"/>
      <c r="AR52" s="5"/>
      <c r="AS52" s="5"/>
      <c r="AT52" s="5"/>
      <c r="BC52" s="5"/>
      <c r="BD52" s="5"/>
    </row>
    <row r="53" spans="1:56" x14ac:dyDescent="0.2">
      <c r="A53" s="13">
        <v>44253.130590277775</v>
      </c>
      <c r="B53">
        <v>27986</v>
      </c>
      <c r="C53">
        <v>53</v>
      </c>
      <c r="D53" t="s">
        <v>13</v>
      </c>
      <c r="G53">
        <v>4</v>
      </c>
      <c r="H53">
        <v>347.6</v>
      </c>
      <c r="I53">
        <v>78</v>
      </c>
      <c r="J53">
        <v>2.2000000000000002</v>
      </c>
      <c r="K53">
        <v>2.8</v>
      </c>
      <c r="L53">
        <v>3.7</v>
      </c>
      <c r="M53">
        <v>3718</v>
      </c>
      <c r="N53">
        <v>4444</v>
      </c>
      <c r="O53">
        <v>5400</v>
      </c>
      <c r="P53">
        <v>100.502</v>
      </c>
      <c r="Q53">
        <v>98.888999999999996</v>
      </c>
      <c r="R53">
        <v>1.181</v>
      </c>
      <c r="S53">
        <v>0.43099999999999999</v>
      </c>
      <c r="U53">
        <v>1.0932029999999999</v>
      </c>
      <c r="V53">
        <v>-11.39</v>
      </c>
      <c r="W53" s="1"/>
      <c r="X53" s="5">
        <f t="shared" si="0"/>
        <v>-31.10339747715317</v>
      </c>
      <c r="Y53" s="11">
        <f t="shared" si="1"/>
        <v>0.72920732428588053</v>
      </c>
      <c r="Z53" s="11">
        <f t="shared" si="2"/>
        <v>-11.334644138071326</v>
      </c>
      <c r="AP53" s="5"/>
      <c r="AQ53" s="5"/>
      <c r="AR53" s="5"/>
      <c r="AS53" s="5"/>
      <c r="AT53" s="5"/>
      <c r="BC53" s="5"/>
      <c r="BD53" s="5"/>
    </row>
    <row r="54" spans="1:56" x14ac:dyDescent="0.2">
      <c r="A54" s="13">
        <v>44253.137916666667</v>
      </c>
      <c r="B54">
        <v>27987</v>
      </c>
      <c r="C54">
        <v>54</v>
      </c>
      <c r="D54" t="s">
        <v>14</v>
      </c>
      <c r="E54" t="s">
        <v>57</v>
      </c>
      <c r="G54">
        <v>5</v>
      </c>
      <c r="H54">
        <v>347.6</v>
      </c>
      <c r="I54">
        <v>78</v>
      </c>
      <c r="J54">
        <v>2.1</v>
      </c>
      <c r="K54">
        <v>2.7</v>
      </c>
      <c r="L54">
        <v>3.7</v>
      </c>
      <c r="M54">
        <v>3774</v>
      </c>
      <c r="N54">
        <v>4436</v>
      </c>
      <c r="O54">
        <v>5475</v>
      </c>
      <c r="P54">
        <v>102.105</v>
      </c>
      <c r="Q54">
        <v>100.48699999999999</v>
      </c>
      <c r="R54">
        <v>1.18</v>
      </c>
      <c r="S54">
        <v>0.438</v>
      </c>
      <c r="U54">
        <v>1.07395</v>
      </c>
      <c r="V54">
        <v>-28.99</v>
      </c>
      <c r="W54" s="1"/>
      <c r="X54" s="5">
        <f t="shared" si="0"/>
        <v>-48.704101879264115</v>
      </c>
      <c r="Y54" s="11">
        <f t="shared" si="1"/>
        <v>0.73634379971110775</v>
      </c>
      <c r="Z54" s="11">
        <f t="shared" si="2"/>
        <v>-29.26008443311332</v>
      </c>
      <c r="AP54" s="5"/>
      <c r="AQ54" s="5"/>
      <c r="AR54" s="5"/>
      <c r="AS54" s="5"/>
      <c r="AT54" s="5"/>
      <c r="BC54" s="5"/>
      <c r="BD54" s="5"/>
    </row>
    <row r="55" spans="1:56" x14ac:dyDescent="0.2">
      <c r="A55" s="13">
        <v>44253.145266203705</v>
      </c>
      <c r="B55">
        <v>27988</v>
      </c>
      <c r="C55">
        <v>55</v>
      </c>
      <c r="D55" t="s">
        <v>12</v>
      </c>
      <c r="G55">
        <v>5</v>
      </c>
      <c r="H55">
        <v>326</v>
      </c>
      <c r="I55">
        <v>89</v>
      </c>
      <c r="J55">
        <v>1.3</v>
      </c>
      <c r="K55">
        <v>1.7</v>
      </c>
      <c r="L55">
        <v>2.5</v>
      </c>
      <c r="M55">
        <v>3823</v>
      </c>
      <c r="N55">
        <v>4487</v>
      </c>
      <c r="O55">
        <v>5510</v>
      </c>
      <c r="P55">
        <v>70.921999999999997</v>
      </c>
      <c r="Q55">
        <v>69.802000000000007</v>
      </c>
      <c r="R55">
        <v>0.81699999999999995</v>
      </c>
      <c r="S55">
        <v>0.30199999999999999</v>
      </c>
      <c r="U55">
        <v>1.070837</v>
      </c>
      <c r="V55">
        <v>-31.834</v>
      </c>
      <c r="W55" s="1"/>
      <c r="X55" s="5">
        <f t="shared" si="0"/>
        <v>-51.548806281375079</v>
      </c>
      <c r="Y55" s="11">
        <f t="shared" si="1"/>
        <v>0.59769262029158199</v>
      </c>
      <c r="Z55" s="11">
        <f t="shared" si="2"/>
        <v>-32.157393288312164</v>
      </c>
      <c r="AP55" s="5"/>
      <c r="AQ55" s="5"/>
      <c r="AR55" s="5"/>
      <c r="AS55" s="5"/>
      <c r="AT55" s="5"/>
      <c r="BC55" s="5"/>
      <c r="BD55" s="5"/>
    </row>
    <row r="56" spans="1:56" x14ac:dyDescent="0.2">
      <c r="A56" s="13">
        <v>44253.152592592596</v>
      </c>
      <c r="B56">
        <v>27989</v>
      </c>
      <c r="C56">
        <v>56</v>
      </c>
      <c r="D56" t="s">
        <v>12</v>
      </c>
      <c r="G56">
        <v>5</v>
      </c>
      <c r="H56">
        <v>325.8</v>
      </c>
      <c r="I56">
        <v>89</v>
      </c>
      <c r="J56">
        <v>1.3</v>
      </c>
      <c r="K56">
        <v>1.7</v>
      </c>
      <c r="L56">
        <v>2.5</v>
      </c>
      <c r="M56">
        <v>4160</v>
      </c>
      <c r="N56">
        <v>4881</v>
      </c>
      <c r="O56">
        <v>5992</v>
      </c>
      <c r="P56">
        <v>77.578999999999994</v>
      </c>
      <c r="Q56">
        <v>76.353999999999999</v>
      </c>
      <c r="R56">
        <v>0.89400000000000002</v>
      </c>
      <c r="S56">
        <v>0.33100000000000002</v>
      </c>
      <c r="U56">
        <v>1.0708150000000001</v>
      </c>
      <c r="V56">
        <v>-31.855</v>
      </c>
      <c r="W56" s="1"/>
      <c r="X56" s="5">
        <f t="shared" si="0"/>
        <v>-51.570510683486035</v>
      </c>
      <c r="Y56" s="11">
        <f t="shared" si="1"/>
        <v>0.62725788462569199</v>
      </c>
      <c r="Z56" s="11">
        <f t="shared" si="2"/>
        <v>-32.179499177093589</v>
      </c>
      <c r="AP56" s="5"/>
      <c r="AQ56" s="5"/>
      <c r="AR56" s="5"/>
      <c r="AS56" s="5"/>
      <c r="AT56" s="5"/>
      <c r="BC56" s="5"/>
      <c r="BD56" s="5"/>
    </row>
    <row r="57" spans="1:56" x14ac:dyDescent="0.2">
      <c r="A57" s="13"/>
      <c r="W57" s="1"/>
      <c r="X57" s="5" t="str">
        <f t="shared" si="0"/>
        <v/>
      </c>
      <c r="Y57" s="11" t="str">
        <f t="shared" si="1"/>
        <v/>
      </c>
      <c r="Z57" s="11" t="str">
        <f t="shared" si="2"/>
        <v/>
      </c>
      <c r="AP57" s="5"/>
      <c r="AQ57" s="5"/>
      <c r="AR57" s="5"/>
      <c r="AS57" s="5"/>
      <c r="AT57" s="5"/>
      <c r="BC57" s="5"/>
      <c r="BD57" s="5"/>
    </row>
    <row r="58" spans="1:56" x14ac:dyDescent="0.2">
      <c r="A58" s="13"/>
      <c r="W58" s="1"/>
      <c r="X58" s="5" t="str">
        <f t="shared" si="0"/>
        <v/>
      </c>
      <c r="Y58" s="11" t="str">
        <f t="shared" si="1"/>
        <v/>
      </c>
      <c r="Z58" s="11" t="str">
        <f t="shared" si="2"/>
        <v/>
      </c>
      <c r="AP58" s="5"/>
      <c r="AQ58" s="5"/>
      <c r="AR58" s="5"/>
      <c r="AS58" s="5"/>
      <c r="AT58" s="5"/>
      <c r="BC58" s="5"/>
      <c r="BD58" s="5"/>
    </row>
    <row r="59" spans="1:56" x14ac:dyDescent="0.2">
      <c r="A59" s="13"/>
      <c r="W59" s="1"/>
      <c r="X59" s="5" t="str">
        <f t="shared" si="0"/>
        <v/>
      </c>
      <c r="Y59" s="11" t="str">
        <f t="shared" si="1"/>
        <v/>
      </c>
      <c r="Z59" s="11" t="str">
        <f t="shared" si="2"/>
        <v/>
      </c>
      <c r="AP59" s="5"/>
      <c r="AQ59" s="5"/>
      <c r="AR59" s="5"/>
      <c r="AS59" s="5"/>
      <c r="AT59" s="5"/>
      <c r="BC59" s="5"/>
      <c r="BD59" s="5"/>
    </row>
    <row r="60" spans="1:56" x14ac:dyDescent="0.2">
      <c r="A60" s="13"/>
      <c r="W60" s="1"/>
      <c r="X60" s="5" t="str">
        <f t="shared" si="0"/>
        <v/>
      </c>
      <c r="Y60" s="11" t="str">
        <f t="shared" si="1"/>
        <v/>
      </c>
      <c r="Z60" s="11" t="str">
        <f t="shared" si="2"/>
        <v/>
      </c>
      <c r="AP60" s="5"/>
      <c r="AQ60" s="5"/>
      <c r="AR60" s="5"/>
      <c r="AS60" s="5"/>
      <c r="AT60" s="5"/>
      <c r="BC60" s="5"/>
      <c r="BD60" s="5"/>
    </row>
    <row r="61" spans="1:56" x14ac:dyDescent="0.2">
      <c r="A61" s="13"/>
      <c r="W61" s="1"/>
      <c r="X61" s="5" t="str">
        <f t="shared" si="0"/>
        <v/>
      </c>
      <c r="Y61" s="11" t="str">
        <f t="shared" si="1"/>
        <v/>
      </c>
      <c r="Z61" s="11" t="str">
        <f t="shared" si="2"/>
        <v/>
      </c>
      <c r="AP61" s="5"/>
      <c r="AQ61" s="5"/>
      <c r="AR61" s="5"/>
      <c r="AS61" s="5"/>
      <c r="AT61" s="5"/>
      <c r="BC61" s="5"/>
      <c r="BD61" s="5"/>
    </row>
    <row r="62" spans="1:56" x14ac:dyDescent="0.2">
      <c r="A62" s="13"/>
      <c r="W62" s="1"/>
      <c r="X62" s="5" t="str">
        <f t="shared" si="0"/>
        <v/>
      </c>
      <c r="Y62" s="11" t="str">
        <f t="shared" si="1"/>
        <v/>
      </c>
      <c r="Z62" s="11" t="str">
        <f t="shared" si="2"/>
        <v/>
      </c>
      <c r="AP62" s="5"/>
      <c r="AQ62" s="5"/>
      <c r="AR62" s="5"/>
      <c r="AS62" s="5"/>
      <c r="AT62" s="5"/>
      <c r="BC62" s="5"/>
      <c r="BD62" s="5"/>
    </row>
    <row r="63" spans="1:56" x14ac:dyDescent="0.2">
      <c r="A63" s="13"/>
      <c r="W63" s="1"/>
      <c r="X63" s="5" t="str">
        <f t="shared" si="0"/>
        <v/>
      </c>
      <c r="Y63" s="11" t="str">
        <f t="shared" si="1"/>
        <v/>
      </c>
      <c r="Z63" s="11" t="str">
        <f t="shared" si="2"/>
        <v/>
      </c>
      <c r="AP63" s="5"/>
      <c r="AQ63" s="5"/>
      <c r="AR63" s="5"/>
      <c r="AS63" s="5"/>
      <c r="AT63" s="5"/>
      <c r="BC63" s="5"/>
      <c r="BD63" s="5"/>
    </row>
    <row r="64" spans="1:56" x14ac:dyDescent="0.2">
      <c r="A64" s="13"/>
      <c r="W64" s="1"/>
      <c r="X64" s="5" t="str">
        <f t="shared" si="0"/>
        <v/>
      </c>
      <c r="Y64" s="11" t="str">
        <f t="shared" si="1"/>
        <v/>
      </c>
      <c r="Z64" s="11" t="str">
        <f t="shared" si="2"/>
        <v/>
      </c>
      <c r="AP64" s="5"/>
      <c r="AQ64" s="5"/>
      <c r="AR64" s="5"/>
      <c r="AS64" s="5"/>
      <c r="AT64" s="5"/>
      <c r="BC64" s="5"/>
      <c r="BD64" s="5"/>
    </row>
    <row r="65" spans="1:56" x14ac:dyDescent="0.2">
      <c r="A65" s="13"/>
      <c r="W65" s="1"/>
      <c r="X65" s="5" t="str">
        <f t="shared" si="0"/>
        <v/>
      </c>
      <c r="Y65" s="11" t="str">
        <f t="shared" si="1"/>
        <v/>
      </c>
      <c r="Z65" s="11" t="str">
        <f t="shared" si="2"/>
        <v/>
      </c>
      <c r="AP65" s="5"/>
      <c r="AQ65" s="5"/>
      <c r="AR65" s="5"/>
      <c r="AS65" s="5"/>
      <c r="AT65" s="5"/>
      <c r="BC65" s="5"/>
      <c r="BD65" s="5"/>
    </row>
    <row r="66" spans="1:56" x14ac:dyDescent="0.2">
      <c r="A66" s="13"/>
      <c r="W66" s="1"/>
      <c r="X66" s="5" t="str">
        <f t="shared" si="0"/>
        <v/>
      </c>
      <c r="Y66" s="11" t="str">
        <f t="shared" si="1"/>
        <v/>
      </c>
      <c r="Z66" s="11" t="str">
        <f t="shared" si="2"/>
        <v/>
      </c>
      <c r="AP66" s="5"/>
      <c r="AQ66" s="5"/>
      <c r="AR66" s="5"/>
      <c r="AS66" s="5"/>
      <c r="AT66" s="5"/>
      <c r="BC66" s="5"/>
      <c r="BD66" s="5"/>
    </row>
    <row r="67" spans="1:56" x14ac:dyDescent="0.2">
      <c r="A67" s="13"/>
      <c r="W67" s="1"/>
      <c r="X67" s="5" t="str">
        <f t="shared" ref="X67:X130" si="14">IF(ISNUMBER(V67),V67-B67*$AB$3,"")</f>
        <v/>
      </c>
      <c r="Y67" s="11" t="str">
        <f t="shared" ref="Y67:Y130" si="15">IF(ISNUMBER(S67),(S67+1000)/((S67*$AU$1+$AV$1)/1000+1)-1000,"")</f>
        <v/>
      </c>
      <c r="Z67" s="11" t="str">
        <f t="shared" ref="Z67:Z130" si="16">IF(ISNUMBER(X67),(X67+1000)/((X67*$AU$2+$AV$2)/1000+1)-1000,"")</f>
        <v/>
      </c>
      <c r="AP67" s="5"/>
      <c r="AQ67" s="5"/>
      <c r="AR67" s="5"/>
      <c r="AS67" s="5"/>
      <c r="AT67" s="5"/>
      <c r="BC67" s="5"/>
      <c r="BD67" s="5"/>
    </row>
    <row r="68" spans="1:56" x14ac:dyDescent="0.2">
      <c r="A68" s="13"/>
      <c r="W68" s="1"/>
      <c r="X68" s="5" t="str">
        <f t="shared" si="14"/>
        <v/>
      </c>
      <c r="Y68" s="11" t="str">
        <f t="shared" si="15"/>
        <v/>
      </c>
      <c r="Z68" s="11" t="str">
        <f t="shared" si="16"/>
        <v/>
      </c>
      <c r="AP68" s="5"/>
      <c r="AQ68" s="5"/>
      <c r="AR68" s="5"/>
      <c r="AS68" s="5"/>
      <c r="AT68" s="5"/>
      <c r="BC68" s="5"/>
      <c r="BD68" s="5"/>
    </row>
    <row r="69" spans="1:56" x14ac:dyDescent="0.2">
      <c r="A69" s="13"/>
      <c r="W69" s="1"/>
      <c r="X69" s="5" t="str">
        <f t="shared" si="14"/>
        <v/>
      </c>
      <c r="Y69" s="11" t="str">
        <f t="shared" si="15"/>
        <v/>
      </c>
      <c r="Z69" s="11" t="str">
        <f t="shared" si="16"/>
        <v/>
      </c>
      <c r="AP69" s="5"/>
      <c r="AQ69" s="5"/>
      <c r="AR69" s="5"/>
      <c r="AS69" s="5"/>
      <c r="AT69" s="5"/>
      <c r="BC69" s="5"/>
      <c r="BD69" s="5"/>
    </row>
    <row r="70" spans="1:56" x14ac:dyDescent="0.2">
      <c r="A70" s="13"/>
      <c r="W70" s="1"/>
      <c r="X70" s="5" t="str">
        <f t="shared" si="14"/>
        <v/>
      </c>
      <c r="Y70" s="11" t="str">
        <f t="shared" si="15"/>
        <v/>
      </c>
      <c r="Z70" s="11" t="str">
        <f t="shared" si="16"/>
        <v/>
      </c>
      <c r="AP70" s="5"/>
      <c r="AQ70" s="5"/>
      <c r="AR70" s="5"/>
      <c r="AS70" s="5"/>
      <c r="AT70" s="5"/>
      <c r="BC70" s="5"/>
      <c r="BD70" s="5"/>
    </row>
    <row r="71" spans="1:56" x14ac:dyDescent="0.2">
      <c r="A71" s="13"/>
      <c r="W71" s="1"/>
      <c r="X71" s="5" t="str">
        <f t="shared" si="14"/>
        <v/>
      </c>
      <c r="Y71" s="11" t="str">
        <f t="shared" si="15"/>
        <v/>
      </c>
      <c r="Z71" s="11" t="str">
        <f t="shared" si="16"/>
        <v/>
      </c>
      <c r="AP71" s="5"/>
      <c r="AQ71" s="5"/>
      <c r="AR71" s="5"/>
      <c r="AS71" s="5"/>
      <c r="AT71" s="5"/>
      <c r="BC71" s="5"/>
      <c r="BD71" s="5"/>
    </row>
    <row r="72" spans="1:56" x14ac:dyDescent="0.2">
      <c r="A72" s="13"/>
      <c r="W72" s="1"/>
      <c r="X72" s="5" t="str">
        <f t="shared" si="14"/>
        <v/>
      </c>
      <c r="Y72" s="11" t="str">
        <f t="shared" si="15"/>
        <v/>
      </c>
      <c r="Z72" s="11" t="str">
        <f t="shared" si="16"/>
        <v/>
      </c>
      <c r="AP72" s="5"/>
      <c r="AQ72" s="5"/>
      <c r="AR72" s="5"/>
      <c r="AS72" s="5"/>
      <c r="AT72" s="5"/>
      <c r="BC72" s="5"/>
      <c r="BD72" s="5"/>
    </row>
    <row r="73" spans="1:56" x14ac:dyDescent="0.2">
      <c r="A73" s="13"/>
      <c r="W73" s="1"/>
      <c r="X73" s="5" t="str">
        <f t="shared" si="14"/>
        <v/>
      </c>
      <c r="Y73" s="11" t="str">
        <f t="shared" si="15"/>
        <v/>
      </c>
      <c r="Z73" s="11" t="str">
        <f t="shared" si="16"/>
        <v/>
      </c>
      <c r="AP73" s="5"/>
      <c r="AQ73" s="5"/>
      <c r="AR73" s="5"/>
      <c r="AS73" s="5"/>
      <c r="AT73" s="5"/>
      <c r="BC73" s="5"/>
      <c r="BD73" s="5"/>
    </row>
    <row r="74" spans="1:56" x14ac:dyDescent="0.2">
      <c r="A74" s="13"/>
      <c r="W74" s="1"/>
      <c r="X74" s="5" t="str">
        <f t="shared" si="14"/>
        <v/>
      </c>
      <c r="Y74" s="11" t="str">
        <f t="shared" si="15"/>
        <v/>
      </c>
      <c r="Z74" s="11" t="str">
        <f t="shared" si="16"/>
        <v/>
      </c>
      <c r="AP74" s="5"/>
      <c r="AQ74" s="5"/>
      <c r="AR74" s="5"/>
      <c r="AS74" s="5"/>
      <c r="AT74" s="5"/>
      <c r="BC74" s="5"/>
      <c r="BD74" s="5"/>
    </row>
    <row r="75" spans="1:56" x14ac:dyDescent="0.2">
      <c r="A75" s="13"/>
      <c r="W75" s="1"/>
      <c r="X75" s="5" t="str">
        <f t="shared" si="14"/>
        <v/>
      </c>
      <c r="Y75" s="11" t="str">
        <f t="shared" si="15"/>
        <v/>
      </c>
      <c r="Z75" s="11" t="str">
        <f t="shared" si="16"/>
        <v/>
      </c>
      <c r="AP75" s="5"/>
      <c r="AQ75" s="5"/>
      <c r="AR75" s="5"/>
      <c r="AS75" s="5"/>
      <c r="AT75" s="5"/>
      <c r="BC75" s="5"/>
      <c r="BD75" s="5"/>
    </row>
    <row r="76" spans="1:56" x14ac:dyDescent="0.2">
      <c r="A76" s="13"/>
      <c r="W76" s="1"/>
      <c r="X76" s="5" t="str">
        <f t="shared" si="14"/>
        <v/>
      </c>
      <c r="Y76" s="11" t="str">
        <f t="shared" si="15"/>
        <v/>
      </c>
      <c r="Z76" s="11" t="str">
        <f t="shared" si="16"/>
        <v/>
      </c>
      <c r="AP76" s="5"/>
      <c r="AQ76" s="5"/>
      <c r="AR76" s="5"/>
      <c r="AS76" s="5"/>
      <c r="AT76" s="5"/>
      <c r="BC76" s="5"/>
      <c r="BD76" s="5"/>
    </row>
    <row r="77" spans="1:56" x14ac:dyDescent="0.2">
      <c r="A77" s="13"/>
      <c r="W77" s="1"/>
      <c r="X77" s="5" t="str">
        <f t="shared" si="14"/>
        <v/>
      </c>
      <c r="Y77" s="11" t="str">
        <f t="shared" si="15"/>
        <v/>
      </c>
      <c r="Z77" s="11" t="str">
        <f t="shared" si="16"/>
        <v/>
      </c>
      <c r="AP77" s="5"/>
      <c r="AQ77" s="5"/>
      <c r="AR77" s="5"/>
      <c r="AS77" s="5"/>
      <c r="AT77" s="5"/>
      <c r="BC77" s="5"/>
      <c r="BD77" s="5"/>
    </row>
    <row r="78" spans="1:56" x14ac:dyDescent="0.2">
      <c r="A78" s="13"/>
      <c r="W78" s="1"/>
      <c r="X78" s="5" t="str">
        <f t="shared" si="14"/>
        <v/>
      </c>
      <c r="Y78" s="11" t="str">
        <f t="shared" si="15"/>
        <v/>
      </c>
      <c r="Z78" s="11" t="str">
        <f t="shared" si="16"/>
        <v/>
      </c>
      <c r="AP78" s="5"/>
      <c r="AQ78" s="5"/>
      <c r="AR78" s="5"/>
      <c r="AS78" s="5"/>
      <c r="AT78" s="5"/>
      <c r="BC78" s="5"/>
      <c r="BD78" s="5"/>
    </row>
    <row r="79" spans="1:56" x14ac:dyDescent="0.2">
      <c r="A79" s="13"/>
      <c r="W79" s="1"/>
      <c r="X79" s="5" t="str">
        <f t="shared" si="14"/>
        <v/>
      </c>
      <c r="Y79" s="11" t="str">
        <f t="shared" si="15"/>
        <v/>
      </c>
      <c r="Z79" s="11" t="str">
        <f t="shared" si="16"/>
        <v/>
      </c>
      <c r="AP79" s="5"/>
      <c r="AQ79" s="5"/>
      <c r="AR79" s="5"/>
      <c r="AS79" s="5"/>
      <c r="AT79" s="5"/>
      <c r="BC79" s="5"/>
      <c r="BD79" s="5"/>
    </row>
    <row r="80" spans="1:56" x14ac:dyDescent="0.2">
      <c r="A80" s="13"/>
      <c r="W80" s="1"/>
      <c r="X80" s="5" t="str">
        <f t="shared" si="14"/>
        <v/>
      </c>
      <c r="Y80" s="11" t="str">
        <f t="shared" si="15"/>
        <v/>
      </c>
      <c r="Z80" s="11" t="str">
        <f t="shared" si="16"/>
        <v/>
      </c>
      <c r="AP80" s="5"/>
      <c r="AQ80" s="5"/>
      <c r="AR80" s="5"/>
      <c r="AS80" s="5"/>
      <c r="AT80" s="5"/>
      <c r="BC80" s="5"/>
      <c r="BD80" s="5"/>
    </row>
    <row r="81" spans="1:56" x14ac:dyDescent="0.2">
      <c r="A81" s="13"/>
      <c r="W81" s="1"/>
      <c r="X81" s="5" t="str">
        <f t="shared" si="14"/>
        <v/>
      </c>
      <c r="Y81" s="11" t="str">
        <f t="shared" si="15"/>
        <v/>
      </c>
      <c r="Z81" s="11" t="str">
        <f t="shared" si="16"/>
        <v/>
      </c>
      <c r="AP81" s="5"/>
      <c r="AQ81" s="5"/>
      <c r="AR81" s="5"/>
      <c r="AS81" s="5"/>
      <c r="AT81" s="5"/>
      <c r="BC81" s="5"/>
      <c r="BD81" s="5"/>
    </row>
    <row r="82" spans="1:56" x14ac:dyDescent="0.2">
      <c r="A82" s="13"/>
      <c r="W82" s="1"/>
      <c r="X82" s="5" t="str">
        <f t="shared" si="14"/>
        <v/>
      </c>
      <c r="Y82" s="11" t="str">
        <f t="shared" si="15"/>
        <v/>
      </c>
      <c r="Z82" s="11" t="str">
        <f t="shared" si="16"/>
        <v/>
      </c>
      <c r="AP82" s="5"/>
      <c r="AQ82" s="5"/>
      <c r="AR82" s="5"/>
      <c r="AS82" s="5"/>
      <c r="AT82" s="5"/>
      <c r="BC82" s="5"/>
      <c r="BD82" s="5"/>
    </row>
    <row r="83" spans="1:56" x14ac:dyDescent="0.2">
      <c r="A83" s="13"/>
      <c r="W83" s="1"/>
      <c r="X83" s="5" t="str">
        <f t="shared" si="14"/>
        <v/>
      </c>
      <c r="Y83" s="11" t="str">
        <f t="shared" si="15"/>
        <v/>
      </c>
      <c r="Z83" s="11" t="str">
        <f t="shared" si="16"/>
        <v/>
      </c>
      <c r="AP83" s="5"/>
      <c r="AQ83" s="5"/>
      <c r="AR83" s="5"/>
      <c r="AS83" s="5"/>
      <c r="AT83" s="5"/>
      <c r="BC83" s="5"/>
      <c r="BD83" s="5"/>
    </row>
    <row r="84" spans="1:56" x14ac:dyDescent="0.2">
      <c r="A84" s="13"/>
      <c r="W84" s="1"/>
      <c r="X84" s="5" t="str">
        <f t="shared" si="14"/>
        <v/>
      </c>
      <c r="Y84" s="11" t="str">
        <f t="shared" si="15"/>
        <v/>
      </c>
      <c r="Z84" s="11" t="str">
        <f t="shared" si="16"/>
        <v/>
      </c>
      <c r="AP84" s="5"/>
      <c r="AQ84" s="5"/>
      <c r="AR84" s="5"/>
      <c r="AS84" s="5"/>
      <c r="AT84" s="5"/>
      <c r="BC84" s="5"/>
      <c r="BD84" s="5"/>
    </row>
    <row r="85" spans="1:56" x14ac:dyDescent="0.2">
      <c r="A85" s="13"/>
      <c r="W85" s="1"/>
      <c r="X85" s="5" t="str">
        <f t="shared" si="14"/>
        <v/>
      </c>
      <c r="Y85" s="11" t="str">
        <f t="shared" si="15"/>
        <v/>
      </c>
      <c r="Z85" s="11" t="str">
        <f t="shared" si="16"/>
        <v/>
      </c>
      <c r="AP85" s="5"/>
      <c r="AQ85" s="5"/>
      <c r="AR85" s="5"/>
      <c r="AS85" s="5"/>
      <c r="AT85" s="5"/>
      <c r="BC85" s="5"/>
      <c r="BD85" s="5"/>
    </row>
    <row r="86" spans="1:56" x14ac:dyDescent="0.2">
      <c r="A86" s="13"/>
      <c r="W86" s="1"/>
      <c r="X86" s="5" t="str">
        <f t="shared" si="14"/>
        <v/>
      </c>
      <c r="Y86" s="11" t="str">
        <f t="shared" si="15"/>
        <v/>
      </c>
      <c r="Z86" s="11" t="str">
        <f t="shared" si="16"/>
        <v/>
      </c>
      <c r="AP86" s="5"/>
      <c r="AQ86" s="5"/>
      <c r="AR86" s="5"/>
      <c r="AS86" s="5"/>
      <c r="AT86" s="5"/>
      <c r="BC86" s="5"/>
      <c r="BD86" s="5"/>
    </row>
    <row r="87" spans="1:56" x14ac:dyDescent="0.2">
      <c r="A87" s="13"/>
      <c r="W87" s="1"/>
      <c r="X87" s="5" t="str">
        <f t="shared" si="14"/>
        <v/>
      </c>
      <c r="Y87" s="11" t="str">
        <f t="shared" si="15"/>
        <v/>
      </c>
      <c r="Z87" s="11" t="str">
        <f t="shared" si="16"/>
        <v/>
      </c>
      <c r="AP87" s="5"/>
      <c r="AQ87" s="5"/>
      <c r="AR87" s="5"/>
      <c r="AS87" s="5"/>
      <c r="AT87" s="5"/>
      <c r="BC87" s="5"/>
      <c r="BD87" s="5"/>
    </row>
    <row r="88" spans="1:56" x14ac:dyDescent="0.2">
      <c r="A88" s="13"/>
      <c r="W88" s="1"/>
      <c r="X88" s="5" t="str">
        <f t="shared" si="14"/>
        <v/>
      </c>
      <c r="Y88" s="11" t="str">
        <f t="shared" si="15"/>
        <v/>
      </c>
      <c r="Z88" s="11" t="str">
        <f t="shared" si="16"/>
        <v/>
      </c>
      <c r="AP88" s="5"/>
      <c r="AQ88" s="5"/>
      <c r="AR88" s="5"/>
      <c r="AS88" s="5"/>
      <c r="AT88" s="5"/>
      <c r="BC88" s="5"/>
      <c r="BD88" s="5"/>
    </row>
    <row r="89" spans="1:56" x14ac:dyDescent="0.2">
      <c r="A89" s="13"/>
      <c r="W89" s="1"/>
      <c r="X89" s="5" t="str">
        <f t="shared" si="14"/>
        <v/>
      </c>
      <c r="Y89" s="11" t="str">
        <f t="shared" si="15"/>
        <v/>
      </c>
      <c r="Z89" s="11" t="str">
        <f t="shared" si="16"/>
        <v/>
      </c>
      <c r="AP89" s="5"/>
      <c r="AQ89" s="5"/>
      <c r="AR89" s="5"/>
      <c r="AS89" s="5"/>
      <c r="AT89" s="5"/>
      <c r="BC89" s="5"/>
      <c r="BD89" s="5"/>
    </row>
    <row r="90" spans="1:56" x14ac:dyDescent="0.2">
      <c r="A90" s="13"/>
      <c r="W90" s="1"/>
      <c r="X90" s="5" t="str">
        <f t="shared" si="14"/>
        <v/>
      </c>
      <c r="Y90" s="11" t="str">
        <f t="shared" si="15"/>
        <v/>
      </c>
      <c r="Z90" s="11" t="str">
        <f t="shared" si="16"/>
        <v/>
      </c>
      <c r="AP90" s="5"/>
      <c r="AQ90" s="5"/>
      <c r="AR90" s="5"/>
      <c r="AS90" s="5"/>
      <c r="AT90" s="5"/>
      <c r="BC90" s="5"/>
      <c r="BD90" s="5"/>
    </row>
    <row r="91" spans="1:56" x14ac:dyDescent="0.2">
      <c r="A91" s="13"/>
      <c r="W91" s="1"/>
      <c r="X91" s="5" t="str">
        <f t="shared" si="14"/>
        <v/>
      </c>
      <c r="Y91" s="11" t="str">
        <f t="shared" si="15"/>
        <v/>
      </c>
      <c r="Z91" s="11" t="str">
        <f t="shared" si="16"/>
        <v/>
      </c>
      <c r="AP91" s="5"/>
      <c r="AQ91" s="5"/>
      <c r="AR91" s="5"/>
      <c r="AS91" s="5"/>
      <c r="AT91" s="5"/>
      <c r="BC91" s="5"/>
      <c r="BD91" s="5"/>
    </row>
    <row r="92" spans="1:56" x14ac:dyDescent="0.2">
      <c r="A92" s="13"/>
      <c r="W92" s="1"/>
      <c r="X92" s="5" t="str">
        <f t="shared" si="14"/>
        <v/>
      </c>
      <c r="Y92" s="11" t="str">
        <f t="shared" si="15"/>
        <v/>
      </c>
      <c r="Z92" s="11" t="str">
        <f t="shared" si="16"/>
        <v/>
      </c>
      <c r="AP92" s="5"/>
      <c r="AQ92" s="5"/>
      <c r="AR92" s="5"/>
      <c r="AS92" s="5"/>
      <c r="AT92" s="5"/>
      <c r="BC92" s="5"/>
      <c r="BD92" s="5"/>
    </row>
    <row r="93" spans="1:56" x14ac:dyDescent="0.2">
      <c r="A93" s="13"/>
      <c r="W93" s="1"/>
      <c r="X93" s="5" t="str">
        <f t="shared" si="14"/>
        <v/>
      </c>
      <c r="Y93" s="11" t="str">
        <f t="shared" si="15"/>
        <v/>
      </c>
      <c r="Z93" s="11" t="str">
        <f t="shared" si="16"/>
        <v/>
      </c>
      <c r="AP93" s="5"/>
      <c r="AQ93" s="5"/>
      <c r="AR93" s="5"/>
      <c r="AS93" s="5"/>
      <c r="AT93" s="5"/>
      <c r="BC93" s="5"/>
      <c r="BD93" s="5"/>
    </row>
    <row r="94" spans="1:56" x14ac:dyDescent="0.2">
      <c r="A94" s="13"/>
      <c r="W94" s="1"/>
      <c r="X94" s="5" t="str">
        <f t="shared" si="14"/>
        <v/>
      </c>
      <c r="Y94" s="11" t="str">
        <f t="shared" si="15"/>
        <v/>
      </c>
      <c r="Z94" s="11" t="str">
        <f t="shared" si="16"/>
        <v/>
      </c>
      <c r="AP94" s="5"/>
      <c r="AQ94" s="5"/>
      <c r="AR94" s="5"/>
      <c r="AS94" s="5"/>
      <c r="AT94" s="5"/>
      <c r="BC94" s="5"/>
      <c r="BD94" s="5"/>
    </row>
    <row r="95" spans="1:56" x14ac:dyDescent="0.2">
      <c r="A95" s="13"/>
      <c r="W95" s="1"/>
      <c r="X95" s="5" t="str">
        <f t="shared" si="14"/>
        <v/>
      </c>
      <c r="Y95" s="11" t="str">
        <f t="shared" si="15"/>
        <v/>
      </c>
      <c r="Z95" s="11" t="str">
        <f t="shared" si="16"/>
        <v/>
      </c>
      <c r="AP95" s="5"/>
      <c r="AQ95" s="5"/>
      <c r="AR95" s="5"/>
      <c r="AS95" s="5"/>
      <c r="AT95" s="5"/>
      <c r="BC95" s="5"/>
      <c r="BD95" s="5"/>
    </row>
    <row r="96" spans="1:56" x14ac:dyDescent="0.2">
      <c r="A96" s="13"/>
      <c r="W96" s="1"/>
      <c r="X96" s="5" t="str">
        <f t="shared" si="14"/>
        <v/>
      </c>
      <c r="Y96" s="11" t="str">
        <f t="shared" si="15"/>
        <v/>
      </c>
      <c r="Z96" s="11" t="str">
        <f t="shared" si="16"/>
        <v/>
      </c>
      <c r="AP96" s="5"/>
      <c r="AQ96" s="5"/>
      <c r="AR96" s="5"/>
      <c r="AS96" s="5"/>
      <c r="AT96" s="5"/>
      <c r="BC96" s="5"/>
      <c r="BD96" s="5"/>
    </row>
    <row r="97" spans="1:56" x14ac:dyDescent="0.2">
      <c r="A97" s="13"/>
      <c r="W97" s="1"/>
      <c r="X97" s="5" t="str">
        <f t="shared" si="14"/>
        <v/>
      </c>
      <c r="Y97" s="11" t="str">
        <f t="shared" si="15"/>
        <v/>
      </c>
      <c r="Z97" s="11" t="str">
        <f t="shared" si="16"/>
        <v/>
      </c>
      <c r="AP97" s="5"/>
      <c r="AQ97" s="5"/>
      <c r="AR97" s="5"/>
      <c r="AS97" s="5"/>
      <c r="AT97" s="5"/>
      <c r="BC97" s="5"/>
      <c r="BD97" s="5"/>
    </row>
    <row r="98" spans="1:56" x14ac:dyDescent="0.2">
      <c r="A98" s="13"/>
      <c r="W98" s="1"/>
      <c r="X98" s="5" t="str">
        <f t="shared" si="14"/>
        <v/>
      </c>
      <c r="Y98" s="11" t="str">
        <f t="shared" si="15"/>
        <v/>
      </c>
      <c r="Z98" s="11" t="str">
        <f t="shared" si="16"/>
        <v/>
      </c>
      <c r="AP98" s="5"/>
      <c r="AQ98" s="5"/>
      <c r="AR98" s="5"/>
      <c r="AS98" s="5"/>
      <c r="AT98" s="5"/>
      <c r="BC98" s="5"/>
      <c r="BD98" s="5"/>
    </row>
    <row r="99" spans="1:56" x14ac:dyDescent="0.2">
      <c r="A99" s="13"/>
      <c r="W99" s="1"/>
      <c r="X99" s="5" t="str">
        <f t="shared" si="14"/>
        <v/>
      </c>
      <c r="Y99" s="11" t="str">
        <f t="shared" si="15"/>
        <v/>
      </c>
      <c r="Z99" s="11" t="str">
        <f t="shared" si="16"/>
        <v/>
      </c>
      <c r="AP99" s="5"/>
      <c r="AQ99" s="5"/>
      <c r="AR99" s="5"/>
      <c r="AS99" s="5"/>
      <c r="AT99" s="5"/>
      <c r="BC99" s="5"/>
      <c r="BD99" s="5"/>
    </row>
    <row r="100" spans="1:56" x14ac:dyDescent="0.2">
      <c r="A100" s="13"/>
      <c r="W100" s="1"/>
      <c r="X100" s="5" t="str">
        <f t="shared" si="14"/>
        <v/>
      </c>
      <c r="Y100" s="11" t="str">
        <f t="shared" si="15"/>
        <v/>
      </c>
      <c r="Z100" s="11" t="str">
        <f t="shared" si="16"/>
        <v/>
      </c>
      <c r="AP100" s="5"/>
      <c r="AQ100" s="5"/>
      <c r="AR100" s="5"/>
      <c r="AS100" s="5"/>
      <c r="AT100" s="5"/>
      <c r="BC100" s="5"/>
      <c r="BD100" s="5"/>
    </row>
    <row r="101" spans="1:56" x14ac:dyDescent="0.2">
      <c r="A101" s="13"/>
      <c r="W101" s="1"/>
      <c r="X101" s="5" t="str">
        <f t="shared" si="14"/>
        <v/>
      </c>
      <c r="Y101" s="11" t="str">
        <f t="shared" si="15"/>
        <v/>
      </c>
      <c r="Z101" s="11" t="str">
        <f t="shared" si="16"/>
        <v/>
      </c>
      <c r="AP101" s="5"/>
      <c r="AQ101" s="5"/>
      <c r="AR101" s="5"/>
      <c r="AS101" s="5"/>
      <c r="AT101" s="5"/>
      <c r="BC101" s="5"/>
      <c r="BD101" s="5"/>
    </row>
    <row r="102" spans="1:56" x14ac:dyDescent="0.2">
      <c r="A102" s="13"/>
      <c r="W102" s="1"/>
      <c r="X102" s="5" t="str">
        <f t="shared" si="14"/>
        <v/>
      </c>
      <c r="Y102" s="11" t="str">
        <f t="shared" si="15"/>
        <v/>
      </c>
      <c r="Z102" s="11" t="str">
        <f t="shared" si="16"/>
        <v/>
      </c>
      <c r="AP102" s="5"/>
      <c r="AQ102" s="5"/>
      <c r="AR102" s="5"/>
      <c r="AS102" s="5"/>
      <c r="AT102" s="5"/>
      <c r="BC102" s="5"/>
      <c r="BD102" s="5"/>
    </row>
    <row r="103" spans="1:56" x14ac:dyDescent="0.2">
      <c r="A103" s="13"/>
      <c r="W103" s="1"/>
      <c r="X103" s="5" t="str">
        <f t="shared" si="14"/>
        <v/>
      </c>
      <c r="Y103" s="11" t="str">
        <f t="shared" si="15"/>
        <v/>
      </c>
      <c r="Z103" s="11" t="str">
        <f t="shared" si="16"/>
        <v/>
      </c>
      <c r="AP103" s="5"/>
      <c r="AQ103" s="5"/>
      <c r="AR103" s="5"/>
      <c r="AS103" s="5"/>
      <c r="AT103" s="5"/>
      <c r="BC103" s="5"/>
      <c r="BD103" s="5"/>
    </row>
    <row r="104" spans="1:56" x14ac:dyDescent="0.2">
      <c r="A104" s="13"/>
      <c r="W104" s="1"/>
      <c r="X104" s="5" t="str">
        <f t="shared" si="14"/>
        <v/>
      </c>
      <c r="Y104" s="11" t="str">
        <f t="shared" si="15"/>
        <v/>
      </c>
      <c r="Z104" s="11" t="str">
        <f t="shared" si="16"/>
        <v/>
      </c>
      <c r="AP104" s="5"/>
      <c r="AQ104" s="5"/>
      <c r="AR104" s="5"/>
      <c r="AS104" s="5"/>
      <c r="AT104" s="5"/>
      <c r="BC104" s="5"/>
      <c r="BD104" s="5"/>
    </row>
    <row r="105" spans="1:56" x14ac:dyDescent="0.2">
      <c r="A105" s="13"/>
      <c r="W105" s="1"/>
      <c r="X105" s="5" t="str">
        <f t="shared" si="14"/>
        <v/>
      </c>
      <c r="Y105" s="11" t="str">
        <f t="shared" si="15"/>
        <v/>
      </c>
      <c r="Z105" s="11" t="str">
        <f t="shared" si="16"/>
        <v/>
      </c>
      <c r="AP105" s="5"/>
      <c r="AQ105" s="5"/>
      <c r="AR105" s="5"/>
      <c r="AS105" s="5"/>
      <c r="AT105" s="5"/>
      <c r="BC105" s="5"/>
      <c r="BD105" s="5"/>
    </row>
    <row r="106" spans="1:56" x14ac:dyDescent="0.2">
      <c r="A106" s="13"/>
      <c r="W106" s="1"/>
      <c r="X106" s="5" t="str">
        <f t="shared" si="14"/>
        <v/>
      </c>
      <c r="Y106" s="11" t="str">
        <f t="shared" si="15"/>
        <v/>
      </c>
      <c r="Z106" s="11" t="str">
        <f t="shared" si="16"/>
        <v/>
      </c>
      <c r="AP106" s="5"/>
      <c r="AQ106" s="5"/>
      <c r="AR106" s="5"/>
      <c r="AS106" s="5"/>
      <c r="AT106" s="5"/>
      <c r="BC106" s="5"/>
      <c r="BD106" s="5"/>
    </row>
    <row r="107" spans="1:56" x14ac:dyDescent="0.2">
      <c r="A107" s="13"/>
      <c r="W107" s="1"/>
      <c r="X107" s="5" t="str">
        <f t="shared" si="14"/>
        <v/>
      </c>
      <c r="Y107" s="11" t="str">
        <f t="shared" si="15"/>
        <v/>
      </c>
      <c r="Z107" s="11" t="str">
        <f t="shared" si="16"/>
        <v/>
      </c>
      <c r="AP107" s="5"/>
      <c r="AQ107" s="5"/>
      <c r="AR107" s="5"/>
      <c r="AS107" s="5"/>
      <c r="AT107" s="5"/>
      <c r="BC107" s="5"/>
      <c r="BD107" s="5"/>
    </row>
    <row r="108" spans="1:56" x14ac:dyDescent="0.2">
      <c r="A108" s="13"/>
      <c r="W108" s="1"/>
      <c r="X108" s="5" t="str">
        <f t="shared" si="14"/>
        <v/>
      </c>
      <c r="Y108" s="11" t="str">
        <f t="shared" si="15"/>
        <v/>
      </c>
      <c r="Z108" s="11" t="str">
        <f t="shared" si="16"/>
        <v/>
      </c>
      <c r="AP108" s="5"/>
      <c r="AQ108" s="5"/>
      <c r="AR108" s="5"/>
      <c r="AS108" s="5"/>
      <c r="AT108" s="5"/>
      <c r="BC108" s="5"/>
      <c r="BD108" s="5"/>
    </row>
    <row r="109" spans="1:56" x14ac:dyDescent="0.2">
      <c r="A109" s="13"/>
      <c r="W109" s="1"/>
      <c r="X109" s="5" t="str">
        <f t="shared" si="14"/>
        <v/>
      </c>
      <c r="Y109" s="11" t="str">
        <f t="shared" si="15"/>
        <v/>
      </c>
      <c r="Z109" s="11" t="str">
        <f t="shared" si="16"/>
        <v/>
      </c>
      <c r="AP109" s="5"/>
      <c r="AQ109" s="5"/>
      <c r="AR109" s="5"/>
      <c r="AS109" s="5"/>
      <c r="AT109" s="5"/>
      <c r="BC109" s="5"/>
      <c r="BD109" s="5"/>
    </row>
    <row r="110" spans="1:56" x14ac:dyDescent="0.2">
      <c r="A110" s="13"/>
      <c r="W110" s="1"/>
      <c r="X110" s="5" t="str">
        <f t="shared" si="14"/>
        <v/>
      </c>
      <c r="Y110" s="11" t="str">
        <f t="shared" si="15"/>
        <v/>
      </c>
      <c r="Z110" s="11" t="str">
        <f t="shared" si="16"/>
        <v/>
      </c>
      <c r="AP110" s="5"/>
      <c r="AQ110" s="5"/>
      <c r="AR110" s="5"/>
      <c r="AS110" s="5"/>
      <c r="AT110" s="5"/>
      <c r="BC110" s="5"/>
      <c r="BD110" s="5"/>
    </row>
    <row r="111" spans="1:56" x14ac:dyDescent="0.2">
      <c r="A111" s="13"/>
      <c r="W111" s="1"/>
      <c r="X111" s="5" t="str">
        <f t="shared" si="14"/>
        <v/>
      </c>
      <c r="Y111" s="11" t="str">
        <f t="shared" si="15"/>
        <v/>
      </c>
      <c r="Z111" s="11" t="str">
        <f t="shared" si="16"/>
        <v/>
      </c>
      <c r="AP111" s="5"/>
      <c r="AQ111" s="5"/>
      <c r="AR111" s="5"/>
      <c r="AS111" s="5"/>
      <c r="AT111" s="5"/>
      <c r="BC111" s="5"/>
      <c r="BD111" s="5"/>
    </row>
    <row r="112" spans="1:56" x14ac:dyDescent="0.2">
      <c r="A112" s="13"/>
      <c r="W112" s="1"/>
      <c r="X112" s="5" t="str">
        <f t="shared" si="14"/>
        <v/>
      </c>
      <c r="Y112" s="11" t="str">
        <f t="shared" si="15"/>
        <v/>
      </c>
      <c r="Z112" s="11" t="str">
        <f t="shared" si="16"/>
        <v/>
      </c>
      <c r="AP112" s="5"/>
      <c r="AQ112" s="5"/>
      <c r="AR112" s="5"/>
      <c r="AS112" s="5"/>
      <c r="AT112" s="5"/>
      <c r="BC112" s="5"/>
      <c r="BD112" s="5"/>
    </row>
    <row r="113" spans="1:56" x14ac:dyDescent="0.2">
      <c r="A113" s="13"/>
      <c r="W113" s="1"/>
      <c r="X113" s="5" t="str">
        <f t="shared" si="14"/>
        <v/>
      </c>
      <c r="Y113" s="11" t="str">
        <f t="shared" si="15"/>
        <v/>
      </c>
      <c r="Z113" s="11" t="str">
        <f t="shared" si="16"/>
        <v/>
      </c>
      <c r="AP113" s="5"/>
      <c r="AQ113" s="5"/>
      <c r="AR113" s="5"/>
      <c r="AS113" s="5"/>
      <c r="AT113" s="5"/>
      <c r="BC113" s="5"/>
      <c r="BD113" s="5"/>
    </row>
    <row r="114" spans="1:56" x14ac:dyDescent="0.2">
      <c r="A114" s="13"/>
      <c r="W114" s="1"/>
      <c r="X114" s="5" t="str">
        <f t="shared" si="14"/>
        <v/>
      </c>
      <c r="Y114" s="11" t="str">
        <f t="shared" si="15"/>
        <v/>
      </c>
      <c r="Z114" s="11" t="str">
        <f t="shared" si="16"/>
        <v/>
      </c>
      <c r="AP114" s="5"/>
      <c r="AQ114" s="5"/>
      <c r="AR114" s="5"/>
      <c r="AS114" s="5"/>
      <c r="AT114" s="5"/>
      <c r="BC114" s="5"/>
      <c r="BD114" s="5"/>
    </row>
    <row r="115" spans="1:56" x14ac:dyDescent="0.2">
      <c r="A115" s="13"/>
      <c r="W115" s="1"/>
      <c r="X115" s="5" t="str">
        <f t="shared" si="14"/>
        <v/>
      </c>
      <c r="Y115" s="11" t="str">
        <f t="shared" si="15"/>
        <v/>
      </c>
      <c r="Z115" s="11" t="str">
        <f t="shared" si="16"/>
        <v/>
      </c>
      <c r="AP115" s="5"/>
      <c r="AQ115" s="5"/>
      <c r="AR115" s="5"/>
      <c r="AS115" s="5"/>
      <c r="AT115" s="5"/>
      <c r="BC115" s="5"/>
      <c r="BD115" s="5"/>
    </row>
    <row r="116" spans="1:56" x14ac:dyDescent="0.2">
      <c r="A116" s="13"/>
      <c r="W116" s="1"/>
      <c r="X116" s="5" t="str">
        <f t="shared" si="14"/>
        <v/>
      </c>
      <c r="Y116" s="11" t="str">
        <f t="shared" si="15"/>
        <v/>
      </c>
      <c r="Z116" s="11" t="str">
        <f t="shared" si="16"/>
        <v/>
      </c>
      <c r="AP116" s="5"/>
      <c r="AQ116" s="5"/>
      <c r="AR116" s="5"/>
      <c r="AS116" s="5"/>
      <c r="AT116" s="5"/>
      <c r="BC116" s="5"/>
      <c r="BD116" s="5"/>
    </row>
    <row r="117" spans="1:56" x14ac:dyDescent="0.2">
      <c r="A117" s="13"/>
      <c r="W117" s="1"/>
      <c r="X117" s="5" t="str">
        <f t="shared" si="14"/>
        <v/>
      </c>
      <c r="Y117" s="11" t="str">
        <f t="shared" si="15"/>
        <v/>
      </c>
      <c r="Z117" s="11" t="str">
        <f t="shared" si="16"/>
        <v/>
      </c>
      <c r="AP117" s="5"/>
      <c r="AQ117" s="5"/>
      <c r="AR117" s="5"/>
      <c r="AS117" s="5"/>
      <c r="AT117" s="5"/>
      <c r="BC117" s="5"/>
      <c r="BD117" s="5"/>
    </row>
    <row r="118" spans="1:56" x14ac:dyDescent="0.2">
      <c r="A118" s="13"/>
      <c r="W118" s="1"/>
      <c r="X118" s="5" t="str">
        <f t="shared" si="14"/>
        <v/>
      </c>
      <c r="Y118" s="11" t="str">
        <f t="shared" si="15"/>
        <v/>
      </c>
      <c r="Z118" s="11" t="str">
        <f t="shared" si="16"/>
        <v/>
      </c>
      <c r="AP118" s="5"/>
      <c r="AQ118" s="5"/>
      <c r="AR118" s="5"/>
      <c r="AS118" s="5"/>
      <c r="AT118" s="5"/>
      <c r="BC118" s="5"/>
      <c r="BD118" s="5"/>
    </row>
    <row r="119" spans="1:56" x14ac:dyDescent="0.2">
      <c r="A119" s="13"/>
      <c r="W119" s="1"/>
      <c r="X119" s="5" t="str">
        <f t="shared" si="14"/>
        <v/>
      </c>
      <c r="Y119" s="11" t="str">
        <f t="shared" si="15"/>
        <v/>
      </c>
      <c r="Z119" s="11" t="str">
        <f t="shared" si="16"/>
        <v/>
      </c>
      <c r="AP119" s="5"/>
      <c r="AQ119" s="5"/>
      <c r="AR119" s="5"/>
      <c r="AS119" s="5"/>
      <c r="AT119" s="5"/>
      <c r="BC119" s="5"/>
      <c r="BD119" s="5"/>
    </row>
    <row r="120" spans="1:56" x14ac:dyDescent="0.2">
      <c r="A120" s="13"/>
      <c r="W120" s="1"/>
      <c r="X120" s="5" t="str">
        <f t="shared" si="14"/>
        <v/>
      </c>
      <c r="Y120" s="11" t="str">
        <f t="shared" si="15"/>
        <v/>
      </c>
      <c r="Z120" s="11" t="str">
        <f t="shared" si="16"/>
        <v/>
      </c>
      <c r="AP120" s="5"/>
      <c r="AQ120" s="5"/>
      <c r="AR120" s="5"/>
      <c r="AS120" s="5"/>
      <c r="AT120" s="5"/>
      <c r="BC120" s="5"/>
      <c r="BD120" s="5"/>
    </row>
    <row r="121" spans="1:56" x14ac:dyDescent="0.2">
      <c r="A121" s="13"/>
      <c r="W121" s="1"/>
      <c r="X121" s="5" t="str">
        <f t="shared" si="14"/>
        <v/>
      </c>
      <c r="Y121" s="11" t="str">
        <f t="shared" si="15"/>
        <v/>
      </c>
      <c r="Z121" s="11" t="str">
        <f t="shared" si="16"/>
        <v/>
      </c>
      <c r="AP121" s="5"/>
      <c r="AQ121" s="5"/>
      <c r="AR121" s="5"/>
      <c r="AS121" s="5"/>
      <c r="AT121" s="5"/>
      <c r="BC121" s="5"/>
      <c r="BD121" s="5"/>
    </row>
    <row r="122" spans="1:56" x14ac:dyDescent="0.2">
      <c r="A122" s="13"/>
      <c r="W122" s="1"/>
      <c r="X122" s="5" t="str">
        <f t="shared" si="14"/>
        <v/>
      </c>
      <c r="Y122" s="11" t="str">
        <f t="shared" si="15"/>
        <v/>
      </c>
      <c r="Z122" s="11" t="str">
        <f t="shared" si="16"/>
        <v/>
      </c>
      <c r="AP122" s="5"/>
      <c r="AQ122" s="5"/>
      <c r="AR122" s="5"/>
      <c r="AS122" s="5"/>
      <c r="AT122" s="5"/>
      <c r="BC122" s="5"/>
      <c r="BD122" s="5"/>
    </row>
    <row r="123" spans="1:56" x14ac:dyDescent="0.2">
      <c r="A123" s="13"/>
      <c r="W123" s="1"/>
      <c r="X123" s="5" t="str">
        <f t="shared" si="14"/>
        <v/>
      </c>
      <c r="Y123" s="11" t="str">
        <f t="shared" si="15"/>
        <v/>
      </c>
      <c r="Z123" s="11" t="str">
        <f t="shared" si="16"/>
        <v/>
      </c>
      <c r="AP123" s="5"/>
      <c r="AQ123" s="5"/>
      <c r="AR123" s="5"/>
      <c r="AS123" s="5"/>
      <c r="AT123" s="5"/>
      <c r="BC123" s="5"/>
      <c r="BD123" s="5"/>
    </row>
    <row r="124" spans="1:56" x14ac:dyDescent="0.2">
      <c r="A124" s="13"/>
      <c r="W124" s="1"/>
      <c r="X124" s="5" t="str">
        <f t="shared" si="14"/>
        <v/>
      </c>
      <c r="Y124" s="11" t="str">
        <f t="shared" si="15"/>
        <v/>
      </c>
      <c r="Z124" s="11" t="str">
        <f t="shared" si="16"/>
        <v/>
      </c>
      <c r="AP124" s="5"/>
      <c r="AQ124" s="5"/>
      <c r="AR124" s="5"/>
      <c r="AS124" s="5"/>
      <c r="AT124" s="5"/>
      <c r="BC124" s="5"/>
      <c r="BD124" s="5"/>
    </row>
    <row r="125" spans="1:56" x14ac:dyDescent="0.2">
      <c r="A125" s="14"/>
      <c r="B125" s="1"/>
      <c r="C125" s="14"/>
      <c r="D125" s="14"/>
      <c r="G125" s="14"/>
      <c r="H125" s="14"/>
      <c r="I125" s="14"/>
      <c r="J125" s="14"/>
      <c r="K125" s="14"/>
      <c r="L125" s="14"/>
      <c r="M125" s="14"/>
      <c r="N125" s="14"/>
      <c r="O125" s="14"/>
      <c r="P125" s="14"/>
      <c r="R125" s="14"/>
      <c r="S125" s="14"/>
      <c r="T125" s="14"/>
      <c r="U125" s="14"/>
      <c r="V125" s="14"/>
      <c r="W125" s="1"/>
      <c r="X125" s="5" t="str">
        <f t="shared" si="14"/>
        <v/>
      </c>
      <c r="Y125" s="11" t="str">
        <f t="shared" si="15"/>
        <v/>
      </c>
      <c r="Z125" s="11" t="str">
        <f t="shared" si="16"/>
        <v/>
      </c>
      <c r="AP125" s="5"/>
      <c r="AQ125" s="5"/>
      <c r="AR125" s="5"/>
      <c r="AS125" s="5"/>
      <c r="AT125" s="5"/>
      <c r="BC125" s="5"/>
      <c r="BD125" s="5"/>
    </row>
    <row r="126" spans="1:56" x14ac:dyDescent="0.2">
      <c r="A126" s="14"/>
      <c r="B126" s="1"/>
      <c r="C126" s="14"/>
      <c r="D126" s="14"/>
      <c r="G126" s="14"/>
      <c r="H126" s="14"/>
      <c r="I126" s="14"/>
      <c r="J126" s="14"/>
      <c r="K126" s="14"/>
      <c r="L126" s="14"/>
      <c r="M126" s="14"/>
      <c r="N126" s="14"/>
      <c r="O126" s="14"/>
      <c r="P126" s="14"/>
      <c r="R126" s="14"/>
      <c r="S126" s="14"/>
      <c r="T126" s="14"/>
      <c r="U126" s="14"/>
      <c r="V126" s="14"/>
      <c r="W126" s="1"/>
      <c r="X126" s="5" t="str">
        <f t="shared" si="14"/>
        <v/>
      </c>
      <c r="Y126" s="11" t="str">
        <f t="shared" si="15"/>
        <v/>
      </c>
      <c r="Z126" s="11" t="str">
        <f t="shared" si="16"/>
        <v/>
      </c>
      <c r="AP126" s="5"/>
      <c r="AQ126" s="5"/>
      <c r="AR126" s="5"/>
      <c r="AS126" s="5"/>
      <c r="AT126" s="5"/>
      <c r="BC126" s="5"/>
      <c r="BD126" s="5"/>
    </row>
    <row r="127" spans="1:56" x14ac:dyDescent="0.2">
      <c r="A127" s="14"/>
      <c r="B127" s="1"/>
      <c r="C127" s="14"/>
      <c r="D127" s="14"/>
      <c r="G127" s="14"/>
      <c r="H127" s="14"/>
      <c r="I127" s="14"/>
      <c r="J127" s="14"/>
      <c r="K127" s="14"/>
      <c r="L127" s="14"/>
      <c r="M127" s="14"/>
      <c r="N127" s="14"/>
      <c r="O127" s="14"/>
      <c r="P127" s="14"/>
      <c r="R127" s="14"/>
      <c r="S127" s="14"/>
      <c r="T127" s="14"/>
      <c r="U127" s="14"/>
      <c r="V127" s="14"/>
      <c r="W127" s="1"/>
      <c r="X127" s="5" t="str">
        <f t="shared" si="14"/>
        <v/>
      </c>
      <c r="Y127" s="11" t="str">
        <f t="shared" si="15"/>
        <v/>
      </c>
      <c r="Z127" s="11" t="str">
        <f t="shared" si="16"/>
        <v/>
      </c>
      <c r="AP127" s="5"/>
      <c r="AQ127" s="5"/>
      <c r="AR127" s="5"/>
      <c r="AS127" s="5"/>
      <c r="AT127" s="5"/>
      <c r="BC127" s="5"/>
      <c r="BD127" s="5"/>
    </row>
    <row r="128" spans="1:56" x14ac:dyDescent="0.2">
      <c r="A128" s="14"/>
      <c r="B128" s="1"/>
      <c r="C128" s="14"/>
      <c r="D128" s="14"/>
      <c r="G128" s="14"/>
      <c r="H128" s="14"/>
      <c r="I128" s="14"/>
      <c r="J128" s="14"/>
      <c r="K128" s="14"/>
      <c r="L128" s="14"/>
      <c r="M128" s="14"/>
      <c r="N128" s="14"/>
      <c r="O128" s="14"/>
      <c r="P128" s="14"/>
      <c r="R128" s="14"/>
      <c r="S128" s="14"/>
      <c r="T128" s="14"/>
      <c r="U128" s="14"/>
      <c r="V128" s="14"/>
      <c r="W128" s="1"/>
      <c r="X128" s="5" t="str">
        <f t="shared" si="14"/>
        <v/>
      </c>
      <c r="Y128" s="11" t="str">
        <f t="shared" si="15"/>
        <v/>
      </c>
      <c r="Z128" s="11" t="str">
        <f t="shared" si="16"/>
        <v/>
      </c>
      <c r="AP128" s="5"/>
      <c r="AQ128" s="5"/>
      <c r="AR128" s="5"/>
      <c r="AS128" s="5"/>
      <c r="AT128" s="5"/>
      <c r="BC128" s="5"/>
      <c r="BD128" s="5"/>
    </row>
    <row r="129" spans="1:56" x14ac:dyDescent="0.2">
      <c r="A129" s="14"/>
      <c r="B129" s="1"/>
      <c r="C129" s="14"/>
      <c r="D129" s="14"/>
      <c r="G129" s="14"/>
      <c r="H129" s="14"/>
      <c r="I129" s="14"/>
      <c r="J129" s="14"/>
      <c r="K129" s="14"/>
      <c r="L129" s="14"/>
      <c r="M129" s="14"/>
      <c r="N129" s="14"/>
      <c r="O129" s="14"/>
      <c r="P129" s="14"/>
      <c r="R129" s="14"/>
      <c r="S129" s="14"/>
      <c r="T129" s="14"/>
      <c r="U129" s="14"/>
      <c r="V129" s="14"/>
      <c r="W129" s="1"/>
      <c r="X129" s="5" t="str">
        <f t="shared" si="14"/>
        <v/>
      </c>
      <c r="Y129" s="11" t="str">
        <f t="shared" si="15"/>
        <v/>
      </c>
      <c r="Z129" s="11" t="str">
        <f t="shared" si="16"/>
        <v/>
      </c>
      <c r="AP129" s="5"/>
      <c r="AQ129" s="5"/>
      <c r="AR129" s="5"/>
      <c r="AS129" s="5"/>
      <c r="AT129" s="5"/>
      <c r="BC129" s="5"/>
      <c r="BD129" s="5"/>
    </row>
    <row r="130" spans="1:56" x14ac:dyDescent="0.2">
      <c r="A130" s="14"/>
      <c r="B130" s="1"/>
      <c r="C130" s="14"/>
      <c r="D130" s="14"/>
      <c r="G130" s="14"/>
      <c r="H130" s="14"/>
      <c r="I130" s="14"/>
      <c r="J130" s="14"/>
      <c r="K130" s="14"/>
      <c r="L130" s="14"/>
      <c r="M130" s="14"/>
      <c r="N130" s="14"/>
      <c r="O130" s="14"/>
      <c r="P130" s="14"/>
      <c r="R130" s="14"/>
      <c r="S130" s="14"/>
      <c r="T130" s="14"/>
      <c r="U130" s="14"/>
      <c r="V130" s="14"/>
      <c r="W130" s="1"/>
      <c r="X130" s="5" t="str">
        <f t="shared" si="14"/>
        <v/>
      </c>
      <c r="Y130" s="11" t="str">
        <f t="shared" si="15"/>
        <v/>
      </c>
      <c r="Z130" s="11" t="str">
        <f t="shared" si="16"/>
        <v/>
      </c>
      <c r="AP130" s="5"/>
      <c r="AQ130" s="5"/>
      <c r="AR130" s="5"/>
      <c r="AS130" s="5"/>
      <c r="AT130" s="5"/>
      <c r="BC130" s="5"/>
      <c r="BD130" s="5"/>
    </row>
    <row r="131" spans="1:56" x14ac:dyDescent="0.2">
      <c r="A131" s="14"/>
      <c r="B131" s="1"/>
      <c r="C131" s="14"/>
      <c r="D131" s="14"/>
      <c r="G131" s="14"/>
      <c r="H131" s="14"/>
      <c r="I131" s="14"/>
      <c r="J131" s="14"/>
      <c r="K131" s="14"/>
      <c r="L131" s="14"/>
      <c r="M131" s="14"/>
      <c r="N131" s="14"/>
      <c r="O131" s="14"/>
      <c r="P131" s="14"/>
      <c r="R131" s="14"/>
      <c r="S131" s="14"/>
      <c r="T131" s="14"/>
      <c r="U131" s="14"/>
      <c r="V131" s="14"/>
      <c r="W131" s="1"/>
      <c r="X131" s="5" t="str">
        <f t="shared" ref="X131:X147" si="17">IF(ISNUMBER(V131),V131-B131*$AB$3,"")</f>
        <v/>
      </c>
      <c r="Y131" s="11" t="str">
        <f t="shared" ref="Y131:Y147" si="18">IF(ISNUMBER(S131),(S131+1000)/((S131*$AU$1+$AV$1)/1000+1)-1000,"")</f>
        <v/>
      </c>
      <c r="Z131" s="11" t="str">
        <f t="shared" ref="Z131:Z147" si="19">IF(ISNUMBER(X131),(X131+1000)/((X131*$AU$2+$AV$2)/1000+1)-1000,"")</f>
        <v/>
      </c>
      <c r="AP131" s="5"/>
      <c r="AQ131" s="5"/>
      <c r="AR131" s="5"/>
      <c r="AS131" s="5"/>
      <c r="AT131" s="5"/>
      <c r="BC131" s="5"/>
      <c r="BD131" s="5"/>
    </row>
    <row r="132" spans="1:56" x14ac:dyDescent="0.2">
      <c r="A132" s="14"/>
      <c r="B132" s="1"/>
      <c r="C132" s="14"/>
      <c r="D132" s="14"/>
      <c r="G132" s="14"/>
      <c r="H132" s="14"/>
      <c r="I132" s="14"/>
      <c r="J132" s="14"/>
      <c r="K132" s="14"/>
      <c r="L132" s="14"/>
      <c r="M132" s="14"/>
      <c r="N132" s="14"/>
      <c r="O132" s="14"/>
      <c r="P132" s="14"/>
      <c r="R132" s="14"/>
      <c r="S132" s="14"/>
      <c r="T132" s="14"/>
      <c r="U132" s="14"/>
      <c r="V132" s="14"/>
      <c r="W132" s="1"/>
      <c r="X132" s="5" t="str">
        <f t="shared" si="17"/>
        <v/>
      </c>
      <c r="Y132" s="11" t="str">
        <f t="shared" si="18"/>
        <v/>
      </c>
      <c r="Z132" s="11" t="str">
        <f t="shared" si="19"/>
        <v/>
      </c>
      <c r="AP132" s="5"/>
      <c r="AQ132" s="5"/>
      <c r="AR132" s="5"/>
      <c r="AS132" s="5"/>
      <c r="AT132" s="5"/>
      <c r="BC132" s="5"/>
      <c r="BD132" s="5"/>
    </row>
    <row r="133" spans="1:56" x14ac:dyDescent="0.2">
      <c r="A133" s="14"/>
      <c r="B133" s="1"/>
      <c r="C133" s="14"/>
      <c r="D133" s="14"/>
      <c r="G133" s="14"/>
      <c r="H133" s="14"/>
      <c r="I133" s="14"/>
      <c r="J133" s="14"/>
      <c r="K133" s="14"/>
      <c r="L133" s="14"/>
      <c r="M133" s="14"/>
      <c r="N133" s="14"/>
      <c r="O133" s="14"/>
      <c r="P133" s="14"/>
      <c r="R133" s="14"/>
      <c r="S133" s="14"/>
      <c r="T133" s="14"/>
      <c r="U133" s="14"/>
      <c r="V133" s="14"/>
      <c r="W133" s="1"/>
      <c r="X133" s="5" t="str">
        <f t="shared" si="17"/>
        <v/>
      </c>
      <c r="Y133" s="11" t="str">
        <f t="shared" si="18"/>
        <v/>
      </c>
      <c r="Z133" s="11" t="str">
        <f t="shared" si="19"/>
        <v/>
      </c>
      <c r="AP133" s="5"/>
      <c r="AQ133" s="5"/>
      <c r="AR133" s="5"/>
      <c r="AS133" s="5"/>
      <c r="AT133" s="5"/>
      <c r="BC133" s="5"/>
      <c r="BD133" s="5"/>
    </row>
    <row r="134" spans="1:56" x14ac:dyDescent="0.2">
      <c r="A134" s="14"/>
      <c r="B134" s="1"/>
      <c r="C134" s="14"/>
      <c r="D134" s="14"/>
      <c r="G134" s="14"/>
      <c r="H134" s="14"/>
      <c r="I134" s="14"/>
      <c r="J134" s="14"/>
      <c r="K134" s="14"/>
      <c r="L134" s="14"/>
      <c r="M134" s="14"/>
      <c r="N134" s="14"/>
      <c r="O134" s="14"/>
      <c r="P134" s="14"/>
      <c r="R134" s="14"/>
      <c r="S134" s="14"/>
      <c r="T134" s="14"/>
      <c r="U134" s="14"/>
      <c r="V134" s="14"/>
      <c r="W134" s="1"/>
      <c r="X134" s="5" t="str">
        <f t="shared" si="17"/>
        <v/>
      </c>
      <c r="Y134" s="11" t="str">
        <f t="shared" si="18"/>
        <v/>
      </c>
      <c r="Z134" s="11" t="str">
        <f t="shared" si="19"/>
        <v/>
      </c>
      <c r="AP134" s="5"/>
      <c r="AQ134" s="5"/>
      <c r="AR134" s="5"/>
      <c r="AS134" s="5"/>
      <c r="AT134" s="5"/>
      <c r="BC134" s="5"/>
      <c r="BD134" s="5"/>
    </row>
    <row r="135" spans="1:56" x14ac:dyDescent="0.2">
      <c r="A135" s="14"/>
      <c r="B135" s="1"/>
      <c r="C135" s="14"/>
      <c r="D135" s="14"/>
      <c r="G135" s="14"/>
      <c r="H135" s="14"/>
      <c r="I135" s="14"/>
      <c r="J135" s="14"/>
      <c r="K135" s="14"/>
      <c r="L135" s="14"/>
      <c r="M135" s="14"/>
      <c r="N135" s="14"/>
      <c r="O135" s="14"/>
      <c r="P135" s="14"/>
      <c r="R135" s="14"/>
      <c r="S135" s="14"/>
      <c r="T135" s="14"/>
      <c r="U135" s="14"/>
      <c r="V135" s="14"/>
      <c r="W135" s="1"/>
      <c r="X135" s="5" t="str">
        <f t="shared" si="17"/>
        <v/>
      </c>
      <c r="Y135" s="11" t="str">
        <f t="shared" si="18"/>
        <v/>
      </c>
      <c r="Z135" s="11" t="str">
        <f t="shared" si="19"/>
        <v/>
      </c>
      <c r="AP135" s="5"/>
      <c r="AQ135" s="5"/>
      <c r="AR135" s="5"/>
      <c r="AS135" s="5"/>
      <c r="AT135" s="5"/>
      <c r="BC135" s="5"/>
      <c r="BD135" s="5"/>
    </row>
    <row r="136" spans="1:56" x14ac:dyDescent="0.2">
      <c r="A136" s="14"/>
      <c r="B136" s="1"/>
      <c r="C136" s="14"/>
      <c r="D136" s="14"/>
      <c r="G136" s="14"/>
      <c r="H136" s="14"/>
      <c r="I136" s="14"/>
      <c r="J136" s="14"/>
      <c r="K136" s="14"/>
      <c r="L136" s="14"/>
      <c r="M136" s="14"/>
      <c r="N136" s="14"/>
      <c r="O136" s="14"/>
      <c r="P136" s="14"/>
      <c r="R136" s="14"/>
      <c r="S136" s="14"/>
      <c r="T136" s="14"/>
      <c r="U136" s="14"/>
      <c r="V136" s="14"/>
      <c r="W136" s="1"/>
      <c r="X136" s="5" t="str">
        <f t="shared" si="17"/>
        <v/>
      </c>
      <c r="Y136" s="11" t="str">
        <f t="shared" si="18"/>
        <v/>
      </c>
      <c r="Z136" s="11" t="str">
        <f t="shared" si="19"/>
        <v/>
      </c>
      <c r="AP136" s="5"/>
      <c r="AQ136" s="5"/>
      <c r="AR136" s="5"/>
      <c r="AS136" s="5"/>
      <c r="AT136" s="5"/>
      <c r="BC136" s="5"/>
      <c r="BD136" s="5"/>
    </row>
    <row r="137" spans="1:56" x14ac:dyDescent="0.2">
      <c r="A137" s="14"/>
      <c r="B137" s="1"/>
      <c r="C137" s="14"/>
      <c r="D137" s="14"/>
      <c r="G137" s="14"/>
      <c r="H137" s="14"/>
      <c r="I137" s="14"/>
      <c r="J137" s="14"/>
      <c r="K137" s="14"/>
      <c r="L137" s="14"/>
      <c r="M137" s="14"/>
      <c r="N137" s="14"/>
      <c r="O137" s="14"/>
      <c r="P137" s="14"/>
      <c r="R137" s="14"/>
      <c r="S137" s="14"/>
      <c r="T137" s="14"/>
      <c r="U137" s="14"/>
      <c r="V137" s="14"/>
      <c r="W137" s="1"/>
      <c r="X137" s="5" t="str">
        <f t="shared" si="17"/>
        <v/>
      </c>
      <c r="Y137" s="11" t="str">
        <f t="shared" si="18"/>
        <v/>
      </c>
      <c r="Z137" s="11" t="str">
        <f t="shared" si="19"/>
        <v/>
      </c>
      <c r="AP137" s="5"/>
      <c r="AQ137" s="5"/>
      <c r="AR137" s="5"/>
      <c r="AS137" s="5"/>
      <c r="AT137" s="5"/>
      <c r="BC137" s="5"/>
      <c r="BD137" s="5"/>
    </row>
    <row r="138" spans="1:56" x14ac:dyDescent="0.2">
      <c r="A138" s="14"/>
      <c r="B138" s="1"/>
      <c r="C138" s="14"/>
      <c r="D138" s="14"/>
      <c r="G138" s="14"/>
      <c r="H138" s="14"/>
      <c r="I138" s="14"/>
      <c r="J138" s="14"/>
      <c r="K138" s="14"/>
      <c r="L138" s="14"/>
      <c r="M138" s="14"/>
      <c r="N138" s="14"/>
      <c r="O138" s="14"/>
      <c r="P138" s="14"/>
      <c r="R138" s="14"/>
      <c r="S138" s="14"/>
      <c r="T138" s="14"/>
      <c r="U138" s="14"/>
      <c r="V138" s="14"/>
      <c r="W138" s="1"/>
      <c r="X138" s="5" t="str">
        <f t="shared" si="17"/>
        <v/>
      </c>
      <c r="Y138" s="11" t="str">
        <f t="shared" si="18"/>
        <v/>
      </c>
      <c r="Z138" s="11" t="str">
        <f t="shared" si="19"/>
        <v/>
      </c>
      <c r="AP138" s="5"/>
      <c r="AQ138" s="5"/>
      <c r="AR138" s="5"/>
      <c r="AS138" s="5"/>
      <c r="AT138" s="5"/>
      <c r="BC138" s="5"/>
      <c r="BD138" s="5"/>
    </row>
    <row r="139" spans="1:56" x14ac:dyDescent="0.2">
      <c r="A139" s="14"/>
      <c r="B139" s="1"/>
      <c r="C139" s="14"/>
      <c r="D139" s="14"/>
      <c r="G139" s="14"/>
      <c r="H139" s="14"/>
      <c r="I139" s="14"/>
      <c r="J139" s="14"/>
      <c r="K139" s="14"/>
      <c r="L139" s="14"/>
      <c r="M139" s="14"/>
      <c r="N139" s="14"/>
      <c r="O139" s="14"/>
      <c r="P139" s="14"/>
      <c r="R139" s="14"/>
      <c r="S139" s="14"/>
      <c r="T139" s="14"/>
      <c r="U139" s="14"/>
      <c r="V139" s="14"/>
      <c r="W139" s="1"/>
      <c r="X139" s="5" t="str">
        <f t="shared" si="17"/>
        <v/>
      </c>
      <c r="Y139" s="11" t="str">
        <f t="shared" si="18"/>
        <v/>
      </c>
      <c r="Z139" s="11" t="str">
        <f t="shared" si="19"/>
        <v/>
      </c>
      <c r="AP139" s="5"/>
      <c r="AQ139" s="5"/>
      <c r="AR139" s="5"/>
      <c r="AS139" s="5"/>
      <c r="AT139" s="5"/>
      <c r="BC139" s="5"/>
      <c r="BD139" s="5"/>
    </row>
    <row r="140" spans="1:56" x14ac:dyDescent="0.2">
      <c r="A140" s="14"/>
      <c r="B140" s="1"/>
      <c r="C140" s="14"/>
      <c r="D140" s="14"/>
      <c r="G140" s="14"/>
      <c r="H140" s="14"/>
      <c r="I140" s="14"/>
      <c r="J140" s="14"/>
      <c r="K140" s="14"/>
      <c r="L140" s="14"/>
      <c r="M140" s="14"/>
      <c r="N140" s="14"/>
      <c r="O140" s="14"/>
      <c r="P140" s="14"/>
      <c r="R140" s="14"/>
      <c r="S140" s="14"/>
      <c r="T140" s="14"/>
      <c r="U140" s="14"/>
      <c r="V140" s="14"/>
      <c r="W140" s="1"/>
      <c r="X140" s="5" t="str">
        <f t="shared" si="17"/>
        <v/>
      </c>
      <c r="Y140" s="11" t="str">
        <f t="shared" si="18"/>
        <v/>
      </c>
      <c r="Z140" s="11" t="str">
        <f t="shared" si="19"/>
        <v/>
      </c>
      <c r="AP140" s="5"/>
      <c r="AQ140" s="5"/>
      <c r="AR140" s="5"/>
      <c r="AS140" s="5"/>
      <c r="AT140" s="5"/>
      <c r="BC140" s="5"/>
      <c r="BD140" s="5"/>
    </row>
    <row r="141" spans="1:56" x14ac:dyDescent="0.2">
      <c r="A141" s="14"/>
      <c r="B141" s="1"/>
      <c r="C141" s="14"/>
      <c r="D141" s="14"/>
      <c r="G141" s="14"/>
      <c r="H141" s="14"/>
      <c r="I141" s="14"/>
      <c r="J141" s="14"/>
      <c r="K141" s="14"/>
      <c r="L141" s="14"/>
      <c r="M141" s="14"/>
      <c r="N141" s="14"/>
      <c r="O141" s="14"/>
      <c r="P141" s="14"/>
      <c r="R141" s="14"/>
      <c r="S141" s="14"/>
      <c r="T141" s="14"/>
      <c r="U141" s="14"/>
      <c r="V141" s="14"/>
      <c r="X141" s="5" t="str">
        <f t="shared" si="17"/>
        <v/>
      </c>
      <c r="Y141" s="11" t="str">
        <f t="shared" si="18"/>
        <v/>
      </c>
      <c r="Z141" s="11" t="str">
        <f t="shared" si="19"/>
        <v/>
      </c>
    </row>
    <row r="142" spans="1:56" x14ac:dyDescent="0.2">
      <c r="A142" s="14"/>
      <c r="B142" s="1"/>
      <c r="C142" s="14"/>
      <c r="D142" s="14"/>
      <c r="G142" s="14"/>
      <c r="H142" s="14"/>
      <c r="I142" s="14"/>
      <c r="J142" s="14"/>
      <c r="K142" s="14"/>
      <c r="L142" s="14"/>
      <c r="M142" s="14"/>
      <c r="N142" s="14"/>
      <c r="O142" s="14"/>
      <c r="P142" s="14"/>
      <c r="R142" s="14"/>
      <c r="S142" s="14"/>
      <c r="T142" s="14"/>
      <c r="U142" s="14"/>
      <c r="V142" s="14"/>
      <c r="X142" s="5" t="str">
        <f t="shared" si="17"/>
        <v/>
      </c>
      <c r="Y142" s="11" t="str">
        <f t="shared" si="18"/>
        <v/>
      </c>
      <c r="Z142" s="11" t="str">
        <f t="shared" si="19"/>
        <v/>
      </c>
    </row>
    <row r="143" spans="1:56" x14ac:dyDescent="0.2">
      <c r="A143" s="14"/>
      <c r="B143" s="1"/>
      <c r="C143" s="14"/>
      <c r="D143" s="14"/>
      <c r="G143" s="14"/>
      <c r="H143" s="14"/>
      <c r="I143" s="14"/>
      <c r="J143" s="14"/>
      <c r="K143" s="14"/>
      <c r="L143" s="14"/>
      <c r="M143" s="14"/>
      <c r="N143" s="14"/>
      <c r="O143" s="14"/>
      <c r="P143" s="14"/>
      <c r="R143" s="14"/>
      <c r="S143" s="14"/>
      <c r="T143" s="14"/>
      <c r="U143" s="14"/>
      <c r="V143" s="14"/>
      <c r="X143" s="5" t="str">
        <f t="shared" si="17"/>
        <v/>
      </c>
      <c r="Y143" s="11" t="str">
        <f t="shared" si="18"/>
        <v/>
      </c>
      <c r="Z143" s="11" t="str">
        <f t="shared" si="19"/>
        <v/>
      </c>
    </row>
    <row r="144" spans="1:56" x14ac:dyDescent="0.2">
      <c r="A144" s="14"/>
      <c r="B144" s="1"/>
      <c r="C144" s="14"/>
      <c r="D144" s="14"/>
      <c r="G144" s="14"/>
      <c r="H144" s="14"/>
      <c r="I144" s="14"/>
      <c r="J144" s="14"/>
      <c r="K144" s="14"/>
      <c r="L144" s="14"/>
      <c r="M144" s="14"/>
      <c r="N144" s="14"/>
      <c r="O144" s="14"/>
      <c r="P144" s="14"/>
      <c r="R144" s="14"/>
      <c r="S144" s="14"/>
      <c r="T144" s="14"/>
      <c r="U144" s="14"/>
      <c r="V144" s="14"/>
      <c r="X144" s="5" t="str">
        <f t="shared" si="17"/>
        <v/>
      </c>
      <c r="Y144" s="11" t="str">
        <f t="shared" si="18"/>
        <v/>
      </c>
      <c r="Z144" s="11" t="str">
        <f t="shared" si="19"/>
        <v/>
      </c>
    </row>
    <row r="145" spans="1:26" x14ac:dyDescent="0.2">
      <c r="A145" s="14"/>
      <c r="B145" s="1"/>
      <c r="C145" s="14"/>
      <c r="D145" s="14"/>
      <c r="G145" s="14"/>
      <c r="H145" s="14"/>
      <c r="I145" s="14"/>
      <c r="J145" s="14"/>
      <c r="K145" s="14"/>
      <c r="L145" s="14"/>
      <c r="M145" s="14"/>
      <c r="N145" s="14"/>
      <c r="O145" s="14"/>
      <c r="P145" s="14"/>
      <c r="R145" s="14"/>
      <c r="S145" s="14"/>
      <c r="T145" s="14"/>
      <c r="U145" s="14"/>
      <c r="V145" s="14"/>
      <c r="X145" s="5" t="str">
        <f t="shared" si="17"/>
        <v/>
      </c>
      <c r="Y145" s="11" t="str">
        <f t="shared" si="18"/>
        <v/>
      </c>
      <c r="Z145" s="11" t="str">
        <f t="shared" si="19"/>
        <v/>
      </c>
    </row>
    <row r="146" spans="1:26" x14ac:dyDescent="0.2">
      <c r="A146" s="14"/>
      <c r="B146" s="1"/>
      <c r="C146" s="14"/>
      <c r="D146" s="14"/>
      <c r="G146" s="14"/>
      <c r="H146" s="14"/>
      <c r="I146" s="14"/>
      <c r="J146" s="14"/>
      <c r="K146" s="14"/>
      <c r="L146" s="14"/>
      <c r="M146" s="14"/>
      <c r="N146" s="14"/>
      <c r="O146" s="14"/>
      <c r="P146" s="14"/>
      <c r="R146" s="14"/>
      <c r="S146" s="14"/>
      <c r="T146" s="14"/>
      <c r="U146" s="14"/>
      <c r="V146" s="14"/>
      <c r="X146" s="5" t="str">
        <f t="shared" si="17"/>
        <v/>
      </c>
      <c r="Y146" s="11" t="str">
        <f t="shared" si="18"/>
        <v/>
      </c>
      <c r="Z146" s="11" t="str">
        <f t="shared" si="19"/>
        <v/>
      </c>
    </row>
    <row r="147" spans="1:26" x14ac:dyDescent="0.2">
      <c r="A147" s="14"/>
      <c r="B147" s="1"/>
      <c r="C147" s="14"/>
      <c r="D147" s="14"/>
      <c r="G147" s="14"/>
      <c r="H147" s="14"/>
      <c r="I147" s="14"/>
      <c r="J147" s="14"/>
      <c r="K147" s="14"/>
      <c r="L147" s="14"/>
      <c r="M147" s="14"/>
      <c r="N147" s="14"/>
      <c r="O147" s="14"/>
      <c r="P147" s="14"/>
      <c r="R147" s="14"/>
      <c r="S147" s="14"/>
      <c r="T147" s="14"/>
      <c r="U147" s="14"/>
      <c r="V147" s="14"/>
      <c r="X147" s="5" t="str">
        <f t="shared" si="17"/>
        <v/>
      </c>
      <c r="Y147" s="11" t="str">
        <f t="shared" si="18"/>
        <v/>
      </c>
      <c r="Z147" s="11" t="str">
        <f t="shared" si="19"/>
        <v/>
      </c>
    </row>
  </sheetData>
  <conditionalFormatting sqref="BW2:BW25">
    <cfRule type="cellIs" dxfId="0" priority="1" operator="equal">
      <formula>FALSE</formula>
    </cfRule>
  </conditionalFormatting>
  <dataValidations count="1">
    <dataValidation promptTitle="Reference" prompt="Select two" sqref="E8 E37 E54" xr:uid="{92CB27FA-4C79-443B-A096-C096DD545EBE}"/>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8" r:id="rId3" name="Button 6">
              <controlPr defaultSize="0" autoFill="0" autoPict="0" macro="[0]!d13C_drift">
                <anchor moveWithCells="1" sizeWithCells="1">
                  <from>
                    <xdr:col>27</xdr:col>
                    <xdr:colOff>0</xdr:colOff>
                    <xdr:row>3</xdr:row>
                    <xdr:rowOff>25400</xdr:rowOff>
                  </from>
                  <to>
                    <xdr:col>28</xdr:col>
                    <xdr:colOff>101600</xdr:colOff>
                    <xdr:row>5</xdr:row>
                    <xdr:rowOff>152400</xdr:rowOff>
                  </to>
                </anchor>
              </controlPr>
            </control>
          </mc:Choice>
        </mc:AlternateContent>
        <mc:AlternateContent xmlns:mc="http://schemas.openxmlformats.org/markup-compatibility/2006">
          <mc:Choice Requires="x14">
            <control shapeId="3079" r:id="rId4" name="Button 7">
              <controlPr defaultSize="0" autoFill="0" autoPict="0" macro="[0]!d13C_ref">
                <anchor moveWithCells="1" sizeWithCells="1">
                  <from>
                    <xdr:col>37</xdr:col>
                    <xdr:colOff>25400</xdr:colOff>
                    <xdr:row>4</xdr:row>
                    <xdr:rowOff>12700</xdr:rowOff>
                  </from>
                  <to>
                    <xdr:col>38</xdr:col>
                    <xdr:colOff>508000</xdr:colOff>
                    <xdr:row>6</xdr:row>
                    <xdr:rowOff>101600</xdr:rowOff>
                  </to>
                </anchor>
              </controlPr>
            </control>
          </mc:Choice>
        </mc:AlternateContent>
        <mc:AlternateContent xmlns:mc="http://schemas.openxmlformats.org/markup-compatibility/2006">
          <mc:Choice Requires="x14">
            <control shapeId="3080" r:id="rId5" name="Button 8">
              <controlPr defaultSize="0" autoFill="0" autoPict="0" macro="[0]!C_qc">
                <anchor moveWithCells="1" sizeWithCells="1">
                  <from>
                    <xdr:col>49</xdr:col>
                    <xdr:colOff>0</xdr:colOff>
                    <xdr:row>2</xdr:row>
                    <xdr:rowOff>203200</xdr:rowOff>
                  </from>
                  <to>
                    <xdr:col>50</xdr:col>
                    <xdr:colOff>596900</xdr:colOff>
                    <xdr:row>5</xdr:row>
                    <xdr:rowOff>190500</xdr:rowOff>
                  </to>
                </anchor>
              </controlPr>
            </control>
          </mc:Choice>
        </mc:AlternateContent>
        <mc:AlternateContent xmlns:mc="http://schemas.openxmlformats.org/markup-compatibility/2006">
          <mc:Choice Requires="x14">
            <control shapeId="3082" r:id="rId6" name="Button 10">
              <controlPr defaultSize="0" print="0" autoFill="0" autoPict="0" macro="[0]!d13C_lincheck">
                <anchor moveWithCells="1" sizeWithCells="1">
                  <from>
                    <xdr:col>62</xdr:col>
                    <xdr:colOff>0</xdr:colOff>
                    <xdr:row>6</xdr:row>
                    <xdr:rowOff>190500</xdr:rowOff>
                  </from>
                  <to>
                    <xdr:col>64</xdr:col>
                    <xdr:colOff>0</xdr:colOff>
                    <xdr:row>11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promptTitle="Reference" prompt="Select two" xr:uid="{00000000-0002-0000-0500-000000000000}">
          <x14:formula1>
            <xm:f>References!$A$2:$A$6</xm:f>
          </x14:formula1>
          <xm:sqref>AB2 BK2:BK5 AX2 AL2:AL4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rgb="FFFF0000"/>
  </sheetPr>
  <dimension ref="A1:P328"/>
  <sheetViews>
    <sheetView tabSelected="1" zoomScale="80" zoomScaleNormal="80" workbookViewId="0">
      <pane ySplit="1" topLeftCell="A2" activePane="bottomLeft" state="frozen"/>
      <selection pane="bottomLeft" activeCell="J6" sqref="J6"/>
    </sheetView>
  </sheetViews>
  <sheetFormatPr baseColWidth="10" defaultColWidth="11" defaultRowHeight="16" x14ac:dyDescent="0.2"/>
  <cols>
    <col min="1" max="1" width="11.33203125" style="3" customWidth="1"/>
    <col min="2" max="2" width="45.6640625" style="3" bestFit="1" customWidth="1"/>
    <col min="3" max="4" width="7.33203125" style="3" bestFit="1" customWidth="1"/>
    <col min="5" max="5" width="10.5" style="3" bestFit="1" customWidth="1"/>
    <col min="6" max="7" width="13.83203125" style="3" bestFit="1" customWidth="1"/>
    <col min="8" max="8" width="20.33203125" style="3" bestFit="1" customWidth="1"/>
    <col min="9" max="9" width="18.6640625" style="3" bestFit="1" customWidth="1"/>
    <col min="11" max="11" width="17.6640625" customWidth="1"/>
    <col min="12" max="12" width="23.83203125" customWidth="1"/>
    <col min="13" max="13" width="20.33203125" customWidth="1"/>
    <col min="14" max="14" width="17.6640625" customWidth="1"/>
    <col min="15" max="15" width="23.83203125" customWidth="1"/>
    <col min="16" max="16" width="18.6640625" customWidth="1"/>
  </cols>
  <sheetData>
    <row r="1" spans="1:16" s="8" customFormat="1" ht="34" x14ac:dyDescent="0.2">
      <c r="A1" s="21" t="s">
        <v>40</v>
      </c>
      <c r="B1" s="22" t="s">
        <v>1</v>
      </c>
      <c r="C1" s="23" t="s">
        <v>22</v>
      </c>
      <c r="D1" s="23" t="s">
        <v>26</v>
      </c>
      <c r="E1" s="53" t="s">
        <v>2</v>
      </c>
      <c r="F1" s="23" t="s">
        <v>91</v>
      </c>
      <c r="G1" s="23" t="s">
        <v>92</v>
      </c>
      <c r="H1" s="18" t="s">
        <v>77</v>
      </c>
      <c r="I1" s="18" t="s">
        <v>76</v>
      </c>
      <c r="K1" s="46" t="s">
        <v>40</v>
      </c>
      <c r="L1" s="46" t="s">
        <v>57</v>
      </c>
      <c r="M1" s="46" t="s">
        <v>77</v>
      </c>
      <c r="N1" s="49" t="s">
        <v>40</v>
      </c>
      <c r="O1" s="49" t="s">
        <v>57</v>
      </c>
      <c r="P1" s="49" t="s">
        <v>76</v>
      </c>
    </row>
    <row r="2" spans="1:16" x14ac:dyDescent="0.2">
      <c r="A2">
        <v>27943</v>
      </c>
      <c r="B2" t="s">
        <v>103</v>
      </c>
      <c r="C2" s="10">
        <f>IF(ISNA(MATCH(A2,'Elemental analysis'!$Q$5:$Q$139,0)),"",INDEX('Elemental analysis'!$Q$5:$W$139,MATCH(Summary!$A2,'Elemental analysis'!$Q$5:$Q$139,0),MATCH(Summary!C$1,'Elemental analysis'!$Q$5:$W$5,0)))</f>
        <v>1.1492726481185841E-2</v>
      </c>
      <c r="D2" s="10">
        <f>IF(ISNA(MATCH(A2,'Elemental analysis'!$Y$5:$Y$139,0)),"",INDEX('Elemental analysis'!$Y$5:$AE$139,MATCH(Summary!$A2,'Elemental analysis'!$Y$5:$Y$139,0),MATCH(Summary!D$1,'Elemental analysis'!$Y$5:$AE$5,0)))</f>
        <v>0.16398128088222211</v>
      </c>
      <c r="E2" s="10">
        <f>IF( IF(ISNA(MATCH(A2,'Elemental analysis'!$Y$5:$Y$139,0)),"",INDEX('Elemental analysis'!$Y$5:$AE$139,MATCH(Summary!$A2,'Elemental analysis'!$Y$5:$Y$139,0),MATCH(Summary!E$1,'Elemental analysis'!$Y$5:$AE$5,0)))=0,"",IF(ISNA(MATCH(A2,'Elemental analysis'!$Y$5:$Y$139,0)),"",INDEX('Elemental analysis'!$Y$5:$AE$139,MATCH(Summary!$A2,'Elemental analysis'!$Y$5:$Y$139,0),MATCH(Summary!E$1,'Elemental analysis'!$Y$5:$AE$5,0))))</f>
        <v>5.72</v>
      </c>
      <c r="F2" s="10">
        <f t="shared" ref="F2:F46" si="0">IF(ISERROR(C2/E2),"",C2/E2)</f>
        <v>2.009217916291231E-3</v>
      </c>
      <c r="G2" s="10">
        <f t="shared" ref="G2:G46" si="1">IF(ISERROR(D2/E2),"",D2/E2)</f>
        <v>2.8668056098290578E-2</v>
      </c>
      <c r="H2" s="11">
        <f>IF(ISNA(MATCH(A2,'15N'!$B:$B,0)),"",INDEX('15N'!$A:$Y,MATCH(A2,'15N'!$B:$B,0),MATCH(Summary!$H$1,'15N'!$A$1:$Y$1,0)))</f>
        <v>2.2187300049711212</v>
      </c>
      <c r="I2" s="11">
        <f>IF(ISNA(MATCH(A2,'13C'!$B:$B,0)),"",INDEX('13C'!$A:$Z,MATCH(A2,'13C'!$B:$B,0),MATCH(Summary!$I$1,'13C'!$A$1:$Z$1,0)))</f>
        <v>-24.043458133952413</v>
      </c>
      <c r="K2" s="47">
        <f>IF(ISBLANK('15N'!AZ2),"",'15N'!AZ2)</f>
        <v>27939</v>
      </c>
      <c r="L2" s="47" t="str">
        <f>IF(ISBLANK('15N'!BA2),"",'15N'!BA2)</f>
        <v>Urea</v>
      </c>
      <c r="M2" s="48">
        <f>IF(ISBLANK('15N'!BB2),"",'15N'!BC2)</f>
        <v>-0.31469066332590501</v>
      </c>
      <c r="N2" s="50">
        <f>IF(ISBLANK('13C'!BA2),"",'13C'!BA2)</f>
        <v>27941</v>
      </c>
      <c r="O2" s="50" t="str">
        <f>IF(ISBLANK('13C'!BB2),"",'13C'!BB2)</f>
        <v>Spirulina</v>
      </c>
      <c r="P2" s="51">
        <f>IF(ISBLANK('13C'!BC2),"",'13C'!BD2)</f>
        <v>-29.281062707121009</v>
      </c>
    </row>
    <row r="3" spans="1:16" x14ac:dyDescent="0.2">
      <c r="A3">
        <v>27944</v>
      </c>
      <c r="B3" t="s">
        <v>104</v>
      </c>
      <c r="C3" s="10">
        <f>IF(ISNA(MATCH(A3,'Elemental analysis'!$Q$5:$Q$139,0)),"",INDEX('Elemental analysis'!$Q$5:$W$139,MATCH(Summary!$A3,'Elemental analysis'!$Q$5:$Q$139,0),MATCH(Summary!C$1,'Elemental analysis'!$Q$5:$W$5,0)))</f>
        <v>5.2642402516613854E-2</v>
      </c>
      <c r="D3" s="10">
        <f>IF(ISNA(MATCH(A3,'Elemental analysis'!$Y$5:$Y$139,0)),"",INDEX('Elemental analysis'!$Y$5:$AE$139,MATCH(Summary!$A3,'Elemental analysis'!$Y$5:$Y$139,0),MATCH(Summary!D$1,'Elemental analysis'!$Y$5:$AE$5,0)))</f>
        <v>0.83802869034085681</v>
      </c>
      <c r="E3" s="10">
        <f>IF( IF(ISNA(MATCH(A3,'Elemental analysis'!$Y$5:$Y$139,0)),"",INDEX('Elemental analysis'!$Y$5:$AE$139,MATCH(Summary!$A3,'Elemental analysis'!$Y$5:$Y$139,0),MATCH(Summary!E$1,'Elemental analysis'!$Y$5:$AE$5,0)))=0,"",IF(ISNA(MATCH(A3,'Elemental analysis'!$Y$5:$Y$139,0)),"",INDEX('Elemental analysis'!$Y$5:$AE$139,MATCH(Summary!$A3,'Elemental analysis'!$Y$5:$Y$139,0),MATCH(Summary!E$1,'Elemental analysis'!$Y$5:$AE$5,0))))</f>
        <v>5.7050000000000001</v>
      </c>
      <c r="F3" s="10">
        <f t="shared" si="0"/>
        <v>9.2274149897657934E-3</v>
      </c>
      <c r="G3" s="10">
        <f t="shared" si="1"/>
        <v>0.14689372310970319</v>
      </c>
      <c r="H3" s="11">
        <f>IF(ISNA(MATCH(A3,'15N'!$B:$B,0)),"",INDEX('15N'!$A:$Y,MATCH(A3,'15N'!$B:$B,0),MATCH(Summary!$H$1,'15N'!$A$1:$Y$1,0)))</f>
        <v>5.315768970603358</v>
      </c>
      <c r="I3" s="11">
        <f>IF(ISNA(MATCH(A3,'13C'!$B:$B,0)),"",INDEX('13C'!$A:$Z,MATCH(A3,'13C'!$B:$B,0),MATCH(Summary!$I$1,'13C'!$A$1:$Z$1,0)))</f>
        <v>-24.451561968088527</v>
      </c>
      <c r="K3" s="47">
        <f>IF(ISBLANK('15N'!AZ3),"",'15N'!AZ3)</f>
        <v>27968</v>
      </c>
      <c r="L3" s="47" t="str">
        <f>IF(ISBLANK('15N'!BA3),"",'15N'!BA3)</f>
        <v>Urea</v>
      </c>
      <c r="M3" s="48">
        <f>IF(ISBLANK('15N'!BB3),"",'15N'!BC3)</f>
        <v>-0.25687430127345579</v>
      </c>
      <c r="N3" s="50">
        <f>IF(ISBLANK('13C'!BA3),"",'13C'!BA3)</f>
        <v>27970</v>
      </c>
      <c r="O3" s="50" t="str">
        <f>IF(ISBLANK('13C'!BB3),"",'13C'!BB3)</f>
        <v>Spirulina</v>
      </c>
      <c r="P3" s="51">
        <f>IF(ISBLANK('13C'!BC3),"",'13C'!BD3)</f>
        <v>-29.287609192210198</v>
      </c>
    </row>
    <row r="4" spans="1:16" x14ac:dyDescent="0.2">
      <c r="A4">
        <v>27945</v>
      </c>
      <c r="B4" t="s">
        <v>105</v>
      </c>
      <c r="C4" s="10">
        <f>IF(ISNA(MATCH(A4,'Elemental analysis'!$Q$5:$Q$139,0)),"",INDEX('Elemental analysis'!$Q$5:$W$139,MATCH(Summary!$A4,'Elemental analysis'!$Q$5:$Q$139,0),MATCH(Summary!C$1,'Elemental analysis'!$Q$5:$W$5,0)))</f>
        <v>4.5081692332574939E-2</v>
      </c>
      <c r="D4" s="10">
        <f>IF(ISNA(MATCH(A4,'Elemental analysis'!$Y$5:$Y$139,0)),"",INDEX('Elemental analysis'!$Y$5:$AE$139,MATCH(Summary!$A4,'Elemental analysis'!$Y$5:$Y$139,0),MATCH(Summary!D$1,'Elemental analysis'!$Y$5:$AE$5,0)))</f>
        <v>0.7137678971744077</v>
      </c>
      <c r="E4" s="10">
        <f>IF( IF(ISNA(MATCH(A4,'Elemental analysis'!$Y$5:$Y$139,0)),"",INDEX('Elemental analysis'!$Y$5:$AE$139,MATCH(Summary!$A4,'Elemental analysis'!$Y$5:$Y$139,0),MATCH(Summary!E$1,'Elemental analysis'!$Y$5:$AE$5,0)))=0,"",IF(ISNA(MATCH(A4,'Elemental analysis'!$Y$5:$Y$139,0)),"",INDEX('Elemental analysis'!$Y$5:$AE$139,MATCH(Summary!$A4,'Elemental analysis'!$Y$5:$Y$139,0),MATCH(Summary!E$1,'Elemental analysis'!$Y$5:$AE$5,0))))</f>
        <v>5.7519999999999998</v>
      </c>
      <c r="F4" s="10">
        <f t="shared" si="0"/>
        <v>7.8375682080276329E-3</v>
      </c>
      <c r="G4" s="10">
        <f t="shared" si="1"/>
        <v>0.12409038546147562</v>
      </c>
      <c r="H4" s="11">
        <f>IF(ISNA(MATCH(A4,'15N'!$B:$B,0)),"",INDEX('15N'!$A:$Y,MATCH(A4,'15N'!$B:$B,0),MATCH(Summary!$H$1,'15N'!$A$1:$Y$1,0)))</f>
        <v>4.4865590262475052</v>
      </c>
      <c r="I4" s="11">
        <f>IF(ISNA(MATCH(A4,'13C'!$B:$B,0)),"",INDEX('13C'!$A:$Z,MATCH(A4,'13C'!$B:$B,0),MATCH(Summary!$I$1,'13C'!$A$1:$Z$1,0)))</f>
        <v>-24.315804852481506</v>
      </c>
      <c r="K4" s="47">
        <f>IF(ISBLANK('15N'!AZ4),"",'15N'!AZ4)</f>
        <v>27985</v>
      </c>
      <c r="L4" s="47" t="str">
        <f>IF(ISBLANK('15N'!BA4),"",'15N'!BA4)</f>
        <v>Urea</v>
      </c>
      <c r="M4" s="48">
        <f>IF(ISBLANK('15N'!BB4),"",'15N'!BC4)</f>
        <v>-0.29072074281168625</v>
      </c>
      <c r="N4" s="50">
        <f>IF(ISBLANK('13C'!BA4),"",'13C'!BA4)</f>
        <v>27987</v>
      </c>
      <c r="O4" s="50" t="str">
        <f>IF(ISBLANK('13C'!BB4),"",'13C'!BB4)</f>
        <v>Spirulina</v>
      </c>
      <c r="P4" s="51">
        <f>IF(ISBLANK('13C'!BC4),"",'13C'!BD4)</f>
        <v>-29.26008443311332</v>
      </c>
    </row>
    <row r="5" spans="1:16" x14ac:dyDescent="0.2">
      <c r="A5">
        <v>27946</v>
      </c>
      <c r="B5" t="s">
        <v>106</v>
      </c>
      <c r="C5" s="10">
        <f>IF(ISNA(MATCH(A5,'Elemental analysis'!$Q$5:$Q$139,0)),"",INDEX('Elemental analysis'!$Q$5:$W$139,MATCH(Summary!$A5,'Elemental analysis'!$Q$5:$Q$139,0),MATCH(Summary!C$1,'Elemental analysis'!$Q$5:$W$5,0)))</f>
        <v>3.0517427339123288E-2</v>
      </c>
      <c r="D5" s="10">
        <f>IF(ISNA(MATCH(A5,'Elemental analysis'!$Y$5:$Y$139,0)),"",INDEX('Elemental analysis'!$Y$5:$AE$139,MATCH(Summary!$A5,'Elemental analysis'!$Y$5:$Y$139,0),MATCH(Summary!D$1,'Elemental analysis'!$Y$5:$AE$5,0)))</f>
        <v>0.40047363939593178</v>
      </c>
      <c r="E5" s="10">
        <f>IF( IF(ISNA(MATCH(A5,'Elemental analysis'!$Y$5:$Y$139,0)),"",INDEX('Elemental analysis'!$Y$5:$AE$139,MATCH(Summary!$A5,'Elemental analysis'!$Y$5:$Y$139,0),MATCH(Summary!E$1,'Elemental analysis'!$Y$5:$AE$5,0)))=0,"",IF(ISNA(MATCH(A5,'Elemental analysis'!$Y$5:$Y$139,0)),"",INDEX('Elemental analysis'!$Y$5:$AE$139,MATCH(Summary!$A5,'Elemental analysis'!$Y$5:$Y$139,0),MATCH(Summary!E$1,'Elemental analysis'!$Y$5:$AE$5,0))))</f>
        <v>5.9560000000000004</v>
      </c>
      <c r="F5" s="10">
        <f t="shared" si="0"/>
        <v>5.1238125149636144E-3</v>
      </c>
      <c r="G5" s="10">
        <f t="shared" si="1"/>
        <v>6.7238690294817285E-2</v>
      </c>
      <c r="H5" s="11">
        <f>IF(ISNA(MATCH(A5,'15N'!$B:$B,0)),"",INDEX('15N'!$A:$Y,MATCH(A5,'15N'!$B:$B,0),MATCH(Summary!$H$1,'15N'!$A$1:$Y$1,0)))</f>
        <v>5.17441188930718</v>
      </c>
      <c r="I5" s="11">
        <f>IF(ISNA(MATCH(A5,'13C'!$B:$B,0)),"",INDEX('13C'!$A:$Z,MATCH(A5,'13C'!$B:$B,0),MATCH(Summary!$I$1,'13C'!$A$1:$Z$1,0)))</f>
        <v>-24.564009703693728</v>
      </c>
      <c r="K5" s="47" t="str">
        <f>IF(ISBLANK('15N'!AZ5),"",'15N'!AZ5)</f>
        <v/>
      </c>
      <c r="L5" s="47" t="str">
        <f>IF(ISBLANK('15N'!BA5),"",'15N'!BA5)</f>
        <v/>
      </c>
      <c r="M5" s="48" t="str">
        <f>IF(ISBLANK('15N'!BB5),"",'15N'!BC5)</f>
        <v/>
      </c>
      <c r="N5" s="50" t="str">
        <f>IF(ISBLANK('13C'!BA5),"",'13C'!BA5)</f>
        <v/>
      </c>
      <c r="O5" s="50" t="str">
        <f>IF(ISBLANK('13C'!BB5),"",'13C'!BB5)</f>
        <v/>
      </c>
      <c r="P5" s="51" t="str">
        <f>IF(ISBLANK('13C'!BC5),"",'13C'!BD5)</f>
        <v/>
      </c>
    </row>
    <row r="6" spans="1:16" x14ac:dyDescent="0.2">
      <c r="A6">
        <v>27947</v>
      </c>
      <c r="B6" t="s">
        <v>107</v>
      </c>
      <c r="C6" s="10">
        <f>IF(ISNA(MATCH(A6,'Elemental analysis'!$Q$5:$Q$139,0)),"",INDEX('Elemental analysis'!$Q$5:$W$139,MATCH(Summary!$A6,'Elemental analysis'!$Q$5:$Q$139,0),MATCH(Summary!C$1,'Elemental analysis'!$Q$5:$W$5,0)))</f>
        <v>3.0748910231159953E-2</v>
      </c>
      <c r="D6" s="10">
        <f>IF(ISNA(MATCH(A6,'Elemental analysis'!$Y$5:$Y$139,0)),"",INDEX('Elemental analysis'!$Y$5:$AE$139,MATCH(Summary!$A6,'Elemental analysis'!$Y$5:$Y$139,0),MATCH(Summary!D$1,'Elemental analysis'!$Y$5:$AE$5,0)))</f>
        <v>0.46106089384331167</v>
      </c>
      <c r="E6" s="10">
        <f>IF( IF(ISNA(MATCH(A6,'Elemental analysis'!$Y$5:$Y$139,0)),"",INDEX('Elemental analysis'!$Y$5:$AE$139,MATCH(Summary!$A6,'Elemental analysis'!$Y$5:$Y$139,0),MATCH(Summary!E$1,'Elemental analysis'!$Y$5:$AE$5,0)))=0,"",IF(ISNA(MATCH(A6,'Elemental analysis'!$Y$5:$Y$139,0)),"",INDEX('Elemental analysis'!$Y$5:$AE$139,MATCH(Summary!$A6,'Elemental analysis'!$Y$5:$Y$139,0),MATCH(Summary!E$1,'Elemental analysis'!$Y$5:$AE$5,0))))</f>
        <v>5.8090000000000002</v>
      </c>
      <c r="F6" s="10">
        <f t="shared" si="0"/>
        <v>5.2933224705043816E-3</v>
      </c>
      <c r="G6" s="10">
        <f t="shared" si="1"/>
        <v>7.9370097063747924E-2</v>
      </c>
      <c r="H6" s="11">
        <f>IF(ISNA(MATCH(A6,'15N'!$B:$B,0)),"",INDEX('15N'!$A:$Y,MATCH(A6,'15N'!$B:$B,0),MATCH(Summary!$H$1,'15N'!$A$1:$Y$1,0)))</f>
        <v>6.5701969084415168</v>
      </c>
      <c r="I6" s="11">
        <f>IF(ISNA(MATCH(A6,'13C'!$B:$B,0)),"",INDEX('13C'!$A:$Z,MATCH(A6,'13C'!$B:$B,0),MATCH(Summary!$I$1,'13C'!$A$1:$Z$1,0)))</f>
        <v>-25.652452568471745</v>
      </c>
      <c r="K6" s="47" t="str">
        <f>IF(ISBLANK('15N'!AZ6),"",'15N'!AZ6)</f>
        <v/>
      </c>
      <c r="L6" s="47" t="str">
        <f>IF(ISBLANK('15N'!BA6),"",'15N'!BA6)</f>
        <v/>
      </c>
      <c r="M6" s="48" t="str">
        <f>IF(ISBLANK('15N'!BB6),"",'15N'!BC6)</f>
        <v/>
      </c>
      <c r="N6" s="50" t="str">
        <f>IF(ISBLANK('13C'!BA6),"",'13C'!BA6)</f>
        <v/>
      </c>
      <c r="O6" s="50" t="str">
        <f>IF(ISBLANK('13C'!BB6),"",'13C'!BB6)</f>
        <v/>
      </c>
      <c r="P6" s="51" t="str">
        <f>IF(ISBLANK('13C'!BC6),"",'13C'!BD6)</f>
        <v/>
      </c>
    </row>
    <row r="7" spans="1:16" x14ac:dyDescent="0.2">
      <c r="A7">
        <v>27948</v>
      </c>
      <c r="B7" t="s">
        <v>108</v>
      </c>
      <c r="C7" s="10">
        <f>IF(ISNA(MATCH(A7,'Elemental analysis'!$Q$5:$Q$139,0)),"",INDEX('Elemental analysis'!$Q$5:$W$139,MATCH(Summary!$A7,'Elemental analysis'!$Q$5:$Q$139,0),MATCH(Summary!C$1,'Elemental analysis'!$Q$5:$W$5,0)))</f>
        <v>1.2990979544471424E-2</v>
      </c>
      <c r="D7" s="10">
        <f>IF(ISNA(MATCH(A7,'Elemental analysis'!$Y$5:$Y$139,0)),"",INDEX('Elemental analysis'!$Y$5:$AE$139,MATCH(Summary!$A7,'Elemental analysis'!$Y$5:$Y$139,0),MATCH(Summary!D$1,'Elemental analysis'!$Y$5:$AE$5,0)))</f>
        <v>0.14927428791170094</v>
      </c>
      <c r="E7" s="10">
        <f>IF( IF(ISNA(MATCH(A7,'Elemental analysis'!$Y$5:$Y$139,0)),"",INDEX('Elemental analysis'!$Y$5:$AE$139,MATCH(Summary!$A7,'Elemental analysis'!$Y$5:$Y$139,0),MATCH(Summary!E$1,'Elemental analysis'!$Y$5:$AE$5,0)))=0,"",IF(ISNA(MATCH(A7,'Elemental analysis'!$Y$5:$Y$139,0)),"",INDEX('Elemental analysis'!$Y$5:$AE$139,MATCH(Summary!$A7,'Elemental analysis'!$Y$5:$Y$139,0),MATCH(Summary!E$1,'Elemental analysis'!$Y$5:$AE$5,0))))</f>
        <v>5.6559999999999997</v>
      </c>
      <c r="F7" s="10">
        <f t="shared" si="0"/>
        <v>2.2968492829687809E-3</v>
      </c>
      <c r="G7" s="10">
        <f t="shared" si="1"/>
        <v>2.6392200833044721E-2</v>
      </c>
      <c r="H7" s="11">
        <f>IF(ISNA(MATCH(A7,'15N'!$B:$B,0)),"",INDEX('15N'!$A:$Y,MATCH(A7,'15N'!$B:$B,0),MATCH(Summary!$H$1,'15N'!$A$1:$Y$1,0)))</f>
        <v>0.69071457034090145</v>
      </c>
      <c r="I7" s="11">
        <f>IF(ISNA(MATCH(A7,'13C'!$B:$B,0)),"",INDEX('13C'!$A:$Z,MATCH(A7,'13C'!$B:$B,0),MATCH(Summary!$I$1,'13C'!$A$1:$Z$1,0)))</f>
        <v>-24.004269642228564</v>
      </c>
      <c r="K7" s="47" t="str">
        <f>IF(ISBLANK('15N'!AZ7),"",'15N'!AZ7)</f>
        <v/>
      </c>
      <c r="L7" s="47" t="str">
        <f>IF(ISBLANK('15N'!BA7),"",'15N'!BA7)</f>
        <v/>
      </c>
      <c r="M7" s="48" t="str">
        <f>IF(ISBLANK('15N'!BB7),"",'15N'!BC7)</f>
        <v/>
      </c>
      <c r="N7" s="50" t="str">
        <f>IF(ISBLANK('13C'!BA7),"",'13C'!BA7)</f>
        <v/>
      </c>
      <c r="O7" s="50" t="str">
        <f>IF(ISBLANK('13C'!BB7),"",'13C'!BB7)</f>
        <v/>
      </c>
      <c r="P7" s="51" t="str">
        <f>IF(ISBLANK('13C'!BC7),"",'13C'!BD7)</f>
        <v/>
      </c>
    </row>
    <row r="8" spans="1:16" x14ac:dyDescent="0.2">
      <c r="A8">
        <v>27950</v>
      </c>
      <c r="B8" t="s">
        <v>109</v>
      </c>
      <c r="C8" s="10">
        <f>IF(ISNA(MATCH(A8,'Elemental analysis'!$Q$5:$Q$139,0)),"",INDEX('Elemental analysis'!$Q$5:$W$139,MATCH(Summary!$A8,'Elemental analysis'!$Q$5:$Q$139,0),MATCH(Summary!C$1,'Elemental analysis'!$Q$5:$W$5,0)))</f>
        <v>2.0158967028917101E-2</v>
      </c>
      <c r="D8" s="10">
        <f>IF(ISNA(MATCH(A8,'Elemental analysis'!$Y$5:$Y$139,0)),"",INDEX('Elemental analysis'!$Y$5:$AE$139,MATCH(Summary!$A8,'Elemental analysis'!$Y$5:$Y$139,0),MATCH(Summary!D$1,'Elemental analysis'!$Y$5:$AE$5,0)))</f>
        <v>0.31984000747206881</v>
      </c>
      <c r="E8" s="10">
        <f>IF( IF(ISNA(MATCH(A8,'Elemental analysis'!$Y$5:$Y$139,0)),"",INDEX('Elemental analysis'!$Y$5:$AE$139,MATCH(Summary!$A8,'Elemental analysis'!$Y$5:$Y$139,0),MATCH(Summary!E$1,'Elemental analysis'!$Y$5:$AE$5,0)))=0,"",IF(ISNA(MATCH(A8,'Elemental analysis'!$Y$5:$Y$139,0)),"",INDEX('Elemental analysis'!$Y$5:$AE$139,MATCH(Summary!$A8,'Elemental analysis'!$Y$5:$Y$139,0),MATCH(Summary!E$1,'Elemental analysis'!$Y$5:$AE$5,0))))</f>
        <v>5.6390000000000002</v>
      </c>
      <c r="F8" s="10">
        <f t="shared" si="0"/>
        <v>3.5749187850535732E-3</v>
      </c>
      <c r="G8" s="10">
        <f t="shared" si="1"/>
        <v>5.6719277792528604E-2</v>
      </c>
      <c r="H8" s="11">
        <f>IF(ISNA(MATCH(A8,'15N'!$B:$B,0)),"",INDEX('15N'!$A:$Y,MATCH(A8,'15N'!$B:$B,0),MATCH(Summary!$H$1,'15N'!$A$1:$Y$1,0)))</f>
        <v>3.7939198287696172</v>
      </c>
      <c r="I8" s="11">
        <f>IF(ISNA(MATCH(A8,'13C'!$B:$B,0)),"",INDEX('13C'!$A:$Z,MATCH(A8,'13C'!$B:$B,0),MATCH(Summary!$I$1,'13C'!$A$1:$Z$1,0)))</f>
        <v>-24.896862981250365</v>
      </c>
      <c r="K8" s="55" t="s">
        <v>83</v>
      </c>
      <c r="L8" s="55"/>
      <c r="M8" s="52">
        <f>AVERAGE(M2:M7)</f>
        <v>-0.2874285691370157</v>
      </c>
      <c r="N8" s="37"/>
      <c r="P8" s="52">
        <f>AVERAGE(P2:P7)</f>
        <v>-29.276252110814841</v>
      </c>
    </row>
    <row r="9" spans="1:16" x14ac:dyDescent="0.2">
      <c r="A9">
        <v>27951</v>
      </c>
      <c r="B9" t="s">
        <v>110</v>
      </c>
      <c r="C9" s="10">
        <f>IF(ISNA(MATCH(A9,'Elemental analysis'!$Q$5:$Q$139,0)),"",INDEX('Elemental analysis'!$Q$5:$W$139,MATCH(Summary!$A9,'Elemental analysis'!$Q$5:$Q$139,0),MATCH(Summary!C$1,'Elemental analysis'!$Q$5:$W$5,0)))</f>
        <v>3.2364501174202052E-2</v>
      </c>
      <c r="D9" s="10">
        <f>IF(ISNA(MATCH(A9,'Elemental analysis'!$Y$5:$Y$139,0)),"",INDEX('Elemental analysis'!$Y$5:$AE$139,MATCH(Summary!$A9,'Elemental analysis'!$Y$5:$Y$139,0),MATCH(Summary!D$1,'Elemental analysis'!$Y$5:$AE$5,0)))</f>
        <v>0.42406569475595973</v>
      </c>
      <c r="E9" s="10">
        <f>IF( IF(ISNA(MATCH(A9,'Elemental analysis'!$Y$5:$Y$139,0)),"",INDEX('Elemental analysis'!$Y$5:$AE$139,MATCH(Summary!$A9,'Elemental analysis'!$Y$5:$Y$139,0),MATCH(Summary!E$1,'Elemental analysis'!$Y$5:$AE$5,0)))=0,"",IF(ISNA(MATCH(A9,'Elemental analysis'!$Y$5:$Y$139,0)),"",INDEX('Elemental analysis'!$Y$5:$AE$139,MATCH(Summary!$A9,'Elemental analysis'!$Y$5:$Y$139,0),MATCH(Summary!E$1,'Elemental analysis'!$Y$5:$AE$5,0))))</f>
        <v>5.7060000000000004</v>
      </c>
      <c r="F9" s="10">
        <f t="shared" si="0"/>
        <v>5.6720121230638011E-3</v>
      </c>
      <c r="G9" s="10">
        <f t="shared" si="1"/>
        <v>7.4319259508580385E-2</v>
      </c>
      <c r="H9" s="11">
        <f>IF(ISNA(MATCH(A9,'15N'!$B:$B,0)),"",INDEX('15N'!$A:$Y,MATCH(A9,'15N'!$B:$B,0),MATCH(Summary!$H$1,'15N'!$A$1:$Y$1,0)))</f>
        <v>6.4393887776867587</v>
      </c>
      <c r="I9" s="11">
        <f>IF(ISNA(MATCH(A9,'13C'!$B:$B,0)),"",INDEX('13C'!$A:$Z,MATCH(A9,'13C'!$B:$B,0),MATCH(Summary!$I$1,'13C'!$A$1:$Z$1,0)))</f>
        <v>-24.929152923700826</v>
      </c>
      <c r="K9" s="56" t="s">
        <v>84</v>
      </c>
      <c r="L9" s="56"/>
      <c r="M9" s="52">
        <f>((M8+1000)/(VLOOKUP(L2,refs[],3)+1000)-1)*1000</f>
        <v>0.11261647745408609</v>
      </c>
      <c r="N9" s="37"/>
      <c r="P9" s="52">
        <f>((P8+1000)/(VLOOKUP(O2,refs[],5)+1000)-1)*1000</f>
        <v>-6.8245563731417214E-2</v>
      </c>
    </row>
    <row r="10" spans="1:16" x14ac:dyDescent="0.2">
      <c r="A10">
        <v>27952</v>
      </c>
      <c r="B10" t="s">
        <v>111</v>
      </c>
      <c r="C10" s="10">
        <f>IF(ISNA(MATCH(A10,'Elemental analysis'!$Q$5:$Q$139,0)),"",INDEX('Elemental analysis'!$Q$5:$W$139,MATCH(Summary!$A10,'Elemental analysis'!$Q$5:$Q$139,0),MATCH(Summary!C$1,'Elemental analysis'!$Q$5:$W$5,0)))</f>
        <v>2.0838249584514346E-2</v>
      </c>
      <c r="D10" s="10">
        <f>IF(ISNA(MATCH(A10,'Elemental analysis'!$Y$5:$Y$139,0)),"",INDEX('Elemental analysis'!$Y$5:$AE$139,MATCH(Summary!$A10,'Elemental analysis'!$Y$5:$Y$139,0),MATCH(Summary!D$1,'Elemental analysis'!$Y$5:$AE$5,0)))</f>
        <v>0.32880305710602853</v>
      </c>
      <c r="E10" s="10">
        <f>IF( IF(ISNA(MATCH(A10,'Elemental analysis'!$Y$5:$Y$139,0)),"",INDEX('Elemental analysis'!$Y$5:$AE$139,MATCH(Summary!$A10,'Elemental analysis'!$Y$5:$Y$139,0),MATCH(Summary!E$1,'Elemental analysis'!$Y$5:$AE$5,0)))=0,"",IF(ISNA(MATCH(A10,'Elemental analysis'!$Y$5:$Y$139,0)),"",INDEX('Elemental analysis'!$Y$5:$AE$139,MATCH(Summary!$A10,'Elemental analysis'!$Y$5:$Y$139,0),MATCH(Summary!E$1,'Elemental analysis'!$Y$5:$AE$5,0))))</f>
        <v>5.59</v>
      </c>
      <c r="F10" s="10">
        <f t="shared" si="0"/>
        <v>3.7277727342601694E-3</v>
      </c>
      <c r="G10" s="10">
        <f t="shared" si="1"/>
        <v>5.881986710304625E-2</v>
      </c>
      <c r="H10" s="11">
        <f>IF(ISNA(MATCH(A10,'15N'!$B:$B,0)),"",INDEX('15N'!$A:$Y,MATCH(A10,'15N'!$B:$B,0),MATCH(Summary!$H$1,'15N'!$A$1:$Y$1,0)))</f>
        <v>5.3275998395648685</v>
      </c>
      <c r="I10" s="11">
        <f>IF(ISNA(MATCH(A10,'13C'!$B:$B,0)),"",INDEX('13C'!$A:$Z,MATCH(A10,'13C'!$B:$B,0),MATCH(Summary!$I$1,'13C'!$A$1:$Z$1,0)))</f>
        <v>-24.878946900039409</v>
      </c>
      <c r="K10" s="56" t="s">
        <v>85</v>
      </c>
      <c r="L10" s="56"/>
      <c r="M10" s="52">
        <f>_xlfn.STDEV.S(M2:M5)</f>
        <v>2.9048437752710869E-2</v>
      </c>
      <c r="N10" s="37"/>
      <c r="P10" s="52">
        <f>_xlfn.STDEV.S(P2:P5)</f>
        <v>1.4379133091079025E-2</v>
      </c>
    </row>
    <row r="11" spans="1:16" x14ac:dyDescent="0.2">
      <c r="A11">
        <v>27953</v>
      </c>
      <c r="B11" t="s">
        <v>112</v>
      </c>
      <c r="C11" s="10">
        <f>IF(ISNA(MATCH(A11,'Elemental analysis'!$Q$5:$Q$139,0)),"",INDEX('Elemental analysis'!$Q$5:$W$139,MATCH(Summary!$A11,'Elemental analysis'!$Q$5:$Q$139,0),MATCH(Summary!C$1,'Elemental analysis'!$Q$5:$W$5,0)))</f>
        <v>4.0209376563637697E-2</v>
      </c>
      <c r="D11" s="10">
        <f>IF(ISNA(MATCH(A11,'Elemental analysis'!$Y$5:$Y$139,0)),"",INDEX('Elemental analysis'!$Y$5:$AE$139,MATCH(Summary!$A11,'Elemental analysis'!$Y$5:$Y$139,0),MATCH(Summary!D$1,'Elemental analysis'!$Y$5:$AE$5,0)))</f>
        <v>0.77813936080379575</v>
      </c>
      <c r="E11" s="10">
        <f>IF( IF(ISNA(MATCH(A11,'Elemental analysis'!$Y$5:$Y$139,0)),"",INDEX('Elemental analysis'!$Y$5:$AE$139,MATCH(Summary!$A11,'Elemental analysis'!$Y$5:$Y$139,0),MATCH(Summary!E$1,'Elemental analysis'!$Y$5:$AE$5,0)))=0,"",IF(ISNA(MATCH(A11,'Elemental analysis'!$Y$5:$Y$139,0)),"",INDEX('Elemental analysis'!$Y$5:$AE$139,MATCH(Summary!$A11,'Elemental analysis'!$Y$5:$Y$139,0),MATCH(Summary!E$1,'Elemental analysis'!$Y$5:$AE$5,0))))</f>
        <v>5.7210000000000001</v>
      </c>
      <c r="F11" s="10">
        <f t="shared" si="0"/>
        <v>7.0283825491413562E-3</v>
      </c>
      <c r="G11" s="10">
        <f t="shared" si="1"/>
        <v>0.13601457101971609</v>
      </c>
      <c r="H11" s="11">
        <f>IF(ISNA(MATCH(A11,'15N'!$B:$B,0)),"",INDEX('15N'!$A:$Y,MATCH(A11,'15N'!$B:$B,0),MATCH(Summary!$H$1,'15N'!$A$1:$Y$1,0)))</f>
        <v>3.5039155954226544</v>
      </c>
      <c r="I11" s="11">
        <f>IF(ISNA(MATCH(A11,'13C'!$B:$B,0)),"",INDEX('13C'!$A:$Z,MATCH(A11,'13C'!$B:$B,0),MATCH(Summary!$I$1,'13C'!$A$1:$Z$1,0)))</f>
        <v>-25.693422035287313</v>
      </c>
    </row>
    <row r="12" spans="1:16" x14ac:dyDescent="0.2">
      <c r="A12">
        <v>27954</v>
      </c>
      <c r="B12" t="s">
        <v>113</v>
      </c>
      <c r="C12" s="10">
        <f>IF(ISNA(MATCH(A12,'Elemental analysis'!$Q$5:$Q$139,0)),"",INDEX('Elemental analysis'!$Q$5:$W$139,MATCH(Summary!$A12,'Elemental analysis'!$Q$5:$Q$139,0),MATCH(Summary!C$1,'Elemental analysis'!$Q$5:$W$5,0)))</f>
        <v>3.1357151485408012E-2</v>
      </c>
      <c r="D12" s="10">
        <f>IF(ISNA(MATCH(A12,'Elemental analysis'!$Y$5:$Y$139,0)),"",INDEX('Elemental analysis'!$Y$5:$AE$139,MATCH(Summary!$A12,'Elemental analysis'!$Y$5:$Y$139,0),MATCH(Summary!D$1,'Elemental analysis'!$Y$5:$AE$5,0)))</f>
        <v>0.49779806482108691</v>
      </c>
      <c r="E12" s="10">
        <f>IF( IF(ISNA(MATCH(A12,'Elemental analysis'!$Y$5:$Y$139,0)),"",INDEX('Elemental analysis'!$Y$5:$AE$139,MATCH(Summary!$A12,'Elemental analysis'!$Y$5:$Y$139,0),MATCH(Summary!E$1,'Elemental analysis'!$Y$5:$AE$5,0)))=0,"",IF(ISNA(MATCH(A12,'Elemental analysis'!$Y$5:$Y$139,0)),"",INDEX('Elemental analysis'!$Y$5:$AE$139,MATCH(Summary!$A12,'Elemental analysis'!$Y$5:$Y$139,0),MATCH(Summary!E$1,'Elemental analysis'!$Y$5:$AE$5,0))))</f>
        <v>5.7469999999999999</v>
      </c>
      <c r="F12" s="10">
        <f t="shared" si="0"/>
        <v>5.4562643962777126E-3</v>
      </c>
      <c r="G12" s="10">
        <f t="shared" si="1"/>
        <v>8.6618768891784742E-2</v>
      </c>
      <c r="H12" s="11">
        <f>IF(ISNA(MATCH(A12,'15N'!$B:$B,0)),"",INDEX('15N'!$A:$Y,MATCH(A12,'15N'!$B:$B,0),MATCH(Summary!$H$1,'15N'!$A$1:$Y$1,0)))</f>
        <v>1.3593115791320542</v>
      </c>
      <c r="I12" s="11">
        <f>IF(ISNA(MATCH(A12,'13C'!$B:$B,0)),"",INDEX('13C'!$A:$Z,MATCH(A12,'13C'!$B:$B,0),MATCH(Summary!$I$1,'13C'!$A$1:$Z$1,0)))</f>
        <v>-25.694139449030445</v>
      </c>
    </row>
    <row r="13" spans="1:16" x14ac:dyDescent="0.2">
      <c r="A13">
        <v>27955</v>
      </c>
      <c r="B13" t="s">
        <v>114</v>
      </c>
      <c r="C13" s="10">
        <f>IF(ISNA(MATCH(A13,'Elemental analysis'!$Q$5:$Q$139,0)),"",INDEX('Elemental analysis'!$Q$5:$W$139,MATCH(Summary!$A13,'Elemental analysis'!$Q$5:$Q$139,0),MATCH(Summary!C$1,'Elemental analysis'!$Q$5:$W$5,0)))</f>
        <v>1.180003997578624E-2</v>
      </c>
      <c r="D13" s="10">
        <f>IF(ISNA(MATCH(A13,'Elemental analysis'!$Y$5:$Y$139,0)),"",INDEX('Elemental analysis'!$Y$5:$AE$139,MATCH(Summary!$A13,'Elemental analysis'!$Y$5:$Y$139,0),MATCH(Summary!D$1,'Elemental analysis'!$Y$5:$AE$5,0)))</f>
        <v>0.15185030408003633</v>
      </c>
      <c r="E13" s="10">
        <f>IF( IF(ISNA(MATCH(A13,'Elemental analysis'!$Y$5:$Y$139,0)),"",INDEX('Elemental analysis'!$Y$5:$AE$139,MATCH(Summary!$A13,'Elemental analysis'!$Y$5:$Y$139,0),MATCH(Summary!E$1,'Elemental analysis'!$Y$5:$AE$5,0)))=0,"",IF(ISNA(MATCH(A13,'Elemental analysis'!$Y$5:$Y$139,0)),"",INDEX('Elemental analysis'!$Y$5:$AE$139,MATCH(Summary!$A13,'Elemental analysis'!$Y$5:$Y$139,0),MATCH(Summary!E$1,'Elemental analysis'!$Y$5:$AE$5,0))))</f>
        <v>5.7249999999999996</v>
      </c>
      <c r="F13" s="10">
        <f t="shared" si="0"/>
        <v>2.0611423538491251E-3</v>
      </c>
      <c r="G13" s="10">
        <f t="shared" si="1"/>
        <v>2.6524070581665737E-2</v>
      </c>
      <c r="H13" s="11">
        <f>IF(ISNA(MATCH(A13,'15N'!$B:$B,0)),"",INDEX('15N'!$A:$Y,MATCH(A13,'15N'!$B:$B,0),MATCH(Summary!$H$1,'15N'!$A$1:$Y$1,0)))</f>
        <v>2.9817971397982319</v>
      </c>
      <c r="I13" s="11">
        <f>IF(ISNA(MATCH(A13,'13C'!$B:$B,0)),"",INDEX('13C'!$A:$Z,MATCH(A13,'13C'!$B:$B,0),MATCH(Summary!$I$1,'13C'!$A$1:$Z$1,0)))</f>
        <v>-24.255760179794606</v>
      </c>
    </row>
    <row r="14" spans="1:16" x14ac:dyDescent="0.2">
      <c r="A14">
        <v>27956</v>
      </c>
      <c r="B14" t="s">
        <v>115</v>
      </c>
      <c r="C14" s="10">
        <f>IF(ISNA(MATCH(A14,'Elemental analysis'!$Q$5:$Q$139,0)),"",INDEX('Elemental analysis'!$Q$5:$W$139,MATCH(Summary!$A14,'Elemental analysis'!$Q$5:$Q$139,0),MATCH(Summary!C$1,'Elemental analysis'!$Q$5:$W$5,0)))</f>
        <v>1.4495618342709743E-2</v>
      </c>
      <c r="D14" s="10">
        <f>IF(ISNA(MATCH(A14,'Elemental analysis'!$Y$5:$Y$139,0)),"",INDEX('Elemental analysis'!$Y$5:$AE$139,MATCH(Summary!$A14,'Elemental analysis'!$Y$5:$Y$139,0),MATCH(Summary!D$1,'Elemental analysis'!$Y$5:$AE$5,0)))</f>
        <v>0.20392933294020726</v>
      </c>
      <c r="E14" s="10">
        <f>IF( IF(ISNA(MATCH(A14,'Elemental analysis'!$Y$5:$Y$139,0)),"",INDEX('Elemental analysis'!$Y$5:$AE$139,MATCH(Summary!$A14,'Elemental analysis'!$Y$5:$Y$139,0),MATCH(Summary!E$1,'Elemental analysis'!$Y$5:$AE$5,0)))=0,"",IF(ISNA(MATCH(A14,'Elemental analysis'!$Y$5:$Y$139,0)),"",INDEX('Elemental analysis'!$Y$5:$AE$139,MATCH(Summary!$A14,'Elemental analysis'!$Y$5:$Y$139,0),MATCH(Summary!E$1,'Elemental analysis'!$Y$5:$AE$5,0))))</f>
        <v>5.742</v>
      </c>
      <c r="F14" s="10">
        <f t="shared" si="0"/>
        <v>2.5244894362085931E-3</v>
      </c>
      <c r="G14" s="10">
        <f t="shared" si="1"/>
        <v>3.551538365381527E-2</v>
      </c>
      <c r="H14" s="11">
        <f>IF(ISNA(MATCH(A14,'15N'!$B:$B,0)),"",INDEX('15N'!$A:$Y,MATCH(A14,'15N'!$B:$B,0),MATCH(Summary!$H$1,'15N'!$A$1:$Y$1,0)))</f>
        <v>3.1166961950120822</v>
      </c>
      <c r="I14" s="11">
        <f>IF(ISNA(MATCH(A14,'13C'!$B:$B,0)),"",INDEX('13C'!$A:$Z,MATCH(A14,'13C'!$B:$B,0),MATCH(Summary!$I$1,'13C'!$A$1:$Z$1,0)))</f>
        <v>-25.42669784075531</v>
      </c>
    </row>
    <row r="15" spans="1:16" x14ac:dyDescent="0.2">
      <c r="A15">
        <v>27957</v>
      </c>
      <c r="B15" t="s">
        <v>116</v>
      </c>
      <c r="C15" s="10">
        <f>IF(ISNA(MATCH(A15,'Elemental analysis'!$Q$5:$Q$139,0)),"",INDEX('Elemental analysis'!$Q$5:$W$139,MATCH(Summary!$A15,'Elemental analysis'!$Q$5:$Q$139,0),MATCH(Summary!C$1,'Elemental analysis'!$Q$5:$W$5,0)))</f>
        <v>3.9853371840022689E-2</v>
      </c>
      <c r="D15" s="10">
        <f>IF(ISNA(MATCH(A15,'Elemental analysis'!$Y$5:$Y$139,0)),"",INDEX('Elemental analysis'!$Y$5:$AE$139,MATCH(Summary!$A15,'Elemental analysis'!$Y$5:$Y$139,0),MATCH(Summary!D$1,'Elemental analysis'!$Y$5:$AE$5,0)))</f>
        <v>0.70008479142500468</v>
      </c>
      <c r="E15" s="10">
        <f>IF( IF(ISNA(MATCH(A15,'Elemental analysis'!$Y$5:$Y$139,0)),"",INDEX('Elemental analysis'!$Y$5:$AE$139,MATCH(Summary!$A15,'Elemental analysis'!$Y$5:$Y$139,0),MATCH(Summary!E$1,'Elemental analysis'!$Y$5:$AE$5,0)))=0,"",IF(ISNA(MATCH(A15,'Elemental analysis'!$Y$5:$Y$139,0)),"",INDEX('Elemental analysis'!$Y$5:$AE$139,MATCH(Summary!$A15,'Elemental analysis'!$Y$5:$Y$139,0),MATCH(Summary!E$1,'Elemental analysis'!$Y$5:$AE$5,0))))</f>
        <v>5.7069999999999999</v>
      </c>
      <c r="F15" s="10">
        <f t="shared" si="0"/>
        <v>6.9832437077313285E-3</v>
      </c>
      <c r="G15" s="10">
        <f t="shared" si="1"/>
        <v>0.12267124433590409</v>
      </c>
      <c r="H15" s="11">
        <f>IF(ISNA(MATCH(A15,'15N'!$B:$B,0)),"",INDEX('15N'!$A:$Y,MATCH(A15,'15N'!$B:$B,0),MATCH(Summary!$H$1,'15N'!$A$1:$Y$1,0)))</f>
        <v>3.1564036386533871</v>
      </c>
      <c r="I15" s="11">
        <f>IF(ISNA(MATCH(A15,'13C'!$B:$B,0)),"",INDEX('13C'!$A:$Z,MATCH(A15,'13C'!$B:$B,0),MATCH(Summary!$I$1,'13C'!$A$1:$Z$1,0)))</f>
        <v>-25.520096114375065</v>
      </c>
    </row>
    <row r="16" spans="1:16" x14ac:dyDescent="0.2">
      <c r="A16">
        <v>27958</v>
      </c>
      <c r="B16" t="s">
        <v>117</v>
      </c>
      <c r="C16" s="10">
        <f>IF(ISNA(MATCH(A16,'Elemental analysis'!$Q$5:$Q$139,0)),"",INDEX('Elemental analysis'!$Q$5:$W$139,MATCH(Summary!$A16,'Elemental analysis'!$Q$5:$Q$139,0),MATCH(Summary!C$1,'Elemental analysis'!$Q$5:$W$5,0)))</f>
        <v>1.2927122194944069E-2</v>
      </c>
      <c r="D16" s="10">
        <f>IF(ISNA(MATCH(A16,'Elemental analysis'!$Y$5:$Y$139,0)),"",INDEX('Elemental analysis'!$Y$5:$AE$139,MATCH(Summary!$A16,'Elemental analysis'!$Y$5:$Y$139,0),MATCH(Summary!D$1,'Elemental analysis'!$Y$5:$AE$5,0)))</f>
        <v>0.19204876830575701</v>
      </c>
      <c r="E16" s="10">
        <f>IF( IF(ISNA(MATCH(A16,'Elemental analysis'!$Y$5:$Y$139,0)),"",INDEX('Elemental analysis'!$Y$5:$AE$139,MATCH(Summary!$A16,'Elemental analysis'!$Y$5:$Y$139,0),MATCH(Summary!E$1,'Elemental analysis'!$Y$5:$AE$5,0)))=0,"",IF(ISNA(MATCH(A16,'Elemental analysis'!$Y$5:$Y$139,0)),"",INDEX('Elemental analysis'!$Y$5:$AE$139,MATCH(Summary!$A16,'Elemental analysis'!$Y$5:$Y$139,0),MATCH(Summary!E$1,'Elemental analysis'!$Y$5:$AE$5,0))))</f>
        <v>5.9</v>
      </c>
      <c r="F16" s="10">
        <f t="shared" si="0"/>
        <v>2.1910376601600116E-3</v>
      </c>
      <c r="G16" s="10">
        <f t="shared" si="1"/>
        <v>3.2550638695891018E-2</v>
      </c>
      <c r="H16" s="11">
        <f>IF(ISNA(MATCH(A16,'15N'!$B:$B,0)),"",INDEX('15N'!$A:$Y,MATCH(A16,'15N'!$B:$B,0),MATCH(Summary!$H$1,'15N'!$A$1:$Y$1,0)))</f>
        <v>1.7905347885035781</v>
      </c>
      <c r="I16" s="11">
        <f>IF(ISNA(MATCH(A16,'13C'!$B:$B,0)),"",INDEX('13C'!$A:$Z,MATCH(A16,'13C'!$B:$B,0),MATCH(Summary!$I$1,'13C'!$A$1:$Z$1,0)))</f>
        <v>-23.959502016526699</v>
      </c>
    </row>
    <row r="17" spans="1:9" x14ac:dyDescent="0.2">
      <c r="A17">
        <v>27959</v>
      </c>
      <c r="B17" t="s">
        <v>118</v>
      </c>
      <c r="C17" s="10">
        <f>IF(ISNA(MATCH(A17,'Elemental analysis'!$Q$5:$Q$139,0)),"",INDEX('Elemental analysis'!$Q$5:$W$139,MATCH(Summary!$A17,'Elemental analysis'!$Q$5:$Q$139,0),MATCH(Summary!C$1,'Elemental analysis'!$Q$5:$W$5,0)))</f>
        <v>3.1131256111454994E-2</v>
      </c>
      <c r="D17" s="10">
        <f>IF(ISNA(MATCH(A17,'Elemental analysis'!$Y$5:$Y$139,0)),"",INDEX('Elemental analysis'!$Y$5:$AE$139,MATCH(Summary!$A17,'Elemental analysis'!$Y$5:$Y$139,0),MATCH(Summary!D$1,'Elemental analysis'!$Y$5:$AE$5,0)))</f>
        <v>0.59511182792766448</v>
      </c>
      <c r="E17" s="10">
        <f>IF( IF(ISNA(MATCH(A17,'Elemental analysis'!$Y$5:$Y$139,0)),"",INDEX('Elemental analysis'!$Y$5:$AE$139,MATCH(Summary!$A17,'Elemental analysis'!$Y$5:$Y$139,0),MATCH(Summary!E$1,'Elemental analysis'!$Y$5:$AE$5,0)))=0,"",IF(ISNA(MATCH(A17,'Elemental analysis'!$Y$5:$Y$139,0)),"",INDEX('Elemental analysis'!$Y$5:$AE$139,MATCH(Summary!$A17,'Elemental analysis'!$Y$5:$Y$139,0),MATCH(Summary!E$1,'Elemental analysis'!$Y$5:$AE$5,0))))</f>
        <v>5.7190000000000003</v>
      </c>
      <c r="F17" s="10">
        <f t="shared" si="0"/>
        <v>5.4434789493713921E-3</v>
      </c>
      <c r="G17" s="10">
        <f t="shared" si="1"/>
        <v>0.1040587214421515</v>
      </c>
      <c r="H17" s="11">
        <f>IF(ISNA(MATCH(A17,'15N'!$B:$B,0)),"",INDEX('15N'!$A:$Y,MATCH(A17,'15N'!$B:$B,0),MATCH(Summary!$H$1,'15N'!$A$1:$Y$1,0)))</f>
        <v>3.1750577418380317</v>
      </c>
      <c r="I17" s="11">
        <f>IF(ISNA(MATCH(A17,'13C'!$B:$B,0)),"",INDEX('13C'!$A:$Z,MATCH(A17,'13C'!$B:$B,0),MATCH(Summary!$I$1,'13C'!$A$1:$Z$1,0)))</f>
        <v>-24.496950999488377</v>
      </c>
    </row>
    <row r="18" spans="1:9" x14ac:dyDescent="0.2">
      <c r="A18">
        <v>27961</v>
      </c>
      <c r="B18" t="s">
        <v>119</v>
      </c>
      <c r="C18" s="10">
        <f>IF(ISNA(MATCH(A18,'Elemental analysis'!$Q$5:$Q$139,0)),"",INDEX('Elemental analysis'!$Q$5:$W$139,MATCH(Summary!$A18,'Elemental analysis'!$Q$5:$Q$139,0),MATCH(Summary!C$1,'Elemental analysis'!$Q$5:$W$5,0)))</f>
        <v>7.0244680913829446E-2</v>
      </c>
      <c r="D18" s="10">
        <f>IF(ISNA(MATCH(A18,'Elemental analysis'!$Y$5:$Y$139,0)),"",INDEX('Elemental analysis'!$Y$5:$AE$139,MATCH(Summary!$A18,'Elemental analysis'!$Y$5:$Y$139,0),MATCH(Summary!D$1,'Elemental analysis'!$Y$5:$AE$5,0)))</f>
        <v>1.1749838515936042</v>
      </c>
      <c r="E18" s="10">
        <f>IF( IF(ISNA(MATCH(A18,'Elemental analysis'!$Y$5:$Y$139,0)),"",INDEX('Elemental analysis'!$Y$5:$AE$139,MATCH(Summary!$A18,'Elemental analysis'!$Y$5:$Y$139,0),MATCH(Summary!E$1,'Elemental analysis'!$Y$5:$AE$5,0)))=0,"",IF(ISNA(MATCH(A18,'Elemental analysis'!$Y$5:$Y$139,0)),"",INDEX('Elemental analysis'!$Y$5:$AE$139,MATCH(Summary!$A18,'Elemental analysis'!$Y$5:$Y$139,0),MATCH(Summary!E$1,'Elemental analysis'!$Y$5:$AE$5,0))))</f>
        <v>5.8710000000000004</v>
      </c>
      <c r="F18" s="10">
        <f t="shared" si="0"/>
        <v>1.1964687602423682E-2</v>
      </c>
      <c r="G18" s="10">
        <f t="shared" si="1"/>
        <v>0.20013351244994107</v>
      </c>
      <c r="H18" s="11">
        <f>IF(ISNA(MATCH(A18,'15N'!$B:$B,0)),"",INDEX('15N'!$A:$Y,MATCH(A18,'15N'!$B:$B,0),MATCH(Summary!$H$1,'15N'!$A$1:$Y$1,0)))</f>
        <v>3.3354875210628734</v>
      </c>
      <c r="I18" s="11">
        <f>IF(ISNA(MATCH(A18,'13C'!$B:$B,0)),"",INDEX('13C'!$A:$Z,MATCH(A18,'13C'!$B:$B,0),MATCH(Summary!$I$1,'13C'!$A$1:$Z$1,0)))</f>
        <v>-24.649118991562432</v>
      </c>
    </row>
    <row r="19" spans="1:9" x14ac:dyDescent="0.2">
      <c r="A19">
        <v>27962</v>
      </c>
      <c r="B19" t="s">
        <v>120</v>
      </c>
      <c r="C19" s="10">
        <f>IF(ISNA(MATCH(A19,'Elemental analysis'!$Q$5:$Q$139,0)),"",INDEX('Elemental analysis'!$Q$5:$W$139,MATCH(Summary!$A19,'Elemental analysis'!$Q$5:$Q$139,0),MATCH(Summary!C$1,'Elemental analysis'!$Q$5:$W$5,0)))</f>
        <v>1.6028992948235371E-2</v>
      </c>
      <c r="D19" s="10">
        <f>IF(ISNA(MATCH(A19,'Elemental analysis'!$Y$5:$Y$139,0)),"",INDEX('Elemental analysis'!$Y$5:$AE$139,MATCH(Summary!$A19,'Elemental analysis'!$Y$5:$Y$139,0),MATCH(Summary!D$1,'Elemental analysis'!$Y$5:$AE$5,0)))</f>
        <v>0.23576031418394267</v>
      </c>
      <c r="E19" s="10">
        <f>IF( IF(ISNA(MATCH(A19,'Elemental analysis'!$Y$5:$Y$139,0)),"",INDEX('Elemental analysis'!$Y$5:$AE$139,MATCH(Summary!$A19,'Elemental analysis'!$Y$5:$Y$139,0),MATCH(Summary!E$1,'Elemental analysis'!$Y$5:$AE$5,0)))=0,"",IF(ISNA(MATCH(A19,'Elemental analysis'!$Y$5:$Y$139,0)),"",INDEX('Elemental analysis'!$Y$5:$AE$139,MATCH(Summary!$A19,'Elemental analysis'!$Y$5:$Y$139,0),MATCH(Summary!E$1,'Elemental analysis'!$Y$5:$AE$5,0))))</f>
        <v>5.7469999999999999</v>
      </c>
      <c r="F19" s="10">
        <f t="shared" si="0"/>
        <v>2.7891061333278878E-3</v>
      </c>
      <c r="G19" s="10">
        <f t="shared" si="1"/>
        <v>4.1023197178343948E-2</v>
      </c>
      <c r="H19" s="11">
        <f>IF(ISNA(MATCH(A19,'15N'!$B:$B,0)),"",INDEX('15N'!$A:$Y,MATCH(A19,'15N'!$B:$B,0),MATCH(Summary!$H$1,'15N'!$A$1:$Y$1,0)))</f>
        <v>2.2136615774048778</v>
      </c>
      <c r="I19" s="11">
        <f>IF(ISNA(MATCH(A19,'13C'!$B:$B,0)),"",INDEX('13C'!$A:$Z,MATCH(A19,'13C'!$B:$B,0),MATCH(Summary!$I$1,'13C'!$A$1:$Z$1,0)))</f>
        <v>-24.613171568510666</v>
      </c>
    </row>
    <row r="20" spans="1:9" x14ac:dyDescent="0.2">
      <c r="A20">
        <v>27963</v>
      </c>
      <c r="B20" t="s">
        <v>121</v>
      </c>
      <c r="C20" s="10">
        <f>IF(ISNA(MATCH(A20,'Elemental analysis'!$Q$5:$Q$139,0)),"",INDEX('Elemental analysis'!$Q$5:$W$139,MATCH(Summary!$A20,'Elemental analysis'!$Q$5:$Q$139,0),MATCH(Summary!C$1,'Elemental analysis'!$Q$5:$W$5,0)))</f>
        <v>7.1004583373204977E-2</v>
      </c>
      <c r="D20" s="10">
        <f>IF(ISNA(MATCH(A20,'Elemental analysis'!$Y$5:$Y$139,0)),"",INDEX('Elemental analysis'!$Y$5:$AE$139,MATCH(Summary!$A20,'Elemental analysis'!$Y$5:$Y$139,0),MATCH(Summary!D$1,'Elemental analysis'!$Y$5:$AE$5,0)))</f>
        <v>1.179478171192877</v>
      </c>
      <c r="E20" s="10">
        <f>IF( IF(ISNA(MATCH(A20,'Elemental analysis'!$Y$5:$Y$139,0)),"",INDEX('Elemental analysis'!$Y$5:$AE$139,MATCH(Summary!$A20,'Elemental analysis'!$Y$5:$Y$139,0),MATCH(Summary!E$1,'Elemental analysis'!$Y$5:$AE$5,0)))=0,"",IF(ISNA(MATCH(A20,'Elemental analysis'!$Y$5:$Y$139,0)),"",INDEX('Elemental analysis'!$Y$5:$AE$139,MATCH(Summary!$A20,'Elemental analysis'!$Y$5:$Y$139,0),MATCH(Summary!E$1,'Elemental analysis'!$Y$5:$AE$5,0))))</f>
        <v>5.8460000000000001</v>
      </c>
      <c r="F20" s="10">
        <f t="shared" si="0"/>
        <v>1.2145840467534207E-2</v>
      </c>
      <c r="G20" s="10">
        <f t="shared" si="1"/>
        <v>0.20175815449758416</v>
      </c>
      <c r="H20" s="11">
        <f>IF(ISNA(MATCH(A20,'15N'!$B:$B,0)),"",INDEX('15N'!$A:$Y,MATCH(A20,'15N'!$B:$B,0),MATCH(Summary!$H$1,'15N'!$A$1:$Y$1,0)))</f>
        <v>2.9591963162660022</v>
      </c>
      <c r="I20" s="11">
        <f>IF(ISNA(MATCH(A20,'13C'!$B:$B,0)),"",INDEX('13C'!$A:$Z,MATCH(A20,'13C'!$B:$B,0),MATCH(Summary!$I$1,'13C'!$A$1:$Z$1,0)))</f>
        <v>-24.321588965262208</v>
      </c>
    </row>
    <row r="21" spans="1:9" x14ac:dyDescent="0.2">
      <c r="A21">
        <v>27964</v>
      </c>
      <c r="B21" t="s">
        <v>122</v>
      </c>
      <c r="C21" s="10">
        <f>IF(ISNA(MATCH(A21,'Elemental analysis'!$Q$5:$Q$139,0)),"",INDEX('Elemental analysis'!$Q$5:$W$139,MATCH(Summary!$A21,'Elemental analysis'!$Q$5:$Q$139,0),MATCH(Summary!C$1,'Elemental analysis'!$Q$5:$W$5,0)))</f>
        <v>2.2708471708796779E-2</v>
      </c>
      <c r="D21" s="10">
        <f>IF(ISNA(MATCH(A21,'Elemental analysis'!$Y$5:$Y$139,0)),"",INDEX('Elemental analysis'!$Y$5:$AE$139,MATCH(Summary!$A21,'Elemental analysis'!$Y$5:$Y$139,0),MATCH(Summary!D$1,'Elemental analysis'!$Y$5:$AE$5,0)))</f>
        <v>0.35156406089235509</v>
      </c>
      <c r="E21" s="10">
        <f>IF( IF(ISNA(MATCH(A21,'Elemental analysis'!$Y$5:$Y$139,0)),"",INDEX('Elemental analysis'!$Y$5:$AE$139,MATCH(Summary!$A21,'Elemental analysis'!$Y$5:$Y$139,0),MATCH(Summary!E$1,'Elemental analysis'!$Y$5:$AE$5,0)))=0,"",IF(ISNA(MATCH(A21,'Elemental analysis'!$Y$5:$Y$139,0)),"",INDEX('Elemental analysis'!$Y$5:$AE$139,MATCH(Summary!$A21,'Elemental analysis'!$Y$5:$Y$139,0),MATCH(Summary!E$1,'Elemental analysis'!$Y$5:$AE$5,0))))</f>
        <v>5.8170000000000002</v>
      </c>
      <c r="F21" s="10">
        <f t="shared" si="0"/>
        <v>3.9038115366678318E-3</v>
      </c>
      <c r="G21" s="10">
        <f t="shared" si="1"/>
        <v>6.0437349302450587E-2</v>
      </c>
      <c r="H21" s="11">
        <f>IF(ISNA(MATCH(A21,'15N'!$B:$B,0)),"",INDEX('15N'!$A:$Y,MATCH(A21,'15N'!$B:$B,0),MATCH(Summary!$H$1,'15N'!$A$1:$Y$1,0)))</f>
        <v>2.8216856433898556</v>
      </c>
      <c r="I21" s="11">
        <f>IF(ISNA(MATCH(A21,'13C'!$B:$B,0)),"",INDEX('13C'!$A:$Z,MATCH(A21,'13C'!$B:$B,0),MATCH(Summary!$I$1,'13C'!$A$1:$Z$1,0)))</f>
        <v>-24.643123482559872</v>
      </c>
    </row>
    <row r="22" spans="1:9" x14ac:dyDescent="0.2">
      <c r="A22">
        <v>27965</v>
      </c>
      <c r="B22" t="s">
        <v>123</v>
      </c>
      <c r="C22" s="10">
        <f>IF(ISNA(MATCH(A22,'Elemental analysis'!$Q$5:$Q$139,0)),"",INDEX('Elemental analysis'!$Q$5:$W$139,MATCH(Summary!$A22,'Elemental analysis'!$Q$5:$Q$139,0),MATCH(Summary!C$1,'Elemental analysis'!$Q$5:$W$5,0)))</f>
        <v>2.5680233112426093E-2</v>
      </c>
      <c r="D22" s="10">
        <f>IF(ISNA(MATCH(A22,'Elemental analysis'!$Y$5:$Y$139,0)),"",INDEX('Elemental analysis'!$Y$5:$AE$139,MATCH(Summary!$A22,'Elemental analysis'!$Y$5:$Y$139,0),MATCH(Summary!D$1,'Elemental analysis'!$Y$5:$AE$5,0)))</f>
        <v>0.45345378649474227</v>
      </c>
      <c r="E22" s="10">
        <f>IF( IF(ISNA(MATCH(A22,'Elemental analysis'!$Y$5:$Y$139,0)),"",INDEX('Elemental analysis'!$Y$5:$AE$139,MATCH(Summary!$A22,'Elemental analysis'!$Y$5:$Y$139,0),MATCH(Summary!E$1,'Elemental analysis'!$Y$5:$AE$5,0)))=0,"",IF(ISNA(MATCH(A22,'Elemental analysis'!$Y$5:$Y$139,0)),"",INDEX('Elemental analysis'!$Y$5:$AE$139,MATCH(Summary!$A22,'Elemental analysis'!$Y$5:$Y$139,0),MATCH(Summary!E$1,'Elemental analysis'!$Y$5:$AE$5,0))))</f>
        <v>5.8470000000000004</v>
      </c>
      <c r="F22" s="10">
        <f t="shared" si="0"/>
        <v>4.3920357640544021E-3</v>
      </c>
      <c r="G22" s="10">
        <f t="shared" si="1"/>
        <v>7.7553238668503888E-2</v>
      </c>
      <c r="H22" s="11">
        <f>IF(ISNA(MATCH(A22,'15N'!$B:$B,0)),"",INDEX('15N'!$A:$Y,MATCH(A22,'15N'!$B:$B,0),MATCH(Summary!$H$1,'15N'!$A$1:$Y$1,0)))</f>
        <v>2.7186061914036372</v>
      </c>
      <c r="I22" s="11">
        <f>IF(ISNA(MATCH(A22,'13C'!$B:$B,0)),"",INDEX('13C'!$A:$Z,MATCH(A22,'13C'!$B:$B,0),MATCH(Summary!$I$1,'13C'!$A$1:$Z$1,0)))</f>
        <v>-26.731708200642743</v>
      </c>
    </row>
    <row r="23" spans="1:9" x14ac:dyDescent="0.2">
      <c r="A23"/>
      <c r="B23"/>
      <c r="C23" s="10" t="str">
        <f>IF(ISNA(MATCH(A23,'Elemental analysis'!$Q$5:$Q$139,0)),"",INDEX('Elemental analysis'!$Q$5:$W$139,MATCH(Summary!$A23,'Elemental analysis'!$Q$5:$Q$139,0),MATCH(Summary!C$1,'Elemental analysis'!$Q$5:$W$5,0)))</f>
        <v/>
      </c>
      <c r="D23" s="10" t="str">
        <f>IF(ISNA(MATCH(A23,'Elemental analysis'!$Y$5:$Y$139,0)),"",INDEX('Elemental analysis'!$Y$5:$AE$139,MATCH(Summary!$A23,'Elemental analysis'!$Y$5:$Y$139,0),MATCH(Summary!D$1,'Elemental analysis'!$Y$5:$AE$5,0)))</f>
        <v/>
      </c>
      <c r="E23" s="10" t="str">
        <f>IF( IF(ISNA(MATCH(A23,'Elemental analysis'!$Y$5:$Y$139,0)),"",INDEX('Elemental analysis'!$Y$5:$AE$139,MATCH(Summary!$A23,'Elemental analysis'!$Y$5:$Y$139,0),MATCH(Summary!E$1,'Elemental analysis'!$Y$5:$AE$5,0)))=0,"",IF(ISNA(MATCH(A23,'Elemental analysis'!$Y$5:$Y$139,0)),"",INDEX('Elemental analysis'!$Y$5:$AE$139,MATCH(Summary!$A23,'Elemental analysis'!$Y$5:$Y$139,0),MATCH(Summary!E$1,'Elemental analysis'!$Y$5:$AE$5,0))))</f>
        <v/>
      </c>
      <c r="F23" s="10" t="str">
        <f t="shared" si="0"/>
        <v/>
      </c>
      <c r="G23" s="10" t="str">
        <f t="shared" si="1"/>
        <v/>
      </c>
      <c r="H23" s="11" t="str">
        <f>IF(ISNA(MATCH(A23,'15N'!$B:$B,0)),"",INDEX('15N'!$A:$Y,MATCH(A23,'15N'!$B:$B,0),MATCH(Summary!$H$1,'15N'!$A$1:$Y$1,0)))</f>
        <v/>
      </c>
      <c r="I23" s="11" t="str">
        <f>IF(ISNA(MATCH(A23,'13C'!$B:$B,0)),"",INDEX('13C'!$A:$Z,MATCH(A23,'13C'!$B:$B,0),MATCH(Summary!$I$1,'13C'!$A$1:$Z$1,0)))</f>
        <v/>
      </c>
    </row>
    <row r="24" spans="1:9" x14ac:dyDescent="0.2">
      <c r="A24"/>
      <c r="B24"/>
      <c r="C24" s="10" t="str">
        <f>IF(ISNA(MATCH(A24,'Elemental analysis'!$Q$5:$Q$139,0)),"",INDEX('Elemental analysis'!$Q$5:$W$139,MATCH(Summary!$A24,'Elemental analysis'!$Q$5:$Q$139,0),MATCH(Summary!C$1,'Elemental analysis'!$Q$5:$W$5,0)))</f>
        <v/>
      </c>
      <c r="D24" s="10" t="str">
        <f>IF(ISNA(MATCH(A24,'Elemental analysis'!$Y$5:$Y$139,0)),"",INDEX('Elemental analysis'!$Y$5:$AE$139,MATCH(Summary!$A24,'Elemental analysis'!$Y$5:$Y$139,0),MATCH(Summary!D$1,'Elemental analysis'!$Y$5:$AE$5,0)))</f>
        <v/>
      </c>
      <c r="E24" s="10" t="str">
        <f>IF( IF(ISNA(MATCH(A24,'Elemental analysis'!$Y$5:$Y$139,0)),"",INDEX('Elemental analysis'!$Y$5:$AE$139,MATCH(Summary!$A24,'Elemental analysis'!$Y$5:$Y$139,0),MATCH(Summary!E$1,'Elemental analysis'!$Y$5:$AE$5,0)))=0,"",IF(ISNA(MATCH(A24,'Elemental analysis'!$Y$5:$Y$139,0)),"",INDEX('Elemental analysis'!$Y$5:$AE$139,MATCH(Summary!$A24,'Elemental analysis'!$Y$5:$Y$139,0),MATCH(Summary!E$1,'Elemental analysis'!$Y$5:$AE$5,0))))</f>
        <v/>
      </c>
      <c r="F24" s="10" t="str">
        <f t="shared" si="0"/>
        <v/>
      </c>
      <c r="G24" s="10" t="str">
        <f t="shared" si="1"/>
        <v/>
      </c>
      <c r="H24" s="11" t="str">
        <f>IF(ISNA(MATCH(A24,'15N'!$B:$B,0)),"",INDEX('15N'!$A:$Y,MATCH(A24,'15N'!$B:$B,0),MATCH(Summary!$H$1,'15N'!$A$1:$Y$1,0)))</f>
        <v/>
      </c>
      <c r="I24" s="11" t="str">
        <f>IF(ISNA(MATCH(A24,'13C'!$B:$B,0)),"",INDEX('13C'!$A:$Z,MATCH(A24,'13C'!$B:$B,0),MATCH(Summary!$I$1,'13C'!$A$1:$Z$1,0)))</f>
        <v/>
      </c>
    </row>
    <row r="25" spans="1:9" x14ac:dyDescent="0.2">
      <c r="A25"/>
      <c r="B25"/>
      <c r="C25" s="10" t="str">
        <f>IF(ISNA(MATCH(A25,'Elemental analysis'!$Q$5:$Q$139,0)),"",INDEX('Elemental analysis'!$Q$5:$W$139,MATCH(Summary!$A25,'Elemental analysis'!$Q$5:$Q$139,0),MATCH(Summary!C$1,'Elemental analysis'!$Q$5:$W$5,0)))</f>
        <v/>
      </c>
      <c r="D25" s="10" t="str">
        <f>IF(ISNA(MATCH(A25,'Elemental analysis'!$Y$5:$Y$139,0)),"",INDEX('Elemental analysis'!$Y$5:$AE$139,MATCH(Summary!$A25,'Elemental analysis'!$Y$5:$Y$139,0),MATCH(Summary!D$1,'Elemental analysis'!$Y$5:$AE$5,0)))</f>
        <v/>
      </c>
      <c r="E25" s="10" t="str">
        <f>IF( IF(ISNA(MATCH(A25,'Elemental analysis'!$Y$5:$Y$139,0)),"",INDEX('Elemental analysis'!$Y$5:$AE$139,MATCH(Summary!$A25,'Elemental analysis'!$Y$5:$Y$139,0),MATCH(Summary!E$1,'Elemental analysis'!$Y$5:$AE$5,0)))=0,"",IF(ISNA(MATCH(A25,'Elemental analysis'!$Y$5:$Y$139,0)),"",INDEX('Elemental analysis'!$Y$5:$AE$139,MATCH(Summary!$A25,'Elemental analysis'!$Y$5:$Y$139,0),MATCH(Summary!E$1,'Elemental analysis'!$Y$5:$AE$5,0))))</f>
        <v/>
      </c>
      <c r="F25" s="10" t="str">
        <f t="shared" si="0"/>
        <v/>
      </c>
      <c r="G25" s="10" t="str">
        <f t="shared" si="1"/>
        <v/>
      </c>
      <c r="H25" s="11" t="str">
        <f>IF(ISNA(MATCH(A25,'15N'!$B:$B,0)),"",INDEX('15N'!$A:$Y,MATCH(A25,'15N'!$B:$B,0),MATCH(Summary!$H$1,'15N'!$A$1:$Y$1,0)))</f>
        <v/>
      </c>
      <c r="I25" s="11" t="str">
        <f>IF(ISNA(MATCH(A25,'13C'!$B:$B,0)),"",INDEX('13C'!$A:$Z,MATCH(A25,'13C'!$B:$B,0),MATCH(Summary!$I$1,'13C'!$A$1:$Z$1,0)))</f>
        <v/>
      </c>
    </row>
    <row r="26" spans="1:9" x14ac:dyDescent="0.2">
      <c r="A26"/>
      <c r="B26"/>
      <c r="C26" s="10" t="str">
        <f>IF(ISNA(MATCH(A26,'Elemental analysis'!$Q$5:$Q$139,0)),"",INDEX('Elemental analysis'!$Q$5:$W$139,MATCH(Summary!$A26,'Elemental analysis'!$Q$5:$Q$139,0),MATCH(Summary!C$1,'Elemental analysis'!$Q$5:$W$5,0)))</f>
        <v/>
      </c>
      <c r="D26" s="10" t="str">
        <f>IF(ISNA(MATCH(A26,'Elemental analysis'!$Y$5:$Y$139,0)),"",INDEX('Elemental analysis'!$Y$5:$AE$139,MATCH(Summary!$A26,'Elemental analysis'!$Y$5:$Y$139,0),MATCH(Summary!D$1,'Elemental analysis'!$Y$5:$AE$5,0)))</f>
        <v/>
      </c>
      <c r="E26" s="10" t="str">
        <f>IF( IF(ISNA(MATCH(A26,'Elemental analysis'!$Y$5:$Y$139,0)),"",INDEX('Elemental analysis'!$Y$5:$AE$139,MATCH(Summary!$A26,'Elemental analysis'!$Y$5:$Y$139,0),MATCH(Summary!E$1,'Elemental analysis'!$Y$5:$AE$5,0)))=0,"",IF(ISNA(MATCH(A26,'Elemental analysis'!$Y$5:$Y$139,0)),"",INDEX('Elemental analysis'!$Y$5:$AE$139,MATCH(Summary!$A26,'Elemental analysis'!$Y$5:$Y$139,0),MATCH(Summary!E$1,'Elemental analysis'!$Y$5:$AE$5,0))))</f>
        <v/>
      </c>
      <c r="F26" s="10" t="str">
        <f t="shared" si="0"/>
        <v/>
      </c>
      <c r="G26" s="10" t="str">
        <f t="shared" si="1"/>
        <v/>
      </c>
      <c r="H26" s="11" t="str">
        <f>IF(ISNA(MATCH(A26,'15N'!$B:$B,0)),"",INDEX('15N'!$A:$Y,MATCH(A26,'15N'!$B:$B,0),MATCH(Summary!$H$1,'15N'!$A$1:$Y$1,0)))</f>
        <v/>
      </c>
      <c r="I26" s="11" t="str">
        <f>IF(ISNA(MATCH(A26,'13C'!$B:$B,0)),"",INDEX('13C'!$A:$Z,MATCH(A26,'13C'!$B:$B,0),MATCH(Summary!$I$1,'13C'!$A$1:$Z$1,0)))</f>
        <v/>
      </c>
    </row>
    <row r="27" spans="1:9" x14ac:dyDescent="0.2">
      <c r="A27"/>
      <c r="B27"/>
      <c r="C27" s="10" t="str">
        <f>IF(ISNA(MATCH(A27,'Elemental analysis'!$Q$5:$Q$139,0)),"",INDEX('Elemental analysis'!$Q$5:$W$139,MATCH(Summary!$A27,'Elemental analysis'!$Q$5:$Q$139,0),MATCH(Summary!C$1,'Elemental analysis'!$Q$5:$W$5,0)))</f>
        <v/>
      </c>
      <c r="D27" s="10" t="str">
        <f>IF(ISNA(MATCH(A27,'Elemental analysis'!$Y$5:$Y$139,0)),"",INDEX('Elemental analysis'!$Y$5:$AE$139,MATCH(Summary!$A27,'Elemental analysis'!$Y$5:$Y$139,0),MATCH(Summary!D$1,'Elemental analysis'!$Y$5:$AE$5,0)))</f>
        <v/>
      </c>
      <c r="E27" s="10" t="str">
        <f>IF( IF(ISNA(MATCH(A27,'Elemental analysis'!$Y$5:$Y$139,0)),"",INDEX('Elemental analysis'!$Y$5:$AE$139,MATCH(Summary!$A27,'Elemental analysis'!$Y$5:$Y$139,0),MATCH(Summary!E$1,'Elemental analysis'!$Y$5:$AE$5,0)))=0,"",IF(ISNA(MATCH(A27,'Elemental analysis'!$Y$5:$Y$139,0)),"",INDEX('Elemental analysis'!$Y$5:$AE$139,MATCH(Summary!$A27,'Elemental analysis'!$Y$5:$Y$139,0),MATCH(Summary!E$1,'Elemental analysis'!$Y$5:$AE$5,0))))</f>
        <v/>
      </c>
      <c r="F27" s="10" t="str">
        <f t="shared" si="0"/>
        <v/>
      </c>
      <c r="G27" s="10" t="str">
        <f t="shared" si="1"/>
        <v/>
      </c>
      <c r="H27" s="11" t="str">
        <f>IF(ISNA(MATCH(A27,'15N'!$B:$B,0)),"",INDEX('15N'!$A:$Y,MATCH(A27,'15N'!$B:$B,0),MATCH(Summary!$H$1,'15N'!$A$1:$Y$1,0)))</f>
        <v/>
      </c>
      <c r="I27" s="11" t="str">
        <f>IF(ISNA(MATCH(A27,'13C'!$B:$B,0)),"",INDEX('13C'!$A:$Z,MATCH(A27,'13C'!$B:$B,0),MATCH(Summary!$I$1,'13C'!$A$1:$Z$1,0)))</f>
        <v/>
      </c>
    </row>
    <row r="28" spans="1:9" x14ac:dyDescent="0.2">
      <c r="A28"/>
      <c r="B28"/>
      <c r="C28" s="10" t="str">
        <f>IF(ISNA(MATCH(A28,'Elemental analysis'!$Q$5:$Q$139,0)),"",INDEX('Elemental analysis'!$Q$5:$W$139,MATCH(Summary!$A28,'Elemental analysis'!$Q$5:$Q$139,0),MATCH(Summary!C$1,'Elemental analysis'!$Q$5:$W$5,0)))</f>
        <v/>
      </c>
      <c r="D28" s="10" t="str">
        <f>IF(ISNA(MATCH(A28,'Elemental analysis'!$Y$5:$Y$139,0)),"",INDEX('Elemental analysis'!$Y$5:$AE$139,MATCH(Summary!$A28,'Elemental analysis'!$Y$5:$Y$139,0),MATCH(Summary!D$1,'Elemental analysis'!$Y$5:$AE$5,0)))</f>
        <v/>
      </c>
      <c r="E28" s="10" t="str">
        <f>IF( IF(ISNA(MATCH(A28,'Elemental analysis'!$Y$5:$Y$139,0)),"",INDEX('Elemental analysis'!$Y$5:$AE$139,MATCH(Summary!$A28,'Elemental analysis'!$Y$5:$Y$139,0),MATCH(Summary!E$1,'Elemental analysis'!$Y$5:$AE$5,0)))=0,"",IF(ISNA(MATCH(A28,'Elemental analysis'!$Y$5:$Y$139,0)),"",INDEX('Elemental analysis'!$Y$5:$AE$139,MATCH(Summary!$A28,'Elemental analysis'!$Y$5:$Y$139,0),MATCH(Summary!E$1,'Elemental analysis'!$Y$5:$AE$5,0))))</f>
        <v/>
      </c>
      <c r="F28" s="10" t="str">
        <f t="shared" si="0"/>
        <v/>
      </c>
      <c r="G28" s="10" t="str">
        <f t="shared" si="1"/>
        <v/>
      </c>
      <c r="H28" s="11" t="str">
        <f>IF(ISNA(MATCH(A28,'15N'!$B:$B,0)),"",INDEX('15N'!$A:$Y,MATCH(A28,'15N'!$B:$B,0),MATCH(Summary!$H$1,'15N'!$A$1:$Y$1,0)))</f>
        <v/>
      </c>
      <c r="I28" s="11" t="str">
        <f>IF(ISNA(MATCH(A28,'13C'!$B:$B,0)),"",INDEX('13C'!$A:$Z,MATCH(A28,'13C'!$B:$B,0),MATCH(Summary!$I$1,'13C'!$A$1:$Z$1,0)))</f>
        <v/>
      </c>
    </row>
    <row r="29" spans="1:9" x14ac:dyDescent="0.2">
      <c r="A29"/>
      <c r="B29"/>
      <c r="C29" s="10" t="str">
        <f>IF(ISNA(MATCH(A29,'Elemental analysis'!$Q$5:$Q$139,0)),"",INDEX('Elemental analysis'!$Q$5:$W$139,MATCH(Summary!$A29,'Elemental analysis'!$Q$5:$Q$139,0),MATCH(Summary!C$1,'Elemental analysis'!$Q$5:$W$5,0)))</f>
        <v/>
      </c>
      <c r="D29" s="10" t="str">
        <f>IF(ISNA(MATCH(A29,'Elemental analysis'!$Y$5:$Y$139,0)),"",INDEX('Elemental analysis'!$Y$5:$AE$139,MATCH(Summary!$A29,'Elemental analysis'!$Y$5:$Y$139,0),MATCH(Summary!D$1,'Elemental analysis'!$Y$5:$AE$5,0)))</f>
        <v/>
      </c>
      <c r="E29" s="10" t="str">
        <f>IF( IF(ISNA(MATCH(A29,'Elemental analysis'!$Y$5:$Y$139,0)),"",INDEX('Elemental analysis'!$Y$5:$AE$139,MATCH(Summary!$A29,'Elemental analysis'!$Y$5:$Y$139,0),MATCH(Summary!E$1,'Elemental analysis'!$Y$5:$AE$5,0)))=0,"",IF(ISNA(MATCH(A29,'Elemental analysis'!$Y$5:$Y$139,0)),"",INDEX('Elemental analysis'!$Y$5:$AE$139,MATCH(Summary!$A29,'Elemental analysis'!$Y$5:$Y$139,0),MATCH(Summary!E$1,'Elemental analysis'!$Y$5:$AE$5,0))))</f>
        <v/>
      </c>
      <c r="F29" s="10" t="str">
        <f t="shared" si="0"/>
        <v/>
      </c>
      <c r="G29" s="10" t="str">
        <f t="shared" si="1"/>
        <v/>
      </c>
      <c r="H29" s="11" t="str">
        <f>IF(ISNA(MATCH(A29,'15N'!$B:$B,0)),"",INDEX('15N'!$A:$Y,MATCH(A29,'15N'!$B:$B,0),MATCH(Summary!$H$1,'15N'!$A$1:$Y$1,0)))</f>
        <v/>
      </c>
      <c r="I29" s="11" t="str">
        <f>IF(ISNA(MATCH(A29,'13C'!$B:$B,0)),"",INDEX('13C'!$A:$Z,MATCH(A29,'13C'!$B:$B,0),MATCH(Summary!$I$1,'13C'!$A$1:$Z$1,0)))</f>
        <v/>
      </c>
    </row>
    <row r="30" spans="1:9" x14ac:dyDescent="0.2">
      <c r="A30"/>
      <c r="B30"/>
      <c r="C30" s="10" t="str">
        <f>IF(ISNA(MATCH(A30,'Elemental analysis'!$Q$5:$Q$139,0)),"",INDEX('Elemental analysis'!$Q$5:$W$139,MATCH(Summary!$A30,'Elemental analysis'!$Q$5:$Q$139,0),MATCH(Summary!C$1,'Elemental analysis'!$Q$5:$W$5,0)))</f>
        <v/>
      </c>
      <c r="D30" s="10" t="str">
        <f>IF(ISNA(MATCH(A30,'Elemental analysis'!$Y$5:$Y$139,0)),"",INDEX('Elemental analysis'!$Y$5:$AE$139,MATCH(Summary!$A30,'Elemental analysis'!$Y$5:$Y$139,0),MATCH(Summary!D$1,'Elemental analysis'!$Y$5:$AE$5,0)))</f>
        <v/>
      </c>
      <c r="E30" s="10" t="str">
        <f>IF( IF(ISNA(MATCH(A30,'Elemental analysis'!$Y$5:$Y$139,0)),"",INDEX('Elemental analysis'!$Y$5:$AE$139,MATCH(Summary!$A30,'Elemental analysis'!$Y$5:$Y$139,0),MATCH(Summary!E$1,'Elemental analysis'!$Y$5:$AE$5,0)))=0,"",IF(ISNA(MATCH(A30,'Elemental analysis'!$Y$5:$Y$139,0)),"",INDEX('Elemental analysis'!$Y$5:$AE$139,MATCH(Summary!$A30,'Elemental analysis'!$Y$5:$Y$139,0),MATCH(Summary!E$1,'Elemental analysis'!$Y$5:$AE$5,0))))</f>
        <v/>
      </c>
      <c r="F30" s="10" t="str">
        <f t="shared" si="0"/>
        <v/>
      </c>
      <c r="G30" s="10" t="str">
        <f t="shared" si="1"/>
        <v/>
      </c>
      <c r="H30" s="11" t="str">
        <f>IF(ISNA(MATCH(A30,'15N'!$B:$B,0)),"",INDEX('15N'!$A:$Y,MATCH(A30,'15N'!$B:$B,0),MATCH(Summary!$H$1,'15N'!$A$1:$Y$1,0)))</f>
        <v/>
      </c>
      <c r="I30" s="11" t="str">
        <f>IF(ISNA(MATCH(A30,'13C'!$B:$B,0)),"",INDEX('13C'!$A:$Z,MATCH(A30,'13C'!$B:$B,0),MATCH(Summary!$I$1,'13C'!$A$1:$Z$1,0)))</f>
        <v/>
      </c>
    </row>
    <row r="31" spans="1:9" x14ac:dyDescent="0.2">
      <c r="A31"/>
      <c r="B31"/>
      <c r="C31" s="10" t="str">
        <f>IF(ISNA(MATCH(A31,'Elemental analysis'!$Q$5:$Q$139,0)),"",INDEX('Elemental analysis'!$Q$5:$W$139,MATCH(Summary!$A31,'Elemental analysis'!$Q$5:$Q$139,0),MATCH(Summary!C$1,'Elemental analysis'!$Q$5:$W$5,0)))</f>
        <v/>
      </c>
      <c r="D31" s="10" t="str">
        <f>IF(ISNA(MATCH(A31,'Elemental analysis'!$Y$5:$Y$139,0)),"",INDEX('Elemental analysis'!$Y$5:$AE$139,MATCH(Summary!$A31,'Elemental analysis'!$Y$5:$Y$139,0),MATCH(Summary!D$1,'Elemental analysis'!$Y$5:$AE$5,0)))</f>
        <v/>
      </c>
      <c r="E31" s="10" t="str">
        <f>IF( IF(ISNA(MATCH(A31,'Elemental analysis'!$Y$5:$Y$139,0)),"",INDEX('Elemental analysis'!$Y$5:$AE$139,MATCH(Summary!$A31,'Elemental analysis'!$Y$5:$Y$139,0),MATCH(Summary!E$1,'Elemental analysis'!$Y$5:$AE$5,0)))=0,"",IF(ISNA(MATCH(A31,'Elemental analysis'!$Y$5:$Y$139,0)),"",INDEX('Elemental analysis'!$Y$5:$AE$139,MATCH(Summary!$A31,'Elemental analysis'!$Y$5:$Y$139,0),MATCH(Summary!E$1,'Elemental analysis'!$Y$5:$AE$5,0))))</f>
        <v/>
      </c>
      <c r="F31" s="10" t="str">
        <f t="shared" si="0"/>
        <v/>
      </c>
      <c r="G31" s="10" t="str">
        <f t="shared" si="1"/>
        <v/>
      </c>
      <c r="H31" s="11" t="str">
        <f>IF(ISNA(MATCH(A31,'15N'!$B:$B,0)),"",INDEX('15N'!$A:$Y,MATCH(A31,'15N'!$B:$B,0),MATCH(Summary!$H$1,'15N'!$A$1:$Y$1,0)))</f>
        <v/>
      </c>
      <c r="I31" s="11" t="str">
        <f>IF(ISNA(MATCH(A31,'13C'!$B:$B,0)),"",INDEX('13C'!$A:$Z,MATCH(A31,'13C'!$B:$B,0),MATCH(Summary!$I$1,'13C'!$A$1:$Z$1,0)))</f>
        <v/>
      </c>
    </row>
    <row r="32" spans="1:9" x14ac:dyDescent="0.2">
      <c r="A32"/>
      <c r="B32"/>
      <c r="C32" s="10" t="str">
        <f>IF(ISNA(MATCH(A32,'Elemental analysis'!$Q$5:$Q$139,0)),"",INDEX('Elemental analysis'!$Q$5:$W$139,MATCH(Summary!$A32,'Elemental analysis'!$Q$5:$Q$139,0),MATCH(Summary!C$1,'Elemental analysis'!$Q$5:$W$5,0)))</f>
        <v/>
      </c>
      <c r="D32" s="10" t="str">
        <f>IF(ISNA(MATCH(A32,'Elemental analysis'!$Y$5:$Y$139,0)),"",INDEX('Elemental analysis'!$Y$5:$AE$139,MATCH(Summary!$A32,'Elemental analysis'!$Y$5:$Y$139,0),MATCH(Summary!D$1,'Elemental analysis'!$Y$5:$AE$5,0)))</f>
        <v/>
      </c>
      <c r="E32" s="10" t="str">
        <f>IF( IF(ISNA(MATCH(A32,'Elemental analysis'!$Y$5:$Y$139,0)),"",INDEX('Elemental analysis'!$Y$5:$AE$139,MATCH(Summary!$A32,'Elemental analysis'!$Y$5:$Y$139,0),MATCH(Summary!E$1,'Elemental analysis'!$Y$5:$AE$5,0)))=0,"",IF(ISNA(MATCH(A32,'Elemental analysis'!$Y$5:$Y$139,0)),"",INDEX('Elemental analysis'!$Y$5:$AE$139,MATCH(Summary!$A32,'Elemental analysis'!$Y$5:$Y$139,0),MATCH(Summary!E$1,'Elemental analysis'!$Y$5:$AE$5,0))))</f>
        <v/>
      </c>
      <c r="F32" s="10" t="str">
        <f t="shared" si="0"/>
        <v/>
      </c>
      <c r="G32" s="10" t="str">
        <f t="shared" si="1"/>
        <v/>
      </c>
      <c r="H32" s="11" t="str">
        <f>IF(ISNA(MATCH(A32,'15N'!$B:$B,0)),"",INDEX('15N'!$A:$Y,MATCH(A32,'15N'!$B:$B,0),MATCH(Summary!$H$1,'15N'!$A$1:$Y$1,0)))</f>
        <v/>
      </c>
      <c r="I32" s="11" t="str">
        <f>IF(ISNA(MATCH(A32,'13C'!$B:$B,0)),"",INDEX('13C'!$A:$Z,MATCH(A32,'13C'!$B:$B,0),MATCH(Summary!$I$1,'13C'!$A$1:$Z$1,0)))</f>
        <v/>
      </c>
    </row>
    <row r="33" spans="1:9" x14ac:dyDescent="0.2">
      <c r="A33"/>
      <c r="B33"/>
      <c r="C33" s="10" t="str">
        <f>IF(ISNA(MATCH(A33,'Elemental analysis'!$Q$5:$Q$139,0)),"",INDEX('Elemental analysis'!$Q$5:$W$139,MATCH(Summary!$A33,'Elemental analysis'!$Q$5:$Q$139,0),MATCH(Summary!C$1,'Elemental analysis'!$Q$5:$W$5,0)))</f>
        <v/>
      </c>
      <c r="D33" s="10" t="str">
        <f>IF(ISNA(MATCH(A33,'Elemental analysis'!$Y$5:$Y$139,0)),"",INDEX('Elemental analysis'!$Y$5:$AE$139,MATCH(Summary!$A33,'Elemental analysis'!$Y$5:$Y$139,0),MATCH(Summary!D$1,'Elemental analysis'!$Y$5:$AE$5,0)))</f>
        <v/>
      </c>
      <c r="E33" s="10" t="str">
        <f>IF( IF(ISNA(MATCH(A33,'Elemental analysis'!$Y$5:$Y$139,0)),"",INDEX('Elemental analysis'!$Y$5:$AE$139,MATCH(Summary!$A33,'Elemental analysis'!$Y$5:$Y$139,0),MATCH(Summary!E$1,'Elemental analysis'!$Y$5:$AE$5,0)))=0,"",IF(ISNA(MATCH(A33,'Elemental analysis'!$Y$5:$Y$139,0)),"",INDEX('Elemental analysis'!$Y$5:$AE$139,MATCH(Summary!$A33,'Elemental analysis'!$Y$5:$Y$139,0),MATCH(Summary!E$1,'Elemental analysis'!$Y$5:$AE$5,0))))</f>
        <v/>
      </c>
      <c r="F33" s="10" t="str">
        <f t="shared" si="0"/>
        <v/>
      </c>
      <c r="G33" s="10" t="str">
        <f t="shared" si="1"/>
        <v/>
      </c>
      <c r="H33" s="11" t="str">
        <f>IF(ISNA(MATCH(A33,'15N'!$B:$B,0)),"",INDEX('15N'!$A:$Y,MATCH(A33,'15N'!$B:$B,0),MATCH(Summary!$H$1,'15N'!$A$1:$Y$1,0)))</f>
        <v/>
      </c>
      <c r="I33" s="11" t="str">
        <f>IF(ISNA(MATCH(A33,'13C'!$B:$B,0)),"",INDEX('13C'!$A:$Z,MATCH(A33,'13C'!$B:$B,0),MATCH(Summary!$I$1,'13C'!$A$1:$Z$1,0)))</f>
        <v/>
      </c>
    </row>
    <row r="34" spans="1:9" x14ac:dyDescent="0.2">
      <c r="A34"/>
      <c r="B34"/>
      <c r="C34" s="10" t="str">
        <f>IF(ISNA(MATCH(A34,'Elemental analysis'!$Q$5:$Q$139,0)),"",INDEX('Elemental analysis'!$Q$5:$W$139,MATCH(Summary!$A34,'Elemental analysis'!$Q$5:$Q$139,0),MATCH(Summary!C$1,'Elemental analysis'!$Q$5:$W$5,0)))</f>
        <v/>
      </c>
      <c r="D34" s="10" t="str">
        <f>IF(ISNA(MATCH(A34,'Elemental analysis'!$Y$5:$Y$139,0)),"",INDEX('Elemental analysis'!$Y$5:$AE$139,MATCH(Summary!$A34,'Elemental analysis'!$Y$5:$Y$139,0),MATCH(Summary!D$1,'Elemental analysis'!$Y$5:$AE$5,0)))</f>
        <v/>
      </c>
      <c r="E34" s="10" t="str">
        <f>IF( IF(ISNA(MATCH(A34,'Elemental analysis'!$Y$5:$Y$139,0)),"",INDEX('Elemental analysis'!$Y$5:$AE$139,MATCH(Summary!$A34,'Elemental analysis'!$Y$5:$Y$139,0),MATCH(Summary!E$1,'Elemental analysis'!$Y$5:$AE$5,0)))=0,"",IF(ISNA(MATCH(A34,'Elemental analysis'!$Y$5:$Y$139,0)),"",INDEX('Elemental analysis'!$Y$5:$AE$139,MATCH(Summary!$A34,'Elemental analysis'!$Y$5:$Y$139,0),MATCH(Summary!E$1,'Elemental analysis'!$Y$5:$AE$5,0))))</f>
        <v/>
      </c>
      <c r="F34" s="10" t="str">
        <f t="shared" si="0"/>
        <v/>
      </c>
      <c r="G34" s="10" t="str">
        <f t="shared" si="1"/>
        <v/>
      </c>
      <c r="H34" s="11" t="str">
        <f>IF(ISNA(MATCH(A34,'15N'!$B:$B,0)),"",INDEX('15N'!$A:$Y,MATCH(A34,'15N'!$B:$B,0),MATCH(Summary!$H$1,'15N'!$A$1:$Y$1,0)))</f>
        <v/>
      </c>
      <c r="I34" s="11" t="str">
        <f>IF(ISNA(MATCH(A34,'13C'!$B:$B,0)),"",INDEX('13C'!$A:$Z,MATCH(A34,'13C'!$B:$B,0),MATCH(Summary!$I$1,'13C'!$A$1:$Z$1,0)))</f>
        <v/>
      </c>
    </row>
    <row r="35" spans="1:9" x14ac:dyDescent="0.2">
      <c r="A35"/>
      <c r="B35"/>
      <c r="C35" s="10" t="str">
        <f>IF(ISNA(MATCH(A35,'Elemental analysis'!$Q$5:$Q$139,0)),"",INDEX('Elemental analysis'!$Q$5:$W$139,MATCH(Summary!$A35,'Elemental analysis'!$Q$5:$Q$139,0),MATCH(Summary!C$1,'Elemental analysis'!$Q$5:$W$5,0)))</f>
        <v/>
      </c>
      <c r="D35" s="10" t="str">
        <f>IF(ISNA(MATCH(A35,'Elemental analysis'!$Y$5:$Y$139,0)),"",INDEX('Elemental analysis'!$Y$5:$AE$139,MATCH(Summary!$A35,'Elemental analysis'!$Y$5:$Y$139,0),MATCH(Summary!D$1,'Elemental analysis'!$Y$5:$AE$5,0)))</f>
        <v/>
      </c>
      <c r="E35" s="10" t="str">
        <f>IF( IF(ISNA(MATCH(A35,'Elemental analysis'!$Y$5:$Y$139,0)),"",INDEX('Elemental analysis'!$Y$5:$AE$139,MATCH(Summary!$A35,'Elemental analysis'!$Y$5:$Y$139,0),MATCH(Summary!E$1,'Elemental analysis'!$Y$5:$AE$5,0)))=0,"",IF(ISNA(MATCH(A35,'Elemental analysis'!$Y$5:$Y$139,0)),"",INDEX('Elemental analysis'!$Y$5:$AE$139,MATCH(Summary!$A35,'Elemental analysis'!$Y$5:$Y$139,0),MATCH(Summary!E$1,'Elemental analysis'!$Y$5:$AE$5,0))))</f>
        <v/>
      </c>
      <c r="F35" s="10" t="str">
        <f t="shared" si="0"/>
        <v/>
      </c>
      <c r="G35" s="10" t="str">
        <f t="shared" si="1"/>
        <v/>
      </c>
      <c r="H35" s="11" t="str">
        <f>IF(ISNA(MATCH(A35,'15N'!$B:$B,0)),"",INDEX('15N'!$A:$Y,MATCH(A35,'15N'!$B:$B,0),MATCH(Summary!$H$1,'15N'!$A$1:$Y$1,0)))</f>
        <v/>
      </c>
      <c r="I35" s="11" t="str">
        <f>IF(ISNA(MATCH(A35,'13C'!$B:$B,0)),"",INDEX('13C'!$A:$Z,MATCH(A35,'13C'!$B:$B,0),MATCH(Summary!$I$1,'13C'!$A$1:$Z$1,0)))</f>
        <v/>
      </c>
    </row>
    <row r="36" spans="1:9" x14ac:dyDescent="0.2">
      <c r="A36"/>
      <c r="B36"/>
      <c r="C36" s="10" t="str">
        <f>IF(ISNA(MATCH(A36,'Elemental analysis'!$Q$5:$Q$139,0)),"",INDEX('Elemental analysis'!$Q$5:$W$139,MATCH(Summary!$A36,'Elemental analysis'!$Q$5:$Q$139,0),MATCH(Summary!C$1,'Elemental analysis'!$Q$5:$W$5,0)))</f>
        <v/>
      </c>
      <c r="D36" s="10" t="str">
        <f>IF(ISNA(MATCH(A36,'Elemental analysis'!$Y$5:$Y$139,0)),"",INDEX('Elemental analysis'!$Y$5:$AE$139,MATCH(Summary!$A36,'Elemental analysis'!$Y$5:$Y$139,0),MATCH(Summary!D$1,'Elemental analysis'!$Y$5:$AE$5,0)))</f>
        <v/>
      </c>
      <c r="E36" s="10" t="str">
        <f>IF( IF(ISNA(MATCH(A36,'Elemental analysis'!$Y$5:$Y$139,0)),"",INDEX('Elemental analysis'!$Y$5:$AE$139,MATCH(Summary!$A36,'Elemental analysis'!$Y$5:$Y$139,0),MATCH(Summary!E$1,'Elemental analysis'!$Y$5:$AE$5,0)))=0,"",IF(ISNA(MATCH(A36,'Elemental analysis'!$Y$5:$Y$139,0)),"",INDEX('Elemental analysis'!$Y$5:$AE$139,MATCH(Summary!$A36,'Elemental analysis'!$Y$5:$Y$139,0),MATCH(Summary!E$1,'Elemental analysis'!$Y$5:$AE$5,0))))</f>
        <v/>
      </c>
      <c r="F36" s="10" t="str">
        <f t="shared" si="0"/>
        <v/>
      </c>
      <c r="G36" s="10" t="str">
        <f t="shared" si="1"/>
        <v/>
      </c>
      <c r="H36" s="11" t="str">
        <f>IF(ISNA(MATCH(A36,'15N'!$B:$B,0)),"",INDEX('15N'!$A:$Y,MATCH(A36,'15N'!$B:$B,0),MATCH(Summary!$H$1,'15N'!$A$1:$Y$1,0)))</f>
        <v/>
      </c>
      <c r="I36" s="11" t="str">
        <f>IF(ISNA(MATCH(A36,'13C'!$B:$B,0)),"",INDEX('13C'!$A:$Z,MATCH(A36,'13C'!$B:$B,0),MATCH(Summary!$I$1,'13C'!$A$1:$Z$1,0)))</f>
        <v/>
      </c>
    </row>
    <row r="37" spans="1:9" x14ac:dyDescent="0.2">
      <c r="A37"/>
      <c r="B37"/>
      <c r="C37" s="10" t="str">
        <f>IF(ISNA(MATCH(A37,'Elemental analysis'!$Q$5:$Q$139,0)),"",INDEX('Elemental analysis'!$Q$5:$W$139,MATCH(Summary!$A37,'Elemental analysis'!$Q$5:$Q$139,0),MATCH(Summary!C$1,'Elemental analysis'!$Q$5:$W$5,0)))</f>
        <v/>
      </c>
      <c r="D37" s="10" t="str">
        <f>IF(ISNA(MATCH(A37,'Elemental analysis'!$Y$5:$Y$139,0)),"",INDEX('Elemental analysis'!$Y$5:$AE$139,MATCH(Summary!$A37,'Elemental analysis'!$Y$5:$Y$139,0),MATCH(Summary!D$1,'Elemental analysis'!$Y$5:$AE$5,0)))</f>
        <v/>
      </c>
      <c r="E37" s="10" t="str">
        <f>IF( IF(ISNA(MATCH(A37,'Elemental analysis'!$Y$5:$Y$139,0)),"",INDEX('Elemental analysis'!$Y$5:$AE$139,MATCH(Summary!$A37,'Elemental analysis'!$Y$5:$Y$139,0),MATCH(Summary!E$1,'Elemental analysis'!$Y$5:$AE$5,0)))=0,"",IF(ISNA(MATCH(A37,'Elemental analysis'!$Y$5:$Y$139,0)),"",INDEX('Elemental analysis'!$Y$5:$AE$139,MATCH(Summary!$A37,'Elemental analysis'!$Y$5:$Y$139,0),MATCH(Summary!E$1,'Elemental analysis'!$Y$5:$AE$5,0))))</f>
        <v/>
      </c>
      <c r="F37" s="10" t="str">
        <f t="shared" si="0"/>
        <v/>
      </c>
      <c r="G37" s="10" t="str">
        <f t="shared" si="1"/>
        <v/>
      </c>
      <c r="H37" s="11" t="str">
        <f>IF(ISNA(MATCH(A37,'15N'!$B:$B,0)),"",INDEX('15N'!$A:$Y,MATCH(A37,'15N'!$B:$B,0),MATCH(Summary!$H$1,'15N'!$A$1:$Y$1,0)))</f>
        <v/>
      </c>
      <c r="I37" s="11" t="str">
        <f>IF(ISNA(MATCH(A37,'13C'!$B:$B,0)),"",INDEX('13C'!$A:$Z,MATCH(A37,'13C'!$B:$B,0),MATCH(Summary!$I$1,'13C'!$A$1:$Z$1,0)))</f>
        <v/>
      </c>
    </row>
    <row r="38" spans="1:9" x14ac:dyDescent="0.2">
      <c r="A38"/>
      <c r="B38"/>
      <c r="C38" s="10" t="str">
        <f>IF(ISNA(MATCH(A38,'Elemental analysis'!$Q$5:$Q$139,0)),"",INDEX('Elemental analysis'!$Q$5:$W$139,MATCH(Summary!$A38,'Elemental analysis'!$Q$5:$Q$139,0),MATCH(Summary!C$1,'Elemental analysis'!$Q$5:$W$5,0)))</f>
        <v/>
      </c>
      <c r="D38" s="10" t="str">
        <f>IF(ISNA(MATCH(A38,'Elemental analysis'!$Y$5:$Y$139,0)),"",INDEX('Elemental analysis'!$Y$5:$AE$139,MATCH(Summary!$A38,'Elemental analysis'!$Y$5:$Y$139,0),MATCH(Summary!D$1,'Elemental analysis'!$Y$5:$AE$5,0)))</f>
        <v/>
      </c>
      <c r="E38" s="10" t="str">
        <f>IF( IF(ISNA(MATCH(A38,'Elemental analysis'!$Y$5:$Y$139,0)),"",INDEX('Elemental analysis'!$Y$5:$AE$139,MATCH(Summary!$A38,'Elemental analysis'!$Y$5:$Y$139,0),MATCH(Summary!E$1,'Elemental analysis'!$Y$5:$AE$5,0)))=0,"",IF(ISNA(MATCH(A38,'Elemental analysis'!$Y$5:$Y$139,0)),"",INDEX('Elemental analysis'!$Y$5:$AE$139,MATCH(Summary!$A38,'Elemental analysis'!$Y$5:$Y$139,0),MATCH(Summary!E$1,'Elemental analysis'!$Y$5:$AE$5,0))))</f>
        <v/>
      </c>
      <c r="F38" s="10" t="str">
        <f t="shared" si="0"/>
        <v/>
      </c>
      <c r="G38" s="10" t="str">
        <f t="shared" si="1"/>
        <v/>
      </c>
      <c r="H38" s="11" t="str">
        <f>IF(ISNA(MATCH(A38,'15N'!$B:$B,0)),"",INDEX('15N'!$A:$Y,MATCH(A38,'15N'!$B:$B,0),MATCH(Summary!$H$1,'15N'!$A$1:$Y$1,0)))</f>
        <v/>
      </c>
      <c r="I38" s="11" t="str">
        <f>IF(ISNA(MATCH(A38,'13C'!$B:$B,0)),"",INDEX('13C'!$A:$Z,MATCH(A38,'13C'!$B:$B,0),MATCH(Summary!$I$1,'13C'!$A$1:$Z$1,0)))</f>
        <v/>
      </c>
    </row>
    <row r="39" spans="1:9" x14ac:dyDescent="0.2">
      <c r="A39"/>
      <c r="B39"/>
      <c r="C39" s="10" t="str">
        <f>IF(ISNA(MATCH(A39,'Elemental analysis'!$Q$5:$Q$139,0)),"",INDEX('Elemental analysis'!$Q$5:$W$139,MATCH(Summary!$A39,'Elemental analysis'!$Q$5:$Q$139,0),MATCH(Summary!C$1,'Elemental analysis'!$Q$5:$W$5,0)))</f>
        <v/>
      </c>
      <c r="D39" s="10" t="str">
        <f>IF(ISNA(MATCH(A39,'Elemental analysis'!$Y$5:$Y$139,0)),"",INDEX('Elemental analysis'!$Y$5:$AE$139,MATCH(Summary!$A39,'Elemental analysis'!$Y$5:$Y$139,0),MATCH(Summary!D$1,'Elemental analysis'!$Y$5:$AE$5,0)))</f>
        <v/>
      </c>
      <c r="E39" s="10" t="str">
        <f>IF( IF(ISNA(MATCH(A39,'Elemental analysis'!$Y$5:$Y$139,0)),"",INDEX('Elemental analysis'!$Y$5:$AE$139,MATCH(Summary!$A39,'Elemental analysis'!$Y$5:$Y$139,0),MATCH(Summary!E$1,'Elemental analysis'!$Y$5:$AE$5,0)))=0,"",IF(ISNA(MATCH(A39,'Elemental analysis'!$Y$5:$Y$139,0)),"",INDEX('Elemental analysis'!$Y$5:$AE$139,MATCH(Summary!$A39,'Elemental analysis'!$Y$5:$Y$139,0),MATCH(Summary!E$1,'Elemental analysis'!$Y$5:$AE$5,0))))</f>
        <v/>
      </c>
      <c r="F39" s="10" t="str">
        <f t="shared" si="0"/>
        <v/>
      </c>
      <c r="G39" s="10" t="str">
        <f t="shared" si="1"/>
        <v/>
      </c>
      <c r="H39" s="11" t="str">
        <f>IF(ISNA(MATCH(A39,'15N'!$B:$B,0)),"",INDEX('15N'!$A:$Y,MATCH(A39,'15N'!$B:$B,0),MATCH(Summary!$H$1,'15N'!$A$1:$Y$1,0)))</f>
        <v/>
      </c>
      <c r="I39" s="11" t="str">
        <f>IF(ISNA(MATCH(A39,'13C'!$B:$B,0)),"",INDEX('13C'!$A:$Z,MATCH(A39,'13C'!$B:$B,0),MATCH(Summary!$I$1,'13C'!$A$1:$Z$1,0)))</f>
        <v/>
      </c>
    </row>
    <row r="40" spans="1:9" x14ac:dyDescent="0.2">
      <c r="A40"/>
      <c r="B40"/>
      <c r="C40" s="10" t="str">
        <f>IF(ISNA(MATCH(A40,'Elemental analysis'!$Q$5:$Q$139,0)),"",INDEX('Elemental analysis'!$Q$5:$W$139,MATCH(Summary!$A40,'Elemental analysis'!$Q$5:$Q$139,0),MATCH(Summary!C$1,'Elemental analysis'!$Q$5:$W$5,0)))</f>
        <v/>
      </c>
      <c r="D40" s="10" t="str">
        <f>IF(ISNA(MATCH(A40,'Elemental analysis'!$Y$5:$Y$139,0)),"",INDEX('Elemental analysis'!$Y$5:$AE$139,MATCH(Summary!$A40,'Elemental analysis'!$Y$5:$Y$139,0),MATCH(Summary!D$1,'Elemental analysis'!$Y$5:$AE$5,0)))</f>
        <v/>
      </c>
      <c r="E40" s="10" t="str">
        <f>IF( IF(ISNA(MATCH(A40,'Elemental analysis'!$Y$5:$Y$139,0)),"",INDEX('Elemental analysis'!$Y$5:$AE$139,MATCH(Summary!$A40,'Elemental analysis'!$Y$5:$Y$139,0),MATCH(Summary!E$1,'Elemental analysis'!$Y$5:$AE$5,0)))=0,"",IF(ISNA(MATCH(A40,'Elemental analysis'!$Y$5:$Y$139,0)),"",INDEX('Elemental analysis'!$Y$5:$AE$139,MATCH(Summary!$A40,'Elemental analysis'!$Y$5:$Y$139,0),MATCH(Summary!E$1,'Elemental analysis'!$Y$5:$AE$5,0))))</f>
        <v/>
      </c>
      <c r="F40" s="10" t="str">
        <f t="shared" si="0"/>
        <v/>
      </c>
      <c r="G40" s="10" t="str">
        <f t="shared" si="1"/>
        <v/>
      </c>
      <c r="H40" s="11" t="str">
        <f>IF(ISNA(MATCH(A40,'15N'!$B:$B,0)),"",INDEX('15N'!$A:$Y,MATCH(A40,'15N'!$B:$B,0),MATCH(Summary!$H$1,'15N'!$A$1:$Y$1,0)))</f>
        <v/>
      </c>
      <c r="I40" s="11" t="str">
        <f>IF(ISNA(MATCH(A40,'13C'!$B:$B,0)),"",INDEX('13C'!$A:$Z,MATCH(A40,'13C'!$B:$B,0),MATCH(Summary!$I$1,'13C'!$A$1:$Z$1,0)))</f>
        <v/>
      </c>
    </row>
    <row r="41" spans="1:9" x14ac:dyDescent="0.2">
      <c r="A41"/>
      <c r="B41"/>
      <c r="C41" s="10" t="str">
        <f>IF(ISNA(MATCH(A41,'Elemental analysis'!$Q$5:$Q$139,0)),"",INDEX('Elemental analysis'!$Q$5:$W$139,MATCH(Summary!$A41,'Elemental analysis'!$Q$5:$Q$139,0),MATCH(Summary!C$1,'Elemental analysis'!$Q$5:$W$5,0)))</f>
        <v/>
      </c>
      <c r="D41" s="10" t="str">
        <f>IF(ISNA(MATCH(A41,'Elemental analysis'!$Y$5:$Y$139,0)),"",INDEX('Elemental analysis'!$Y$5:$AE$139,MATCH(Summary!$A41,'Elemental analysis'!$Y$5:$Y$139,0),MATCH(Summary!D$1,'Elemental analysis'!$Y$5:$AE$5,0)))</f>
        <v/>
      </c>
      <c r="E41" s="10" t="str">
        <f>IF( IF(ISNA(MATCH(A41,'Elemental analysis'!$Y$5:$Y$139,0)),"",INDEX('Elemental analysis'!$Y$5:$AE$139,MATCH(Summary!$A41,'Elemental analysis'!$Y$5:$Y$139,0),MATCH(Summary!E$1,'Elemental analysis'!$Y$5:$AE$5,0)))=0,"",IF(ISNA(MATCH(A41,'Elemental analysis'!$Y$5:$Y$139,0)),"",INDEX('Elemental analysis'!$Y$5:$AE$139,MATCH(Summary!$A41,'Elemental analysis'!$Y$5:$Y$139,0),MATCH(Summary!E$1,'Elemental analysis'!$Y$5:$AE$5,0))))</f>
        <v/>
      </c>
      <c r="F41" s="10" t="str">
        <f t="shared" si="0"/>
        <v/>
      </c>
      <c r="G41" s="10" t="str">
        <f t="shared" si="1"/>
        <v/>
      </c>
      <c r="H41" s="11" t="str">
        <f>IF(ISNA(MATCH(A41,'15N'!$B:$B,0)),"",INDEX('15N'!$A:$Y,MATCH(A41,'15N'!$B:$B,0),MATCH(Summary!$H$1,'15N'!$A$1:$Y$1,0)))</f>
        <v/>
      </c>
      <c r="I41" s="11" t="str">
        <f>IF(ISNA(MATCH(A41,'13C'!$B:$B,0)),"",INDEX('13C'!$A:$Z,MATCH(A41,'13C'!$B:$B,0),MATCH(Summary!$I$1,'13C'!$A$1:$Z$1,0)))</f>
        <v/>
      </c>
    </row>
    <row r="42" spans="1:9" x14ac:dyDescent="0.2">
      <c r="A42"/>
      <c r="B42"/>
      <c r="C42" s="10" t="str">
        <f>IF(ISNA(MATCH(A42,'Elemental analysis'!$Q$5:$Q$139,0)),"",INDEX('Elemental analysis'!$Q$5:$W$139,MATCH(Summary!$A42,'Elemental analysis'!$Q$5:$Q$139,0),MATCH(Summary!C$1,'Elemental analysis'!$Q$5:$W$5,0)))</f>
        <v/>
      </c>
      <c r="D42" s="10" t="str">
        <f>IF(ISNA(MATCH(A42,'Elemental analysis'!$Y$5:$Y$139,0)),"",INDEX('Elemental analysis'!$Y$5:$AE$139,MATCH(Summary!$A42,'Elemental analysis'!$Y$5:$Y$139,0),MATCH(Summary!D$1,'Elemental analysis'!$Y$5:$AE$5,0)))</f>
        <v/>
      </c>
      <c r="E42" s="10" t="str">
        <f>IF( IF(ISNA(MATCH(A42,'Elemental analysis'!$Y$5:$Y$139,0)),"",INDEX('Elemental analysis'!$Y$5:$AE$139,MATCH(Summary!$A42,'Elemental analysis'!$Y$5:$Y$139,0),MATCH(Summary!E$1,'Elemental analysis'!$Y$5:$AE$5,0)))=0,"",IF(ISNA(MATCH(A42,'Elemental analysis'!$Y$5:$Y$139,0)),"",INDEX('Elemental analysis'!$Y$5:$AE$139,MATCH(Summary!$A42,'Elemental analysis'!$Y$5:$Y$139,0),MATCH(Summary!E$1,'Elemental analysis'!$Y$5:$AE$5,0))))</f>
        <v/>
      </c>
      <c r="F42" s="10" t="str">
        <f t="shared" si="0"/>
        <v/>
      </c>
      <c r="G42" s="10" t="str">
        <f t="shared" si="1"/>
        <v/>
      </c>
      <c r="H42" s="11" t="str">
        <f>IF(ISNA(MATCH(A42,'15N'!$B:$B,0)),"",INDEX('15N'!$A:$Y,MATCH(A42,'15N'!$B:$B,0),MATCH(Summary!$H$1,'15N'!$A$1:$Y$1,0)))</f>
        <v/>
      </c>
      <c r="I42" s="11" t="str">
        <f>IF(ISNA(MATCH(A42,'13C'!$B:$B,0)),"",INDEX('13C'!$A:$Z,MATCH(A42,'13C'!$B:$B,0),MATCH(Summary!$I$1,'13C'!$A$1:$Z$1,0)))</f>
        <v/>
      </c>
    </row>
    <row r="43" spans="1:9" x14ac:dyDescent="0.2">
      <c r="A43"/>
      <c r="B43"/>
      <c r="C43" s="10" t="str">
        <f>IF(ISNA(MATCH(A43,'Elemental analysis'!$Q$5:$Q$139,0)),"",INDEX('Elemental analysis'!$Q$5:$W$139,MATCH(Summary!$A43,'Elemental analysis'!$Q$5:$Q$139,0),MATCH(Summary!C$1,'Elemental analysis'!$Q$5:$W$5,0)))</f>
        <v/>
      </c>
      <c r="D43" s="10" t="str">
        <f>IF(ISNA(MATCH(A43,'Elemental analysis'!$Y$5:$Y$139,0)),"",INDEX('Elemental analysis'!$Y$5:$AE$139,MATCH(Summary!$A43,'Elemental analysis'!$Y$5:$Y$139,0),MATCH(Summary!D$1,'Elemental analysis'!$Y$5:$AE$5,0)))</f>
        <v/>
      </c>
      <c r="E43" s="10" t="str">
        <f>IF( IF(ISNA(MATCH(A43,'Elemental analysis'!$Y$5:$Y$139,0)),"",INDEX('Elemental analysis'!$Y$5:$AE$139,MATCH(Summary!$A43,'Elemental analysis'!$Y$5:$Y$139,0),MATCH(Summary!E$1,'Elemental analysis'!$Y$5:$AE$5,0)))=0,"",IF(ISNA(MATCH(A43,'Elemental analysis'!$Y$5:$Y$139,0)),"",INDEX('Elemental analysis'!$Y$5:$AE$139,MATCH(Summary!$A43,'Elemental analysis'!$Y$5:$Y$139,0),MATCH(Summary!E$1,'Elemental analysis'!$Y$5:$AE$5,0))))</f>
        <v/>
      </c>
      <c r="F43" s="10" t="str">
        <f t="shared" si="0"/>
        <v/>
      </c>
      <c r="G43" s="10" t="str">
        <f t="shared" si="1"/>
        <v/>
      </c>
      <c r="H43" s="11" t="str">
        <f>IF(ISNA(MATCH(A43,'15N'!$B:$B,0)),"",INDEX('15N'!$A:$Y,MATCH(A43,'15N'!$B:$B,0),MATCH(Summary!$H$1,'15N'!$A$1:$Y$1,0)))</f>
        <v/>
      </c>
      <c r="I43" s="11" t="str">
        <f>IF(ISNA(MATCH(A43,'13C'!$B:$B,0)),"",INDEX('13C'!$A:$Z,MATCH(A43,'13C'!$B:$B,0),MATCH(Summary!$I$1,'13C'!$A$1:$Z$1,0)))</f>
        <v/>
      </c>
    </row>
    <row r="44" spans="1:9" x14ac:dyDescent="0.2">
      <c r="A44"/>
      <c r="B44"/>
      <c r="C44" s="10" t="str">
        <f>IF(ISNA(MATCH(A44,'Elemental analysis'!$Q$5:$Q$139,0)),"",INDEX('Elemental analysis'!$Q$5:$W$139,MATCH(Summary!$A44,'Elemental analysis'!$Q$5:$Q$139,0),MATCH(Summary!C$1,'Elemental analysis'!$Q$5:$W$5,0)))</f>
        <v/>
      </c>
      <c r="D44" s="10" t="str">
        <f>IF(ISNA(MATCH(A44,'Elemental analysis'!$Y$5:$Y$139,0)),"",INDEX('Elemental analysis'!$Y$5:$AE$139,MATCH(Summary!$A44,'Elemental analysis'!$Y$5:$Y$139,0),MATCH(Summary!D$1,'Elemental analysis'!$Y$5:$AE$5,0)))</f>
        <v/>
      </c>
      <c r="E44" s="10" t="str">
        <f>IF( IF(ISNA(MATCH(A44,'Elemental analysis'!$Y$5:$Y$139,0)),"",INDEX('Elemental analysis'!$Y$5:$AE$139,MATCH(Summary!$A44,'Elemental analysis'!$Y$5:$Y$139,0),MATCH(Summary!E$1,'Elemental analysis'!$Y$5:$AE$5,0)))=0,"",IF(ISNA(MATCH(A44,'Elemental analysis'!$Y$5:$Y$139,0)),"",INDEX('Elemental analysis'!$Y$5:$AE$139,MATCH(Summary!$A44,'Elemental analysis'!$Y$5:$Y$139,0),MATCH(Summary!E$1,'Elemental analysis'!$Y$5:$AE$5,0))))</f>
        <v/>
      </c>
      <c r="F44" s="10" t="str">
        <f t="shared" si="0"/>
        <v/>
      </c>
      <c r="G44" s="10" t="str">
        <f t="shared" si="1"/>
        <v/>
      </c>
      <c r="H44" s="11" t="str">
        <f>IF(ISNA(MATCH(A44,'15N'!$B:$B,0)),"",INDEX('15N'!$A:$Y,MATCH(A44,'15N'!$B:$B,0),MATCH(Summary!$H$1,'15N'!$A$1:$Y$1,0)))</f>
        <v/>
      </c>
      <c r="I44" s="11" t="str">
        <f>IF(ISNA(MATCH(A44,'13C'!$B:$B,0)),"",INDEX('13C'!$A:$Z,MATCH(A44,'13C'!$B:$B,0),MATCH(Summary!$I$1,'13C'!$A$1:$Z$1,0)))</f>
        <v/>
      </c>
    </row>
    <row r="45" spans="1:9" x14ac:dyDescent="0.2">
      <c r="A45"/>
      <c r="B45"/>
      <c r="C45" s="10" t="str">
        <f>IF(ISNA(MATCH(A45,'Elemental analysis'!$Q$5:$Q$139,0)),"",INDEX('Elemental analysis'!$Q$5:$W$139,MATCH(Summary!$A45,'Elemental analysis'!$Q$5:$Q$139,0),MATCH(Summary!C$1,'Elemental analysis'!$Q$5:$W$5,0)))</f>
        <v/>
      </c>
      <c r="D45" s="10" t="str">
        <f>IF(ISNA(MATCH(A45,'Elemental analysis'!$Y$5:$Y$139,0)),"",INDEX('Elemental analysis'!$Y$5:$AE$139,MATCH(Summary!$A45,'Elemental analysis'!$Y$5:$Y$139,0),MATCH(Summary!D$1,'Elemental analysis'!$Y$5:$AE$5,0)))</f>
        <v/>
      </c>
      <c r="E45" s="10" t="str">
        <f>IF( IF(ISNA(MATCH(A45,'Elemental analysis'!$Y$5:$Y$139,0)),"",INDEX('Elemental analysis'!$Y$5:$AE$139,MATCH(Summary!$A45,'Elemental analysis'!$Y$5:$Y$139,0),MATCH(Summary!E$1,'Elemental analysis'!$Y$5:$AE$5,0)))=0,"",IF(ISNA(MATCH(A45,'Elemental analysis'!$Y$5:$Y$139,0)),"",INDEX('Elemental analysis'!$Y$5:$AE$139,MATCH(Summary!$A45,'Elemental analysis'!$Y$5:$Y$139,0),MATCH(Summary!E$1,'Elemental analysis'!$Y$5:$AE$5,0))))</f>
        <v/>
      </c>
      <c r="F45" s="10" t="str">
        <f t="shared" si="0"/>
        <v/>
      </c>
      <c r="G45" s="10" t="str">
        <f t="shared" si="1"/>
        <v/>
      </c>
      <c r="H45" s="11" t="str">
        <f>IF(ISNA(MATCH(A45,'15N'!$B:$B,0)),"",INDEX('15N'!$A:$Y,MATCH(A45,'15N'!$B:$B,0),MATCH(Summary!$H$1,'15N'!$A$1:$Y$1,0)))</f>
        <v/>
      </c>
      <c r="I45" s="11" t="str">
        <f>IF(ISNA(MATCH(A45,'13C'!$B:$B,0)),"",INDEX('13C'!$A:$Z,MATCH(A45,'13C'!$B:$B,0),MATCH(Summary!$I$1,'13C'!$A$1:$Z$1,0)))</f>
        <v/>
      </c>
    </row>
    <row r="46" spans="1:9" x14ac:dyDescent="0.2">
      <c r="A46"/>
      <c r="B46"/>
      <c r="C46" s="10" t="str">
        <f>IF(ISNA(MATCH(A46,'Elemental analysis'!$Q$5:$Q$139,0)),"",INDEX('Elemental analysis'!$Q$5:$W$139,MATCH(Summary!$A46,'Elemental analysis'!$Q$5:$Q$139,0),MATCH(Summary!C$1,'Elemental analysis'!$Q$5:$W$5,0)))</f>
        <v/>
      </c>
      <c r="D46" s="10" t="str">
        <f>IF(ISNA(MATCH(A46,'Elemental analysis'!$Y$5:$Y$139,0)),"",INDEX('Elemental analysis'!$Y$5:$AE$139,MATCH(Summary!$A46,'Elemental analysis'!$Y$5:$Y$139,0),MATCH(Summary!D$1,'Elemental analysis'!$Y$5:$AE$5,0)))</f>
        <v/>
      </c>
      <c r="E46" s="10" t="str">
        <f>IF( IF(ISNA(MATCH(A46,'Elemental analysis'!$Y$5:$Y$139,0)),"",INDEX('Elemental analysis'!$Y$5:$AE$139,MATCH(Summary!$A46,'Elemental analysis'!$Y$5:$Y$139,0),MATCH(Summary!E$1,'Elemental analysis'!$Y$5:$AE$5,0)))=0,"",IF(ISNA(MATCH(A46,'Elemental analysis'!$Y$5:$Y$139,0)),"",INDEX('Elemental analysis'!$Y$5:$AE$139,MATCH(Summary!$A46,'Elemental analysis'!$Y$5:$Y$139,0),MATCH(Summary!E$1,'Elemental analysis'!$Y$5:$AE$5,0))))</f>
        <v/>
      </c>
      <c r="F46" s="10" t="str">
        <f t="shared" si="0"/>
        <v/>
      </c>
      <c r="G46" s="10" t="str">
        <f t="shared" si="1"/>
        <v/>
      </c>
      <c r="H46" s="11" t="str">
        <f>IF(ISNA(MATCH(A46,'15N'!$B:$B,0)),"",INDEX('15N'!$A:$Y,MATCH(A46,'15N'!$B:$B,0),MATCH(Summary!$H$1,'15N'!$A$1:$Y$1,0)))</f>
        <v/>
      </c>
      <c r="I46" s="11" t="str">
        <f>IF(ISNA(MATCH(A46,'13C'!$B:$B,0)),"",INDEX('13C'!$A:$Z,MATCH(A46,'13C'!$B:$B,0),MATCH(Summary!$I$1,'13C'!$A$1:$Z$1,0)))</f>
        <v/>
      </c>
    </row>
    <row r="47" spans="1:9" x14ac:dyDescent="0.2">
      <c r="A47"/>
      <c r="B47"/>
      <c r="C47" s="10" t="str">
        <f>IF(ISNA(MATCH(A47,'Elemental analysis'!$Q$5:$Q$139,0)),"",INDEX('Elemental analysis'!$Q$5:$W$139,MATCH(Summary!$A47,'Elemental analysis'!$Q$5:$Q$139,0),MATCH(Summary!C$1,'Elemental analysis'!$Q$5:$W$5,0)))</f>
        <v/>
      </c>
      <c r="D47" s="10" t="str">
        <f>IF(ISNA(MATCH(A47,'Elemental analysis'!$Y$5:$Y$139,0)),"",INDEX('Elemental analysis'!$Y$5:$AE$139,MATCH(Summary!$A47,'Elemental analysis'!$Y$5:$Y$139,0),MATCH(Summary!D$1,'Elemental analysis'!$Y$5:$AE$5,0)))</f>
        <v/>
      </c>
      <c r="E47" s="10" t="str">
        <f>IF( IF(ISNA(MATCH(A47,'Elemental analysis'!$Y$5:$Y$139,0)),"",INDEX('Elemental analysis'!$Y$5:$AE$139,MATCH(Summary!$A47,'Elemental analysis'!$Y$5:$Y$139,0),MATCH(Summary!E$1,'Elemental analysis'!$Y$5:$AE$5,0)))=0,"",IF(ISNA(MATCH(A47,'Elemental analysis'!$Y$5:$Y$139,0)),"",INDEX('Elemental analysis'!$Y$5:$AE$139,MATCH(Summary!$A47,'Elemental analysis'!$Y$5:$Y$139,0),MATCH(Summary!E$1,'Elemental analysis'!$Y$5:$AE$5,0))))</f>
        <v/>
      </c>
      <c r="F47" s="10" t="str">
        <f t="shared" ref="F47:F99" si="2">IF(ISERROR(C47/E47),"",C47/E47)</f>
        <v/>
      </c>
      <c r="G47" s="10" t="str">
        <f t="shared" ref="G47:G99" si="3">IF(ISERROR(D47/E47),"",D47/E47)</f>
        <v/>
      </c>
      <c r="H47" s="11" t="str">
        <f>IF(ISNA(MATCH(A47,'15N'!$B:$B,0)),"",INDEX('15N'!$A:$Y,MATCH(A47,'15N'!$B:$B,0),MATCH(Summary!$H$1,'15N'!$A$1:$Y$1,0)))</f>
        <v/>
      </c>
      <c r="I47" s="11" t="str">
        <f>IF(ISNA(MATCH(A47,'13C'!$B:$B,0)),"",INDEX('13C'!$A:$Z,MATCH(A47,'13C'!$B:$B,0),MATCH(Summary!$I$1,'13C'!$A$1:$Z$1,0)))</f>
        <v/>
      </c>
    </row>
    <row r="48" spans="1:9" x14ac:dyDescent="0.2">
      <c r="A48"/>
      <c r="B48"/>
      <c r="C48" s="10" t="str">
        <f>IF(ISNA(MATCH(A48,'Elemental analysis'!$Q$5:$Q$139,0)),"",INDEX('Elemental analysis'!$Q$5:$W$139,MATCH(Summary!$A48,'Elemental analysis'!$Q$5:$Q$139,0),MATCH(Summary!C$1,'Elemental analysis'!$Q$5:$W$5,0)))</f>
        <v/>
      </c>
      <c r="D48" s="10" t="str">
        <f>IF(ISNA(MATCH(A48,'Elemental analysis'!$Y$5:$Y$139,0)),"",INDEX('Elemental analysis'!$Y$5:$AE$139,MATCH(Summary!$A48,'Elemental analysis'!$Y$5:$Y$139,0),MATCH(Summary!D$1,'Elemental analysis'!$Y$5:$AE$5,0)))</f>
        <v/>
      </c>
      <c r="E48" s="10" t="str">
        <f>IF( IF(ISNA(MATCH(A48,'Elemental analysis'!$Y$5:$Y$139,0)),"",INDEX('Elemental analysis'!$Y$5:$AE$139,MATCH(Summary!$A48,'Elemental analysis'!$Y$5:$Y$139,0),MATCH(Summary!E$1,'Elemental analysis'!$Y$5:$AE$5,0)))=0,"",IF(ISNA(MATCH(A48,'Elemental analysis'!$Y$5:$Y$139,0)),"",INDEX('Elemental analysis'!$Y$5:$AE$139,MATCH(Summary!$A48,'Elemental analysis'!$Y$5:$Y$139,0),MATCH(Summary!E$1,'Elemental analysis'!$Y$5:$AE$5,0))))</f>
        <v/>
      </c>
      <c r="F48" s="10" t="str">
        <f t="shared" si="2"/>
        <v/>
      </c>
      <c r="G48" s="10" t="str">
        <f t="shared" si="3"/>
        <v/>
      </c>
      <c r="H48" s="11" t="str">
        <f>IF(ISNA(MATCH(A48,'15N'!$B:$B,0)),"",INDEX('15N'!$A:$Y,MATCH(A48,'15N'!$B:$B,0),MATCH(Summary!$H$1,'15N'!$A$1:$Y$1,0)))</f>
        <v/>
      </c>
      <c r="I48" s="11" t="str">
        <f>IF(ISNA(MATCH(A48,'13C'!$B:$B,0)),"",INDEX('13C'!$A:$Z,MATCH(A48,'13C'!$B:$B,0),MATCH(Summary!$I$1,'13C'!$A$1:$Z$1,0)))</f>
        <v/>
      </c>
    </row>
    <row r="49" spans="1:9" x14ac:dyDescent="0.2">
      <c r="A49"/>
      <c r="B49"/>
      <c r="C49" s="10" t="str">
        <f>IF(ISNA(MATCH(A49,'Elemental analysis'!$Q$5:$Q$139,0)),"",INDEX('Elemental analysis'!$Q$5:$W$139,MATCH(Summary!$A49,'Elemental analysis'!$Q$5:$Q$139,0),MATCH(Summary!C$1,'Elemental analysis'!$Q$5:$W$5,0)))</f>
        <v/>
      </c>
      <c r="D49" s="10" t="str">
        <f>IF(ISNA(MATCH(A49,'Elemental analysis'!$Y$5:$Y$139,0)),"",INDEX('Elemental analysis'!$Y$5:$AE$139,MATCH(Summary!$A49,'Elemental analysis'!$Y$5:$Y$139,0),MATCH(Summary!D$1,'Elemental analysis'!$Y$5:$AE$5,0)))</f>
        <v/>
      </c>
      <c r="E49" s="10" t="str">
        <f>IF( IF(ISNA(MATCH(A49,'Elemental analysis'!$Y$5:$Y$139,0)),"",INDEX('Elemental analysis'!$Y$5:$AE$139,MATCH(Summary!$A49,'Elemental analysis'!$Y$5:$Y$139,0),MATCH(Summary!E$1,'Elemental analysis'!$Y$5:$AE$5,0)))=0,"",IF(ISNA(MATCH(A49,'Elemental analysis'!$Y$5:$Y$139,0)),"",INDEX('Elemental analysis'!$Y$5:$AE$139,MATCH(Summary!$A49,'Elemental analysis'!$Y$5:$Y$139,0),MATCH(Summary!E$1,'Elemental analysis'!$Y$5:$AE$5,0))))</f>
        <v/>
      </c>
      <c r="F49" s="10" t="str">
        <f t="shared" si="2"/>
        <v/>
      </c>
      <c r="G49" s="10" t="str">
        <f t="shared" si="3"/>
        <v/>
      </c>
      <c r="H49" s="11" t="str">
        <f>IF(ISNA(MATCH(A49,'15N'!$B:$B,0)),"",INDEX('15N'!$A:$Y,MATCH(A49,'15N'!$B:$B,0),MATCH(Summary!$H$1,'15N'!$A$1:$Y$1,0)))</f>
        <v/>
      </c>
      <c r="I49" s="11" t="str">
        <f>IF(ISNA(MATCH(A49,'13C'!$B:$B,0)),"",INDEX('13C'!$A:$Z,MATCH(A49,'13C'!$B:$B,0),MATCH(Summary!$I$1,'13C'!$A$1:$Z$1,0)))</f>
        <v/>
      </c>
    </row>
    <row r="50" spans="1:9" x14ac:dyDescent="0.2">
      <c r="A50"/>
      <c r="B50"/>
      <c r="C50" s="10" t="str">
        <f>IF(ISNA(MATCH(A50,'Elemental analysis'!$Q$5:$Q$139,0)),"",INDEX('Elemental analysis'!$Q$5:$W$139,MATCH(Summary!$A50,'Elemental analysis'!$Q$5:$Q$139,0),MATCH(Summary!C$1,'Elemental analysis'!$Q$5:$W$5,0)))</f>
        <v/>
      </c>
      <c r="D50" s="10" t="str">
        <f>IF(ISNA(MATCH(A50,'Elemental analysis'!$Y$5:$Y$139,0)),"",INDEX('Elemental analysis'!$Y$5:$AE$139,MATCH(Summary!$A50,'Elemental analysis'!$Y$5:$Y$139,0),MATCH(Summary!D$1,'Elemental analysis'!$Y$5:$AE$5,0)))</f>
        <v/>
      </c>
      <c r="E50" s="10" t="str">
        <f>IF( IF(ISNA(MATCH(A50,'Elemental analysis'!$Y$5:$Y$139,0)),"",INDEX('Elemental analysis'!$Y$5:$AE$139,MATCH(Summary!$A50,'Elemental analysis'!$Y$5:$Y$139,0),MATCH(Summary!E$1,'Elemental analysis'!$Y$5:$AE$5,0)))=0,"",IF(ISNA(MATCH(A50,'Elemental analysis'!$Y$5:$Y$139,0)),"",INDEX('Elemental analysis'!$Y$5:$AE$139,MATCH(Summary!$A50,'Elemental analysis'!$Y$5:$Y$139,0),MATCH(Summary!E$1,'Elemental analysis'!$Y$5:$AE$5,0))))</f>
        <v/>
      </c>
      <c r="F50" s="10" t="str">
        <f t="shared" si="2"/>
        <v/>
      </c>
      <c r="G50" s="10" t="str">
        <f t="shared" si="3"/>
        <v/>
      </c>
      <c r="H50" s="11" t="str">
        <f>IF(ISNA(MATCH(A50,'15N'!$B:$B,0)),"",INDEX('15N'!$A:$Y,MATCH(A50,'15N'!$B:$B,0),MATCH(Summary!$H$1,'15N'!$A$1:$Y$1,0)))</f>
        <v/>
      </c>
      <c r="I50" s="11" t="str">
        <f>IF(ISNA(MATCH(A50,'13C'!$B:$B,0)),"",INDEX('13C'!$A:$Z,MATCH(A50,'13C'!$B:$B,0),MATCH(Summary!$I$1,'13C'!$A$1:$Z$1,0)))</f>
        <v/>
      </c>
    </row>
    <row r="51" spans="1:9" x14ac:dyDescent="0.2">
      <c r="A51"/>
      <c r="B51"/>
      <c r="C51" s="10" t="str">
        <f>IF(ISNA(MATCH(A51,'Elemental analysis'!$Q$5:$Q$139,0)),"",INDEX('Elemental analysis'!$Q$5:$W$139,MATCH(Summary!$A51,'Elemental analysis'!$Q$5:$Q$139,0),MATCH(Summary!C$1,'Elemental analysis'!$Q$5:$W$5,0)))</f>
        <v/>
      </c>
      <c r="D51" s="10" t="str">
        <f>IF(ISNA(MATCH(A51,'Elemental analysis'!$Y$5:$Y$139,0)),"",INDEX('Elemental analysis'!$Y$5:$AE$139,MATCH(Summary!$A51,'Elemental analysis'!$Y$5:$Y$139,0),MATCH(Summary!D$1,'Elemental analysis'!$Y$5:$AE$5,0)))</f>
        <v/>
      </c>
      <c r="E51" s="10" t="str">
        <f>IF( IF(ISNA(MATCH(A51,'Elemental analysis'!$Y$5:$Y$139,0)),"",INDEX('Elemental analysis'!$Y$5:$AE$139,MATCH(Summary!$A51,'Elemental analysis'!$Y$5:$Y$139,0),MATCH(Summary!E$1,'Elemental analysis'!$Y$5:$AE$5,0)))=0,"",IF(ISNA(MATCH(A51,'Elemental analysis'!$Y$5:$Y$139,0)),"",INDEX('Elemental analysis'!$Y$5:$AE$139,MATCH(Summary!$A51,'Elemental analysis'!$Y$5:$Y$139,0),MATCH(Summary!E$1,'Elemental analysis'!$Y$5:$AE$5,0))))</f>
        <v/>
      </c>
      <c r="F51" s="10" t="str">
        <f t="shared" si="2"/>
        <v/>
      </c>
      <c r="G51" s="10" t="str">
        <f t="shared" si="3"/>
        <v/>
      </c>
      <c r="H51" s="11" t="str">
        <f>IF(ISNA(MATCH(A51,'15N'!$B:$B,0)),"",INDEX('15N'!$A:$Y,MATCH(A51,'15N'!$B:$B,0),MATCH(Summary!$H$1,'15N'!$A$1:$Y$1,0)))</f>
        <v/>
      </c>
      <c r="I51" s="11" t="str">
        <f>IF(ISNA(MATCH(A51,'13C'!$B:$B,0)),"",INDEX('13C'!$A:$Z,MATCH(A51,'13C'!$B:$B,0),MATCH(Summary!$I$1,'13C'!$A$1:$Z$1,0)))</f>
        <v/>
      </c>
    </row>
    <row r="52" spans="1:9" x14ac:dyDescent="0.2">
      <c r="A52"/>
      <c r="B52"/>
      <c r="C52" s="10" t="str">
        <f>IF(ISNA(MATCH(A52,'Elemental analysis'!$Q$5:$Q$139,0)),"",INDEX('Elemental analysis'!$Q$5:$W$139,MATCH(Summary!$A52,'Elemental analysis'!$Q$5:$Q$139,0),MATCH(Summary!C$1,'Elemental analysis'!$Q$5:$W$5,0)))</f>
        <v/>
      </c>
      <c r="D52" s="10" t="str">
        <f>IF(ISNA(MATCH(A52,'Elemental analysis'!$Y$5:$Y$139,0)),"",INDEX('Elemental analysis'!$Y$5:$AE$139,MATCH(Summary!$A52,'Elemental analysis'!$Y$5:$Y$139,0),MATCH(Summary!D$1,'Elemental analysis'!$Y$5:$AE$5,0)))</f>
        <v/>
      </c>
      <c r="E52" s="10" t="str">
        <f>IF( IF(ISNA(MATCH(A52,'Elemental analysis'!$Y$5:$Y$139,0)),"",INDEX('Elemental analysis'!$Y$5:$AE$139,MATCH(Summary!$A52,'Elemental analysis'!$Y$5:$Y$139,0),MATCH(Summary!E$1,'Elemental analysis'!$Y$5:$AE$5,0)))=0,"",IF(ISNA(MATCH(A52,'Elemental analysis'!$Y$5:$Y$139,0)),"",INDEX('Elemental analysis'!$Y$5:$AE$139,MATCH(Summary!$A52,'Elemental analysis'!$Y$5:$Y$139,0),MATCH(Summary!E$1,'Elemental analysis'!$Y$5:$AE$5,0))))</f>
        <v/>
      </c>
      <c r="F52" s="10" t="str">
        <f t="shared" si="2"/>
        <v/>
      </c>
      <c r="G52" s="10" t="str">
        <f t="shared" si="3"/>
        <v/>
      </c>
      <c r="H52" s="11" t="str">
        <f>IF(ISNA(MATCH(A52,'15N'!$B:$B,0)),"",INDEX('15N'!$A:$Y,MATCH(A52,'15N'!$B:$B,0),MATCH(Summary!$H$1,'15N'!$A$1:$Y$1,0)))</f>
        <v/>
      </c>
      <c r="I52" s="11" t="str">
        <f>IF(ISNA(MATCH(A52,'13C'!$B:$B,0)),"",INDEX('13C'!$A:$Z,MATCH(A52,'13C'!$B:$B,0),MATCH(Summary!$I$1,'13C'!$A$1:$Z$1,0)))</f>
        <v/>
      </c>
    </row>
    <row r="53" spans="1:9" x14ac:dyDescent="0.2">
      <c r="A53"/>
      <c r="B53"/>
      <c r="C53" s="10" t="str">
        <f>IF(ISNA(MATCH(A53,'Elemental analysis'!$Q$5:$Q$139,0)),"",INDEX('Elemental analysis'!$Q$5:$W$139,MATCH(Summary!$A53,'Elemental analysis'!$Q$5:$Q$139,0),MATCH(Summary!C$1,'Elemental analysis'!$Q$5:$W$5,0)))</f>
        <v/>
      </c>
      <c r="D53" s="10" t="str">
        <f>IF(ISNA(MATCH(A53,'Elemental analysis'!$Y$5:$Y$139,0)),"",INDEX('Elemental analysis'!$Y$5:$AE$139,MATCH(Summary!$A53,'Elemental analysis'!$Y$5:$Y$139,0),MATCH(Summary!D$1,'Elemental analysis'!$Y$5:$AE$5,0)))</f>
        <v/>
      </c>
      <c r="E53" s="10" t="str">
        <f>IF( IF(ISNA(MATCH(A53,'Elemental analysis'!$Y$5:$Y$139,0)),"",INDEX('Elemental analysis'!$Y$5:$AE$139,MATCH(Summary!$A53,'Elemental analysis'!$Y$5:$Y$139,0),MATCH(Summary!E$1,'Elemental analysis'!$Y$5:$AE$5,0)))=0,"",IF(ISNA(MATCH(A53,'Elemental analysis'!$Y$5:$Y$139,0)),"",INDEX('Elemental analysis'!$Y$5:$AE$139,MATCH(Summary!$A53,'Elemental analysis'!$Y$5:$Y$139,0),MATCH(Summary!E$1,'Elemental analysis'!$Y$5:$AE$5,0))))</f>
        <v/>
      </c>
      <c r="F53" s="10" t="str">
        <f t="shared" si="2"/>
        <v/>
      </c>
      <c r="G53" s="10" t="str">
        <f t="shared" si="3"/>
        <v/>
      </c>
      <c r="H53" s="11" t="str">
        <f>IF(ISNA(MATCH(A53,'15N'!$B:$B,0)),"",INDEX('15N'!$A:$Y,MATCH(A53,'15N'!$B:$B,0),MATCH(Summary!$H$1,'15N'!$A$1:$Y$1,0)))</f>
        <v/>
      </c>
      <c r="I53" s="11" t="str">
        <f>IF(ISNA(MATCH(A53,'13C'!$B:$B,0)),"",INDEX('13C'!$A:$Z,MATCH(A53,'13C'!$B:$B,0),MATCH(Summary!$I$1,'13C'!$A$1:$Z$1,0)))</f>
        <v/>
      </c>
    </row>
    <row r="54" spans="1:9" x14ac:dyDescent="0.2">
      <c r="A54"/>
      <c r="B54"/>
      <c r="C54" s="10" t="str">
        <f>IF(ISNA(MATCH(A54,'Elemental analysis'!$Q$5:$Q$139,0)),"",INDEX('Elemental analysis'!$Q$5:$W$139,MATCH(Summary!$A54,'Elemental analysis'!$Q$5:$Q$139,0),MATCH(Summary!C$1,'Elemental analysis'!$Q$5:$W$5,0)))</f>
        <v/>
      </c>
      <c r="D54" s="10" t="str">
        <f>IF(ISNA(MATCH(A54,'Elemental analysis'!$Y$5:$Y$139,0)),"",INDEX('Elemental analysis'!$Y$5:$AE$139,MATCH(Summary!$A54,'Elemental analysis'!$Y$5:$Y$139,0),MATCH(Summary!D$1,'Elemental analysis'!$Y$5:$AE$5,0)))</f>
        <v/>
      </c>
      <c r="E54" s="10" t="str">
        <f>IF( IF(ISNA(MATCH(A54,'Elemental analysis'!$Y$5:$Y$139,0)),"",INDEX('Elemental analysis'!$Y$5:$AE$139,MATCH(Summary!$A54,'Elemental analysis'!$Y$5:$Y$139,0),MATCH(Summary!E$1,'Elemental analysis'!$Y$5:$AE$5,0)))=0,"",IF(ISNA(MATCH(A54,'Elemental analysis'!$Y$5:$Y$139,0)),"",INDEX('Elemental analysis'!$Y$5:$AE$139,MATCH(Summary!$A54,'Elemental analysis'!$Y$5:$Y$139,0),MATCH(Summary!E$1,'Elemental analysis'!$Y$5:$AE$5,0))))</f>
        <v/>
      </c>
      <c r="F54" s="10" t="str">
        <f t="shared" si="2"/>
        <v/>
      </c>
      <c r="G54" s="10" t="str">
        <f t="shared" si="3"/>
        <v/>
      </c>
      <c r="H54" s="11" t="str">
        <f>IF(ISNA(MATCH(A54,'15N'!$B:$B,0)),"",INDEX('15N'!$A:$Y,MATCH(A54,'15N'!$B:$B,0),MATCH(Summary!$H$1,'15N'!$A$1:$Y$1,0)))</f>
        <v/>
      </c>
      <c r="I54" s="11" t="str">
        <f>IF(ISNA(MATCH(A54,'13C'!$B:$B,0)),"",INDEX('13C'!$A:$Z,MATCH(A54,'13C'!$B:$B,0),MATCH(Summary!$I$1,'13C'!$A$1:$Z$1,0)))</f>
        <v/>
      </c>
    </row>
    <row r="55" spans="1:9" x14ac:dyDescent="0.2">
      <c r="A55"/>
      <c r="B55"/>
      <c r="C55" s="10" t="str">
        <f>IF(ISNA(MATCH(A55,'Elemental analysis'!$Q$5:$Q$139,0)),"",INDEX('Elemental analysis'!$Q$5:$W$139,MATCH(Summary!$A55,'Elemental analysis'!$Q$5:$Q$139,0),MATCH(Summary!C$1,'Elemental analysis'!$Q$5:$W$5,0)))</f>
        <v/>
      </c>
      <c r="D55" s="10" t="str">
        <f>IF(ISNA(MATCH(A55,'Elemental analysis'!$Y$5:$Y$139,0)),"",INDEX('Elemental analysis'!$Y$5:$AE$139,MATCH(Summary!$A55,'Elemental analysis'!$Y$5:$Y$139,0),MATCH(Summary!D$1,'Elemental analysis'!$Y$5:$AE$5,0)))</f>
        <v/>
      </c>
      <c r="E55" s="10" t="str">
        <f>IF( IF(ISNA(MATCH(A55,'Elemental analysis'!$Y$5:$Y$139,0)),"",INDEX('Elemental analysis'!$Y$5:$AE$139,MATCH(Summary!$A55,'Elemental analysis'!$Y$5:$Y$139,0),MATCH(Summary!E$1,'Elemental analysis'!$Y$5:$AE$5,0)))=0,"",IF(ISNA(MATCH(A55,'Elemental analysis'!$Y$5:$Y$139,0)),"",INDEX('Elemental analysis'!$Y$5:$AE$139,MATCH(Summary!$A55,'Elemental analysis'!$Y$5:$Y$139,0),MATCH(Summary!E$1,'Elemental analysis'!$Y$5:$AE$5,0))))</f>
        <v/>
      </c>
      <c r="F55" s="10" t="str">
        <f t="shared" si="2"/>
        <v/>
      </c>
      <c r="G55" s="10" t="str">
        <f t="shared" si="3"/>
        <v/>
      </c>
      <c r="H55" s="11" t="str">
        <f>IF(ISNA(MATCH(A55,'15N'!$B:$B,0)),"",INDEX('15N'!$A:$Y,MATCH(A55,'15N'!$B:$B,0),MATCH(Summary!$H$1,'15N'!$A$1:$Y$1,0)))</f>
        <v/>
      </c>
      <c r="I55" s="11" t="str">
        <f>IF(ISNA(MATCH(A55,'13C'!$B:$B,0)),"",INDEX('13C'!$A:$Z,MATCH(A55,'13C'!$B:$B,0),MATCH(Summary!$I$1,'13C'!$A$1:$Z$1,0)))</f>
        <v/>
      </c>
    </row>
    <row r="56" spans="1:9" x14ac:dyDescent="0.2">
      <c r="A56"/>
      <c r="B56"/>
      <c r="C56" s="10" t="str">
        <f>IF(ISNA(MATCH(A56,'Elemental analysis'!$Q$5:$Q$139,0)),"",INDEX('Elemental analysis'!$Q$5:$W$139,MATCH(Summary!$A56,'Elemental analysis'!$Q$5:$Q$139,0),MATCH(Summary!C$1,'Elemental analysis'!$Q$5:$W$5,0)))</f>
        <v/>
      </c>
      <c r="D56" s="10" t="str">
        <f>IF(ISNA(MATCH(A56,'Elemental analysis'!$Y$5:$Y$139,0)),"",INDEX('Elemental analysis'!$Y$5:$AE$139,MATCH(Summary!$A56,'Elemental analysis'!$Y$5:$Y$139,0),MATCH(Summary!D$1,'Elemental analysis'!$Y$5:$AE$5,0)))</f>
        <v/>
      </c>
      <c r="E56" s="10" t="str">
        <f>IF( IF(ISNA(MATCH(A56,'Elemental analysis'!$Y$5:$Y$139,0)),"",INDEX('Elemental analysis'!$Y$5:$AE$139,MATCH(Summary!$A56,'Elemental analysis'!$Y$5:$Y$139,0),MATCH(Summary!E$1,'Elemental analysis'!$Y$5:$AE$5,0)))=0,"",IF(ISNA(MATCH(A56,'Elemental analysis'!$Y$5:$Y$139,0)),"",INDEX('Elemental analysis'!$Y$5:$AE$139,MATCH(Summary!$A56,'Elemental analysis'!$Y$5:$Y$139,0),MATCH(Summary!E$1,'Elemental analysis'!$Y$5:$AE$5,0))))</f>
        <v/>
      </c>
      <c r="F56" s="10" t="str">
        <f t="shared" si="2"/>
        <v/>
      </c>
      <c r="G56" s="10" t="str">
        <f t="shared" si="3"/>
        <v/>
      </c>
      <c r="H56" s="11" t="str">
        <f>IF(ISNA(MATCH(A56,'15N'!$B:$B,0)),"",INDEX('15N'!$A:$Y,MATCH(A56,'15N'!$B:$B,0),MATCH(Summary!$H$1,'15N'!$A$1:$Y$1,0)))</f>
        <v/>
      </c>
      <c r="I56" s="11" t="str">
        <f>IF(ISNA(MATCH(A56,'13C'!$B:$B,0)),"",INDEX('13C'!$A:$Z,MATCH(A56,'13C'!$B:$B,0),MATCH(Summary!$I$1,'13C'!$A$1:$Z$1,0)))</f>
        <v/>
      </c>
    </row>
    <row r="57" spans="1:9" x14ac:dyDescent="0.2">
      <c r="A57"/>
      <c r="B57"/>
      <c r="C57" s="10" t="str">
        <f>IF(ISNA(MATCH(A57,'Elemental analysis'!$Q$5:$Q$139,0)),"",INDEX('Elemental analysis'!$Q$5:$W$139,MATCH(Summary!$A57,'Elemental analysis'!$Q$5:$Q$139,0),MATCH(Summary!C$1,'Elemental analysis'!$Q$5:$W$5,0)))</f>
        <v/>
      </c>
      <c r="D57" s="10" t="str">
        <f>IF(ISNA(MATCH(A57,'Elemental analysis'!$Y$5:$Y$139,0)),"",INDEX('Elemental analysis'!$Y$5:$AE$139,MATCH(Summary!$A57,'Elemental analysis'!$Y$5:$Y$139,0),MATCH(Summary!D$1,'Elemental analysis'!$Y$5:$AE$5,0)))</f>
        <v/>
      </c>
      <c r="E57" s="10" t="str">
        <f>IF( IF(ISNA(MATCH(A57,'Elemental analysis'!$Y$5:$Y$139,0)),"",INDEX('Elemental analysis'!$Y$5:$AE$139,MATCH(Summary!$A57,'Elemental analysis'!$Y$5:$Y$139,0),MATCH(Summary!E$1,'Elemental analysis'!$Y$5:$AE$5,0)))=0,"",IF(ISNA(MATCH(A57,'Elemental analysis'!$Y$5:$Y$139,0)),"",INDEX('Elemental analysis'!$Y$5:$AE$139,MATCH(Summary!$A57,'Elemental analysis'!$Y$5:$Y$139,0),MATCH(Summary!E$1,'Elemental analysis'!$Y$5:$AE$5,0))))</f>
        <v/>
      </c>
      <c r="F57" s="10" t="str">
        <f t="shared" si="2"/>
        <v/>
      </c>
      <c r="G57" s="10" t="str">
        <f t="shared" si="3"/>
        <v/>
      </c>
      <c r="H57" s="11" t="str">
        <f>IF(ISNA(MATCH(A57,'15N'!$B:$B,0)),"",INDEX('15N'!$A:$Y,MATCH(A57,'15N'!$B:$B,0),MATCH(Summary!$H$1,'15N'!$A$1:$Y$1,0)))</f>
        <v/>
      </c>
      <c r="I57" s="11" t="str">
        <f>IF(ISNA(MATCH(A57,'13C'!$B:$B,0)),"",INDEX('13C'!$A:$Z,MATCH(A57,'13C'!$B:$B,0),MATCH(Summary!$I$1,'13C'!$A$1:$Z$1,0)))</f>
        <v/>
      </c>
    </row>
    <row r="58" spans="1:9" x14ac:dyDescent="0.2">
      <c r="A58"/>
      <c r="B58"/>
      <c r="C58" s="10" t="str">
        <f>IF(ISNA(MATCH(A58,'Elemental analysis'!$Q$5:$Q$139,0)),"",INDEX('Elemental analysis'!$Q$5:$W$139,MATCH(Summary!$A58,'Elemental analysis'!$Q$5:$Q$139,0),MATCH(Summary!C$1,'Elemental analysis'!$Q$5:$W$5,0)))</f>
        <v/>
      </c>
      <c r="D58" s="10" t="str">
        <f>IF(ISNA(MATCH(A58,'Elemental analysis'!$Y$5:$Y$139,0)),"",INDEX('Elemental analysis'!$Y$5:$AE$139,MATCH(Summary!$A58,'Elemental analysis'!$Y$5:$Y$139,0),MATCH(Summary!D$1,'Elemental analysis'!$Y$5:$AE$5,0)))</f>
        <v/>
      </c>
      <c r="E58" s="10" t="str">
        <f>IF( IF(ISNA(MATCH(A58,'Elemental analysis'!$Y$5:$Y$139,0)),"",INDEX('Elemental analysis'!$Y$5:$AE$139,MATCH(Summary!$A58,'Elemental analysis'!$Y$5:$Y$139,0),MATCH(Summary!E$1,'Elemental analysis'!$Y$5:$AE$5,0)))=0,"",IF(ISNA(MATCH(A58,'Elemental analysis'!$Y$5:$Y$139,0)),"",INDEX('Elemental analysis'!$Y$5:$AE$139,MATCH(Summary!$A58,'Elemental analysis'!$Y$5:$Y$139,0),MATCH(Summary!E$1,'Elemental analysis'!$Y$5:$AE$5,0))))</f>
        <v/>
      </c>
      <c r="F58" s="10" t="str">
        <f t="shared" si="2"/>
        <v/>
      </c>
      <c r="G58" s="10" t="str">
        <f t="shared" si="3"/>
        <v/>
      </c>
      <c r="H58" s="11" t="str">
        <f>IF(ISNA(MATCH(A58,'15N'!$B:$B,0)),"",INDEX('15N'!$A:$Y,MATCH(A58,'15N'!$B:$B,0),MATCH(Summary!$H$1,'15N'!$A$1:$Y$1,0)))</f>
        <v/>
      </c>
      <c r="I58" s="11" t="str">
        <f>IF(ISNA(MATCH(A58,'13C'!$B:$B,0)),"",INDEX('13C'!$A:$Z,MATCH(A58,'13C'!$B:$B,0),MATCH(Summary!$I$1,'13C'!$A$1:$Z$1,0)))</f>
        <v/>
      </c>
    </row>
    <row r="59" spans="1:9" x14ac:dyDescent="0.2">
      <c r="A59"/>
      <c r="B59"/>
      <c r="C59" s="10" t="str">
        <f>IF(ISNA(MATCH(A59,'Elemental analysis'!$Q$5:$Q$139,0)),"",INDEX('Elemental analysis'!$Q$5:$W$139,MATCH(Summary!$A59,'Elemental analysis'!$Q$5:$Q$139,0),MATCH(Summary!C$1,'Elemental analysis'!$Q$5:$W$5,0)))</f>
        <v/>
      </c>
      <c r="D59" s="10" t="str">
        <f>IF(ISNA(MATCH(A59,'Elemental analysis'!$Y$5:$Y$139,0)),"",INDEX('Elemental analysis'!$Y$5:$AE$139,MATCH(Summary!$A59,'Elemental analysis'!$Y$5:$Y$139,0),MATCH(Summary!D$1,'Elemental analysis'!$Y$5:$AE$5,0)))</f>
        <v/>
      </c>
      <c r="E59" s="10" t="str">
        <f>IF( IF(ISNA(MATCH(A59,'Elemental analysis'!$Y$5:$Y$139,0)),"",INDEX('Elemental analysis'!$Y$5:$AE$139,MATCH(Summary!$A59,'Elemental analysis'!$Y$5:$Y$139,0),MATCH(Summary!E$1,'Elemental analysis'!$Y$5:$AE$5,0)))=0,"",IF(ISNA(MATCH(A59,'Elemental analysis'!$Y$5:$Y$139,0)),"",INDEX('Elemental analysis'!$Y$5:$AE$139,MATCH(Summary!$A59,'Elemental analysis'!$Y$5:$Y$139,0),MATCH(Summary!E$1,'Elemental analysis'!$Y$5:$AE$5,0))))</f>
        <v/>
      </c>
      <c r="F59" s="10" t="str">
        <f t="shared" si="2"/>
        <v/>
      </c>
      <c r="G59" s="10" t="str">
        <f t="shared" si="3"/>
        <v/>
      </c>
      <c r="H59" s="11" t="str">
        <f>IF(ISNA(MATCH(A59,'15N'!$B:$B,0)),"",INDEX('15N'!$A:$Y,MATCH(A59,'15N'!$B:$B,0),MATCH(Summary!$H$1,'15N'!$A$1:$Y$1,0)))</f>
        <v/>
      </c>
      <c r="I59" s="11" t="str">
        <f>IF(ISNA(MATCH(A59,'13C'!$B:$B,0)),"",INDEX('13C'!$A:$Z,MATCH(A59,'13C'!$B:$B,0),MATCH(Summary!$I$1,'13C'!$A$1:$Z$1,0)))</f>
        <v/>
      </c>
    </row>
    <row r="60" spans="1:9" x14ac:dyDescent="0.2">
      <c r="A60"/>
      <c r="B60"/>
      <c r="C60" s="10" t="str">
        <f>IF(ISNA(MATCH(A60,'Elemental analysis'!$Q$5:$Q$139,0)),"",INDEX('Elemental analysis'!$Q$5:$W$139,MATCH(Summary!$A60,'Elemental analysis'!$Q$5:$Q$139,0),MATCH(Summary!C$1,'Elemental analysis'!$Q$5:$W$5,0)))</f>
        <v/>
      </c>
      <c r="D60" s="10" t="str">
        <f>IF(ISNA(MATCH(A60,'Elemental analysis'!$Y$5:$Y$139,0)),"",INDEX('Elemental analysis'!$Y$5:$AE$139,MATCH(Summary!$A60,'Elemental analysis'!$Y$5:$Y$139,0),MATCH(Summary!D$1,'Elemental analysis'!$Y$5:$AE$5,0)))</f>
        <v/>
      </c>
      <c r="E60" s="10" t="str">
        <f>IF( IF(ISNA(MATCH(A60,'Elemental analysis'!$Y$5:$Y$139,0)),"",INDEX('Elemental analysis'!$Y$5:$AE$139,MATCH(Summary!$A60,'Elemental analysis'!$Y$5:$Y$139,0),MATCH(Summary!E$1,'Elemental analysis'!$Y$5:$AE$5,0)))=0,"",IF(ISNA(MATCH(A60,'Elemental analysis'!$Y$5:$Y$139,0)),"",INDEX('Elemental analysis'!$Y$5:$AE$139,MATCH(Summary!$A60,'Elemental analysis'!$Y$5:$Y$139,0),MATCH(Summary!E$1,'Elemental analysis'!$Y$5:$AE$5,0))))</f>
        <v/>
      </c>
      <c r="F60" s="10" t="str">
        <f t="shared" si="2"/>
        <v/>
      </c>
      <c r="G60" s="10" t="str">
        <f t="shared" si="3"/>
        <v/>
      </c>
      <c r="H60" s="11" t="str">
        <f>IF(ISNA(MATCH(A60,'15N'!$B:$B,0)),"",INDEX('15N'!$A:$Y,MATCH(A60,'15N'!$B:$B,0),MATCH(Summary!$H$1,'15N'!$A$1:$Y$1,0)))</f>
        <v/>
      </c>
      <c r="I60" s="11" t="str">
        <f>IF(ISNA(MATCH(A60,'13C'!$B:$B,0)),"",INDEX('13C'!$A:$Z,MATCH(A60,'13C'!$B:$B,0),MATCH(Summary!$I$1,'13C'!$A$1:$Z$1,0)))</f>
        <v/>
      </c>
    </row>
    <row r="61" spans="1:9" x14ac:dyDescent="0.2">
      <c r="A61"/>
      <c r="B61"/>
      <c r="C61" s="10" t="str">
        <f>IF(ISNA(MATCH(A61,'Elemental analysis'!$Q$5:$Q$139,0)),"",INDEX('Elemental analysis'!$Q$5:$W$139,MATCH(Summary!$A61,'Elemental analysis'!$Q$5:$Q$139,0),MATCH(Summary!C$1,'Elemental analysis'!$Q$5:$W$5,0)))</f>
        <v/>
      </c>
      <c r="D61" s="10" t="str">
        <f>IF(ISNA(MATCH(A61,'Elemental analysis'!$Y$5:$Y$139,0)),"",INDEX('Elemental analysis'!$Y$5:$AE$139,MATCH(Summary!$A61,'Elemental analysis'!$Y$5:$Y$139,0),MATCH(Summary!D$1,'Elemental analysis'!$Y$5:$AE$5,0)))</f>
        <v/>
      </c>
      <c r="E61" s="10" t="str">
        <f>IF( IF(ISNA(MATCH(A61,'Elemental analysis'!$Y$5:$Y$139,0)),"",INDEX('Elemental analysis'!$Y$5:$AE$139,MATCH(Summary!$A61,'Elemental analysis'!$Y$5:$Y$139,0),MATCH(Summary!E$1,'Elemental analysis'!$Y$5:$AE$5,0)))=0,"",IF(ISNA(MATCH(A61,'Elemental analysis'!$Y$5:$Y$139,0)),"",INDEX('Elemental analysis'!$Y$5:$AE$139,MATCH(Summary!$A61,'Elemental analysis'!$Y$5:$Y$139,0),MATCH(Summary!E$1,'Elemental analysis'!$Y$5:$AE$5,0))))</f>
        <v/>
      </c>
      <c r="F61" s="10" t="str">
        <f t="shared" si="2"/>
        <v/>
      </c>
      <c r="G61" s="10" t="str">
        <f t="shared" si="3"/>
        <v/>
      </c>
      <c r="H61" s="11" t="str">
        <f>IF(ISNA(MATCH(A61,'15N'!$B:$B,0)),"",INDEX('15N'!$A:$Y,MATCH(A61,'15N'!$B:$B,0),MATCH(Summary!$H$1,'15N'!$A$1:$Y$1,0)))</f>
        <v/>
      </c>
      <c r="I61" s="11" t="str">
        <f>IF(ISNA(MATCH(A61,'13C'!$B:$B,0)),"",INDEX('13C'!$A:$Z,MATCH(A61,'13C'!$B:$B,0),MATCH(Summary!$I$1,'13C'!$A$1:$Z$1,0)))</f>
        <v/>
      </c>
    </row>
    <row r="62" spans="1:9" x14ac:dyDescent="0.2">
      <c r="A62"/>
      <c r="B62"/>
      <c r="C62" s="10" t="str">
        <f>IF(ISNA(MATCH(A62,'Elemental analysis'!$Q$5:$Q$139,0)),"",INDEX('Elemental analysis'!$Q$5:$W$139,MATCH(Summary!$A62,'Elemental analysis'!$Q$5:$Q$139,0),MATCH(Summary!C$1,'Elemental analysis'!$Q$5:$W$5,0)))</f>
        <v/>
      </c>
      <c r="D62" s="10" t="str">
        <f>IF(ISNA(MATCH(A62,'Elemental analysis'!$Y$5:$Y$139,0)),"",INDEX('Elemental analysis'!$Y$5:$AE$139,MATCH(Summary!$A62,'Elemental analysis'!$Y$5:$Y$139,0),MATCH(Summary!D$1,'Elemental analysis'!$Y$5:$AE$5,0)))</f>
        <v/>
      </c>
      <c r="E62" s="10" t="str">
        <f>IF( IF(ISNA(MATCH(A62,'Elemental analysis'!$Y$5:$Y$139,0)),"",INDEX('Elemental analysis'!$Y$5:$AE$139,MATCH(Summary!$A62,'Elemental analysis'!$Y$5:$Y$139,0),MATCH(Summary!E$1,'Elemental analysis'!$Y$5:$AE$5,0)))=0,"",IF(ISNA(MATCH(A62,'Elemental analysis'!$Y$5:$Y$139,0)),"",INDEX('Elemental analysis'!$Y$5:$AE$139,MATCH(Summary!$A62,'Elemental analysis'!$Y$5:$Y$139,0),MATCH(Summary!E$1,'Elemental analysis'!$Y$5:$AE$5,0))))</f>
        <v/>
      </c>
      <c r="F62" s="10" t="str">
        <f t="shared" si="2"/>
        <v/>
      </c>
      <c r="G62" s="10" t="str">
        <f t="shared" si="3"/>
        <v/>
      </c>
      <c r="H62" s="11" t="str">
        <f>IF(ISNA(MATCH(A62,'15N'!$B:$B,0)),"",INDEX('15N'!$A:$Y,MATCH(A62,'15N'!$B:$B,0),MATCH(Summary!$H$1,'15N'!$A$1:$Y$1,0)))</f>
        <v/>
      </c>
      <c r="I62" s="11" t="str">
        <f>IF(ISNA(MATCH(A62,'13C'!$B:$B,0)),"",INDEX('13C'!$A:$Z,MATCH(A62,'13C'!$B:$B,0),MATCH(Summary!$I$1,'13C'!$A$1:$Z$1,0)))</f>
        <v/>
      </c>
    </row>
    <row r="63" spans="1:9" x14ac:dyDescent="0.2">
      <c r="A63"/>
      <c r="B63"/>
      <c r="C63" s="10" t="str">
        <f>IF(ISNA(MATCH(A63,'Elemental analysis'!$Q$5:$Q$139,0)),"",INDEX('Elemental analysis'!$Q$5:$W$139,MATCH(Summary!$A63,'Elemental analysis'!$Q$5:$Q$139,0),MATCH(Summary!C$1,'Elemental analysis'!$Q$5:$W$5,0)))</f>
        <v/>
      </c>
      <c r="D63" s="10" t="str">
        <f>IF(ISNA(MATCH(A63,'Elemental analysis'!$Y$5:$Y$139,0)),"",INDEX('Elemental analysis'!$Y$5:$AE$139,MATCH(Summary!$A63,'Elemental analysis'!$Y$5:$Y$139,0),MATCH(Summary!D$1,'Elemental analysis'!$Y$5:$AE$5,0)))</f>
        <v/>
      </c>
      <c r="E63" s="10" t="str">
        <f>IF( IF(ISNA(MATCH(A63,'Elemental analysis'!$Y$5:$Y$139,0)),"",INDEX('Elemental analysis'!$Y$5:$AE$139,MATCH(Summary!$A63,'Elemental analysis'!$Y$5:$Y$139,0),MATCH(Summary!E$1,'Elemental analysis'!$Y$5:$AE$5,0)))=0,"",IF(ISNA(MATCH(A63,'Elemental analysis'!$Y$5:$Y$139,0)),"",INDEX('Elemental analysis'!$Y$5:$AE$139,MATCH(Summary!$A63,'Elemental analysis'!$Y$5:$Y$139,0),MATCH(Summary!E$1,'Elemental analysis'!$Y$5:$AE$5,0))))</f>
        <v/>
      </c>
      <c r="F63" s="10" t="str">
        <f t="shared" si="2"/>
        <v/>
      </c>
      <c r="G63" s="10" t="str">
        <f t="shared" si="3"/>
        <v/>
      </c>
      <c r="H63" s="11" t="str">
        <f>IF(ISNA(MATCH(A63,'15N'!$B:$B,0)),"",INDEX('15N'!$A:$Y,MATCH(A63,'15N'!$B:$B,0),MATCH(Summary!$H$1,'15N'!$A$1:$Y$1,0)))</f>
        <v/>
      </c>
      <c r="I63" s="11" t="str">
        <f>IF(ISNA(MATCH(A63,'13C'!$B:$B,0)),"",INDEX('13C'!$A:$Z,MATCH(A63,'13C'!$B:$B,0),MATCH(Summary!$I$1,'13C'!$A$1:$Z$1,0)))</f>
        <v/>
      </c>
    </row>
    <row r="64" spans="1:9" x14ac:dyDescent="0.2">
      <c r="A64"/>
      <c r="B64"/>
      <c r="C64" s="10" t="str">
        <f>IF(ISNA(MATCH(A64,'Elemental analysis'!$Q$5:$Q$139,0)),"",INDEX('Elemental analysis'!$Q$5:$W$139,MATCH(Summary!$A64,'Elemental analysis'!$Q$5:$Q$139,0),MATCH(Summary!C$1,'Elemental analysis'!$Q$5:$W$5,0)))</f>
        <v/>
      </c>
      <c r="D64" s="10" t="str">
        <f>IF(ISNA(MATCH(A64,'Elemental analysis'!$Y$5:$Y$139,0)),"",INDEX('Elemental analysis'!$Y$5:$AE$139,MATCH(Summary!$A64,'Elemental analysis'!$Y$5:$Y$139,0),MATCH(Summary!D$1,'Elemental analysis'!$Y$5:$AE$5,0)))</f>
        <v/>
      </c>
      <c r="E64" s="10" t="str">
        <f>IF( IF(ISNA(MATCH(A64,'Elemental analysis'!$Y$5:$Y$139,0)),"",INDEX('Elemental analysis'!$Y$5:$AE$139,MATCH(Summary!$A64,'Elemental analysis'!$Y$5:$Y$139,0),MATCH(Summary!E$1,'Elemental analysis'!$Y$5:$AE$5,0)))=0,"",IF(ISNA(MATCH(A64,'Elemental analysis'!$Y$5:$Y$139,0)),"",INDEX('Elemental analysis'!$Y$5:$AE$139,MATCH(Summary!$A64,'Elemental analysis'!$Y$5:$Y$139,0),MATCH(Summary!E$1,'Elemental analysis'!$Y$5:$AE$5,0))))</f>
        <v/>
      </c>
      <c r="F64" s="10" t="str">
        <f t="shared" si="2"/>
        <v/>
      </c>
      <c r="G64" s="10" t="str">
        <f t="shared" si="3"/>
        <v/>
      </c>
      <c r="H64" s="11" t="str">
        <f>IF(ISNA(MATCH(A64,'15N'!$B:$B,0)),"",INDEX('15N'!$A:$Y,MATCH(A64,'15N'!$B:$B,0),MATCH(Summary!$H$1,'15N'!$A$1:$Y$1,0)))</f>
        <v/>
      </c>
      <c r="I64" s="11" t="str">
        <f>IF(ISNA(MATCH(A64,'13C'!$B:$B,0)),"",INDEX('13C'!$A:$Z,MATCH(A64,'13C'!$B:$B,0),MATCH(Summary!$I$1,'13C'!$A$1:$Z$1,0)))</f>
        <v/>
      </c>
    </row>
    <row r="65" spans="1:9" x14ac:dyDescent="0.2">
      <c r="A65"/>
      <c r="B65"/>
      <c r="C65" s="10" t="str">
        <f>IF(ISNA(MATCH(A65,'Elemental analysis'!$Q$5:$Q$139,0)),"",INDEX('Elemental analysis'!$Q$5:$W$139,MATCH(Summary!$A65,'Elemental analysis'!$Q$5:$Q$139,0),MATCH(Summary!C$1,'Elemental analysis'!$Q$5:$W$5,0)))</f>
        <v/>
      </c>
      <c r="D65" s="10" t="str">
        <f>IF(ISNA(MATCH(A65,'Elemental analysis'!$Y$5:$Y$139,0)),"",INDEX('Elemental analysis'!$Y$5:$AE$139,MATCH(Summary!$A65,'Elemental analysis'!$Y$5:$Y$139,0),MATCH(Summary!D$1,'Elemental analysis'!$Y$5:$AE$5,0)))</f>
        <v/>
      </c>
      <c r="E65" s="10" t="str">
        <f>IF( IF(ISNA(MATCH(A65,'Elemental analysis'!$Y$5:$Y$139,0)),"",INDEX('Elemental analysis'!$Y$5:$AE$139,MATCH(Summary!$A65,'Elemental analysis'!$Y$5:$Y$139,0),MATCH(Summary!E$1,'Elemental analysis'!$Y$5:$AE$5,0)))=0,"",IF(ISNA(MATCH(A65,'Elemental analysis'!$Y$5:$Y$139,0)),"",INDEX('Elemental analysis'!$Y$5:$AE$139,MATCH(Summary!$A65,'Elemental analysis'!$Y$5:$Y$139,0),MATCH(Summary!E$1,'Elemental analysis'!$Y$5:$AE$5,0))))</f>
        <v/>
      </c>
      <c r="F65" s="10" t="str">
        <f t="shared" si="2"/>
        <v/>
      </c>
      <c r="G65" s="10" t="str">
        <f t="shared" si="3"/>
        <v/>
      </c>
      <c r="H65" s="11" t="str">
        <f>IF(ISNA(MATCH(A65,'15N'!$B:$B,0)),"",INDEX('15N'!$A:$Y,MATCH(A65,'15N'!$B:$B,0),MATCH(Summary!$H$1,'15N'!$A$1:$Y$1,0)))</f>
        <v/>
      </c>
      <c r="I65" s="11" t="str">
        <f>IF(ISNA(MATCH(A65,'13C'!$B:$B,0)),"",INDEX('13C'!$A:$Z,MATCH(A65,'13C'!$B:$B,0),MATCH(Summary!$I$1,'13C'!$A$1:$Z$1,0)))</f>
        <v/>
      </c>
    </row>
    <row r="66" spans="1:9" x14ac:dyDescent="0.2">
      <c r="A66"/>
      <c r="B66"/>
      <c r="C66" s="10" t="str">
        <f>IF(ISNA(MATCH(A66,'Elemental analysis'!$Q$5:$Q$139,0)),"",INDEX('Elemental analysis'!$Q$5:$W$139,MATCH(Summary!$A66,'Elemental analysis'!$Q$5:$Q$139,0),MATCH(Summary!C$1,'Elemental analysis'!$Q$5:$W$5,0)))</f>
        <v/>
      </c>
      <c r="D66" s="10" t="str">
        <f>IF(ISNA(MATCH(A66,'Elemental analysis'!$Y$5:$Y$139,0)),"",INDEX('Elemental analysis'!$Y$5:$AE$139,MATCH(Summary!$A66,'Elemental analysis'!$Y$5:$Y$139,0),MATCH(Summary!D$1,'Elemental analysis'!$Y$5:$AE$5,0)))</f>
        <v/>
      </c>
      <c r="E66" s="10" t="str">
        <f>IF( IF(ISNA(MATCH(A66,'Elemental analysis'!$Y$5:$Y$139,0)),"",INDEX('Elemental analysis'!$Y$5:$AE$139,MATCH(Summary!$A66,'Elemental analysis'!$Y$5:$Y$139,0),MATCH(Summary!E$1,'Elemental analysis'!$Y$5:$AE$5,0)))=0,"",IF(ISNA(MATCH(A66,'Elemental analysis'!$Y$5:$Y$139,0)),"",INDEX('Elemental analysis'!$Y$5:$AE$139,MATCH(Summary!$A66,'Elemental analysis'!$Y$5:$Y$139,0),MATCH(Summary!E$1,'Elemental analysis'!$Y$5:$AE$5,0))))</f>
        <v/>
      </c>
      <c r="F66" s="10" t="str">
        <f t="shared" si="2"/>
        <v/>
      </c>
      <c r="G66" s="10" t="str">
        <f t="shared" si="3"/>
        <v/>
      </c>
      <c r="H66" s="11" t="str">
        <f>IF(ISNA(MATCH(A66,'15N'!$B:$B,0)),"",INDEX('15N'!$A:$Y,MATCH(A66,'15N'!$B:$B,0),MATCH(Summary!$H$1,'15N'!$A$1:$Y$1,0)))</f>
        <v/>
      </c>
      <c r="I66" s="11" t="str">
        <f>IF(ISNA(MATCH(A66,'13C'!$B:$B,0)),"",INDEX('13C'!$A:$Z,MATCH(A66,'13C'!$B:$B,0),MATCH(Summary!$I$1,'13C'!$A$1:$Z$1,0)))</f>
        <v/>
      </c>
    </row>
    <row r="67" spans="1:9" x14ac:dyDescent="0.2">
      <c r="A67"/>
      <c r="B67"/>
      <c r="C67" s="10" t="str">
        <f>IF(ISNA(MATCH(A67,'Elemental analysis'!$Q$5:$Q$139,0)),"",INDEX('Elemental analysis'!$Q$5:$W$139,MATCH(Summary!$A67,'Elemental analysis'!$Q$5:$Q$139,0),MATCH(Summary!C$1,'Elemental analysis'!$Q$5:$W$5,0)))</f>
        <v/>
      </c>
      <c r="D67" s="10" t="str">
        <f>IF(ISNA(MATCH(A67,'Elemental analysis'!$Y$5:$Y$139,0)),"",INDEX('Elemental analysis'!$Y$5:$AE$139,MATCH(Summary!$A67,'Elemental analysis'!$Y$5:$Y$139,0),MATCH(Summary!D$1,'Elemental analysis'!$Y$5:$AE$5,0)))</f>
        <v/>
      </c>
      <c r="E67" s="10" t="str">
        <f>IF( IF(ISNA(MATCH(A67,'Elemental analysis'!$Y$5:$Y$139,0)),"",INDEX('Elemental analysis'!$Y$5:$AE$139,MATCH(Summary!$A67,'Elemental analysis'!$Y$5:$Y$139,0),MATCH(Summary!E$1,'Elemental analysis'!$Y$5:$AE$5,0)))=0,"",IF(ISNA(MATCH(A67,'Elemental analysis'!$Y$5:$Y$139,0)),"",INDEX('Elemental analysis'!$Y$5:$AE$139,MATCH(Summary!$A67,'Elemental analysis'!$Y$5:$Y$139,0),MATCH(Summary!E$1,'Elemental analysis'!$Y$5:$AE$5,0))))</f>
        <v/>
      </c>
      <c r="F67" s="10" t="str">
        <f t="shared" si="2"/>
        <v/>
      </c>
      <c r="G67" s="10" t="str">
        <f t="shared" si="3"/>
        <v/>
      </c>
      <c r="H67" s="11" t="str">
        <f>IF(ISNA(MATCH(A67,'15N'!$B:$B,0)),"",INDEX('15N'!$A:$Y,MATCH(A67,'15N'!$B:$B,0),MATCH(Summary!$H$1,'15N'!$A$1:$Y$1,0)))</f>
        <v/>
      </c>
      <c r="I67" s="11" t="str">
        <f>IF(ISNA(MATCH(A67,'13C'!$B:$B,0)),"",INDEX('13C'!$A:$Z,MATCH(A67,'13C'!$B:$B,0),MATCH(Summary!$I$1,'13C'!$A$1:$Z$1,0)))</f>
        <v/>
      </c>
    </row>
    <row r="68" spans="1:9" x14ac:dyDescent="0.2">
      <c r="A68"/>
      <c r="B68"/>
      <c r="C68" s="10" t="str">
        <f>IF(ISNA(MATCH(A68,'Elemental analysis'!$Q$5:$Q$139,0)),"",INDEX('Elemental analysis'!$Q$5:$W$139,MATCH(Summary!$A68,'Elemental analysis'!$Q$5:$Q$139,0),MATCH(Summary!C$1,'Elemental analysis'!$Q$5:$W$5,0)))</f>
        <v/>
      </c>
      <c r="D68" s="10" t="str">
        <f>IF(ISNA(MATCH(A68,'Elemental analysis'!$Y$5:$Y$139,0)),"",INDEX('Elemental analysis'!$Y$5:$AE$139,MATCH(Summary!$A68,'Elemental analysis'!$Y$5:$Y$139,0),MATCH(Summary!D$1,'Elemental analysis'!$Y$5:$AE$5,0)))</f>
        <v/>
      </c>
      <c r="E68" s="10" t="str">
        <f>IF( IF(ISNA(MATCH(A68,'Elemental analysis'!$Y$5:$Y$139,0)),"",INDEX('Elemental analysis'!$Y$5:$AE$139,MATCH(Summary!$A68,'Elemental analysis'!$Y$5:$Y$139,0),MATCH(Summary!E$1,'Elemental analysis'!$Y$5:$AE$5,0)))=0,"",IF(ISNA(MATCH(A68,'Elemental analysis'!$Y$5:$Y$139,0)),"",INDEX('Elemental analysis'!$Y$5:$AE$139,MATCH(Summary!$A68,'Elemental analysis'!$Y$5:$Y$139,0),MATCH(Summary!E$1,'Elemental analysis'!$Y$5:$AE$5,0))))</f>
        <v/>
      </c>
      <c r="F68" s="10" t="str">
        <f t="shared" si="2"/>
        <v/>
      </c>
      <c r="G68" s="10" t="str">
        <f t="shared" si="3"/>
        <v/>
      </c>
      <c r="H68" s="11" t="str">
        <f>IF(ISNA(MATCH(A68,'15N'!$B:$B,0)),"",INDEX('15N'!$A:$Y,MATCH(A68,'15N'!$B:$B,0),MATCH(Summary!$H$1,'15N'!$A$1:$Y$1,0)))</f>
        <v/>
      </c>
      <c r="I68" s="11" t="str">
        <f>IF(ISNA(MATCH(A68,'13C'!$B:$B,0)),"",INDEX('13C'!$A:$Z,MATCH(A68,'13C'!$B:$B,0),MATCH(Summary!$I$1,'13C'!$A$1:$Z$1,0)))</f>
        <v/>
      </c>
    </row>
    <row r="69" spans="1:9" x14ac:dyDescent="0.2">
      <c r="A69"/>
      <c r="B69"/>
      <c r="C69" s="10" t="str">
        <f>IF(ISNA(MATCH(A69,'Elemental analysis'!$Q$5:$Q$139,0)),"",INDEX('Elemental analysis'!$Q$5:$W$139,MATCH(Summary!$A69,'Elemental analysis'!$Q$5:$Q$139,0),MATCH(Summary!C$1,'Elemental analysis'!$Q$5:$W$5,0)))</f>
        <v/>
      </c>
      <c r="D69" s="10" t="str">
        <f>IF(ISNA(MATCH(A69,'Elemental analysis'!$Y$5:$Y$139,0)),"",INDEX('Elemental analysis'!$Y$5:$AE$139,MATCH(Summary!$A69,'Elemental analysis'!$Y$5:$Y$139,0),MATCH(Summary!D$1,'Elemental analysis'!$Y$5:$AE$5,0)))</f>
        <v/>
      </c>
      <c r="E69" s="10" t="str">
        <f>IF( IF(ISNA(MATCH(A69,'Elemental analysis'!$Y$5:$Y$139,0)),"",INDEX('Elemental analysis'!$Y$5:$AE$139,MATCH(Summary!$A69,'Elemental analysis'!$Y$5:$Y$139,0),MATCH(Summary!E$1,'Elemental analysis'!$Y$5:$AE$5,0)))=0,"",IF(ISNA(MATCH(A69,'Elemental analysis'!$Y$5:$Y$139,0)),"",INDEX('Elemental analysis'!$Y$5:$AE$139,MATCH(Summary!$A69,'Elemental analysis'!$Y$5:$Y$139,0),MATCH(Summary!E$1,'Elemental analysis'!$Y$5:$AE$5,0))))</f>
        <v/>
      </c>
      <c r="F69" s="10" t="str">
        <f t="shared" si="2"/>
        <v/>
      </c>
      <c r="G69" s="10" t="str">
        <f t="shared" si="3"/>
        <v/>
      </c>
      <c r="H69" s="11" t="str">
        <f>IF(ISNA(MATCH(A69,'15N'!$B:$B,0)),"",INDEX('15N'!$A:$Y,MATCH(A69,'15N'!$B:$B,0),MATCH(Summary!$H$1,'15N'!$A$1:$Y$1,0)))</f>
        <v/>
      </c>
      <c r="I69" s="11" t="str">
        <f>IF(ISNA(MATCH(A69,'13C'!$B:$B,0)),"",INDEX('13C'!$A:$Z,MATCH(A69,'13C'!$B:$B,0),MATCH(Summary!$I$1,'13C'!$A$1:$Z$1,0)))</f>
        <v/>
      </c>
    </row>
    <row r="70" spans="1:9" x14ac:dyDescent="0.2">
      <c r="A70"/>
      <c r="B70"/>
      <c r="C70" s="10" t="str">
        <f>IF(ISNA(MATCH(A70,'Elemental analysis'!$Q$5:$Q$139,0)),"",INDEX('Elemental analysis'!$Q$5:$W$139,MATCH(Summary!$A70,'Elemental analysis'!$Q$5:$Q$139,0),MATCH(Summary!C$1,'Elemental analysis'!$Q$5:$W$5,0)))</f>
        <v/>
      </c>
      <c r="D70" s="10" t="str">
        <f>IF(ISNA(MATCH(A70,'Elemental analysis'!$Y$5:$Y$139,0)),"",INDEX('Elemental analysis'!$Y$5:$AE$139,MATCH(Summary!$A70,'Elemental analysis'!$Y$5:$Y$139,0),MATCH(Summary!D$1,'Elemental analysis'!$Y$5:$AE$5,0)))</f>
        <v/>
      </c>
      <c r="E70" s="10" t="str">
        <f>IF( IF(ISNA(MATCH(A70,'Elemental analysis'!$Y$5:$Y$139,0)),"",INDEX('Elemental analysis'!$Y$5:$AE$139,MATCH(Summary!$A70,'Elemental analysis'!$Y$5:$Y$139,0),MATCH(Summary!E$1,'Elemental analysis'!$Y$5:$AE$5,0)))=0,"",IF(ISNA(MATCH(A70,'Elemental analysis'!$Y$5:$Y$139,0)),"",INDEX('Elemental analysis'!$Y$5:$AE$139,MATCH(Summary!$A70,'Elemental analysis'!$Y$5:$Y$139,0),MATCH(Summary!E$1,'Elemental analysis'!$Y$5:$AE$5,0))))</f>
        <v/>
      </c>
      <c r="F70" s="10" t="str">
        <f t="shared" si="2"/>
        <v/>
      </c>
      <c r="G70" s="10" t="str">
        <f t="shared" si="3"/>
        <v/>
      </c>
      <c r="H70" s="11" t="str">
        <f>IF(ISNA(MATCH(A70,'15N'!$B:$B,0)),"",INDEX('15N'!$A:$Y,MATCH(A70,'15N'!$B:$B,0),MATCH(Summary!$H$1,'15N'!$A$1:$Y$1,0)))</f>
        <v/>
      </c>
      <c r="I70" s="11" t="str">
        <f>IF(ISNA(MATCH(A70,'13C'!$B:$B,0)),"",INDEX('13C'!$A:$Z,MATCH(A70,'13C'!$B:$B,0),MATCH(Summary!$I$1,'13C'!$A$1:$Z$1,0)))</f>
        <v/>
      </c>
    </row>
    <row r="71" spans="1:9" x14ac:dyDescent="0.2">
      <c r="A71"/>
      <c r="B71"/>
      <c r="C71" s="10" t="str">
        <f>IF(ISNA(MATCH(A71,'Elemental analysis'!$Q$5:$Q$139,0)),"",INDEX('Elemental analysis'!$Q$5:$W$139,MATCH(Summary!$A71,'Elemental analysis'!$Q$5:$Q$139,0),MATCH(Summary!C$1,'Elemental analysis'!$Q$5:$W$5,0)))</f>
        <v/>
      </c>
      <c r="D71" s="10" t="str">
        <f>IF(ISNA(MATCH(A71,'Elemental analysis'!$Y$5:$Y$139,0)),"",INDEX('Elemental analysis'!$Y$5:$AE$139,MATCH(Summary!$A71,'Elemental analysis'!$Y$5:$Y$139,0),MATCH(Summary!D$1,'Elemental analysis'!$Y$5:$AE$5,0)))</f>
        <v/>
      </c>
      <c r="E71" s="10" t="str">
        <f>IF( IF(ISNA(MATCH(A71,'Elemental analysis'!$Y$5:$Y$139,0)),"",INDEX('Elemental analysis'!$Y$5:$AE$139,MATCH(Summary!$A71,'Elemental analysis'!$Y$5:$Y$139,0),MATCH(Summary!E$1,'Elemental analysis'!$Y$5:$AE$5,0)))=0,"",IF(ISNA(MATCH(A71,'Elemental analysis'!$Y$5:$Y$139,0)),"",INDEX('Elemental analysis'!$Y$5:$AE$139,MATCH(Summary!$A71,'Elemental analysis'!$Y$5:$Y$139,0),MATCH(Summary!E$1,'Elemental analysis'!$Y$5:$AE$5,0))))</f>
        <v/>
      </c>
      <c r="F71" s="10" t="str">
        <f t="shared" si="2"/>
        <v/>
      </c>
      <c r="G71" s="10" t="str">
        <f t="shared" si="3"/>
        <v/>
      </c>
      <c r="H71" s="11" t="str">
        <f>IF(ISNA(MATCH(A71,'15N'!$B:$B,0)),"",INDEX('15N'!$A:$Y,MATCH(A71,'15N'!$B:$B,0),MATCH(Summary!$H$1,'15N'!$A$1:$Y$1,0)))</f>
        <v/>
      </c>
      <c r="I71" s="11" t="str">
        <f>IF(ISNA(MATCH(A71,'13C'!$B:$B,0)),"",INDEX('13C'!$A:$Z,MATCH(A71,'13C'!$B:$B,0),MATCH(Summary!$I$1,'13C'!$A$1:$Z$1,0)))</f>
        <v/>
      </c>
    </row>
    <row r="72" spans="1:9" x14ac:dyDescent="0.2">
      <c r="A72"/>
      <c r="B72"/>
      <c r="C72" s="10" t="str">
        <f>IF(ISNA(MATCH(A72,'Elemental analysis'!$Q$5:$Q$139,0)),"",INDEX('Elemental analysis'!$Q$5:$W$139,MATCH(Summary!$A72,'Elemental analysis'!$Q$5:$Q$139,0),MATCH(Summary!C$1,'Elemental analysis'!$Q$5:$W$5,0)))</f>
        <v/>
      </c>
      <c r="D72" s="10" t="str">
        <f>IF(ISNA(MATCH(A72,'Elemental analysis'!$Y$5:$Y$139,0)),"",INDEX('Elemental analysis'!$Y$5:$AE$139,MATCH(Summary!$A72,'Elemental analysis'!$Y$5:$Y$139,0),MATCH(Summary!D$1,'Elemental analysis'!$Y$5:$AE$5,0)))</f>
        <v/>
      </c>
      <c r="E72" s="10" t="str">
        <f>IF( IF(ISNA(MATCH(A72,'Elemental analysis'!$Y$5:$Y$139,0)),"",INDEX('Elemental analysis'!$Y$5:$AE$139,MATCH(Summary!$A72,'Elemental analysis'!$Y$5:$Y$139,0),MATCH(Summary!E$1,'Elemental analysis'!$Y$5:$AE$5,0)))=0,"",IF(ISNA(MATCH(A72,'Elemental analysis'!$Y$5:$Y$139,0)),"",INDEX('Elemental analysis'!$Y$5:$AE$139,MATCH(Summary!$A72,'Elemental analysis'!$Y$5:$Y$139,0),MATCH(Summary!E$1,'Elemental analysis'!$Y$5:$AE$5,0))))</f>
        <v/>
      </c>
      <c r="F72" s="10" t="str">
        <f t="shared" si="2"/>
        <v/>
      </c>
      <c r="G72" s="10" t="str">
        <f t="shared" si="3"/>
        <v/>
      </c>
      <c r="H72" s="11" t="str">
        <f>IF(ISNA(MATCH(A72,'15N'!$B:$B,0)),"",INDEX('15N'!$A:$Y,MATCH(A72,'15N'!$B:$B,0),MATCH(Summary!$H$1,'15N'!$A$1:$Y$1,0)))</f>
        <v/>
      </c>
      <c r="I72" s="11" t="str">
        <f>IF(ISNA(MATCH(A72,'13C'!$B:$B,0)),"",INDEX('13C'!$A:$Z,MATCH(A72,'13C'!$B:$B,0),MATCH(Summary!$I$1,'13C'!$A$1:$Z$1,0)))</f>
        <v/>
      </c>
    </row>
    <row r="73" spans="1:9" x14ac:dyDescent="0.2">
      <c r="A73"/>
      <c r="B73"/>
      <c r="C73" s="10" t="str">
        <f>IF(ISNA(MATCH(A73,'Elemental analysis'!$Q$5:$Q$139,0)),"",INDEX('Elemental analysis'!$Q$5:$W$139,MATCH(Summary!$A73,'Elemental analysis'!$Q$5:$Q$139,0),MATCH(Summary!C$1,'Elemental analysis'!$Q$5:$W$5,0)))</f>
        <v/>
      </c>
      <c r="D73" s="10" t="str">
        <f>IF(ISNA(MATCH(A73,'Elemental analysis'!$Y$5:$Y$139,0)),"",INDEX('Elemental analysis'!$Y$5:$AE$139,MATCH(Summary!$A73,'Elemental analysis'!$Y$5:$Y$139,0),MATCH(Summary!D$1,'Elemental analysis'!$Y$5:$AE$5,0)))</f>
        <v/>
      </c>
      <c r="E73" s="10" t="str">
        <f>IF( IF(ISNA(MATCH(A73,'Elemental analysis'!$Y$5:$Y$139,0)),"",INDEX('Elemental analysis'!$Y$5:$AE$139,MATCH(Summary!$A73,'Elemental analysis'!$Y$5:$Y$139,0),MATCH(Summary!E$1,'Elemental analysis'!$Y$5:$AE$5,0)))=0,"",IF(ISNA(MATCH(A73,'Elemental analysis'!$Y$5:$Y$139,0)),"",INDEX('Elemental analysis'!$Y$5:$AE$139,MATCH(Summary!$A73,'Elemental analysis'!$Y$5:$Y$139,0),MATCH(Summary!E$1,'Elemental analysis'!$Y$5:$AE$5,0))))</f>
        <v/>
      </c>
      <c r="F73" s="10" t="str">
        <f t="shared" si="2"/>
        <v/>
      </c>
      <c r="G73" s="10" t="str">
        <f t="shared" si="3"/>
        <v/>
      </c>
      <c r="H73" s="11" t="str">
        <f>IF(ISNA(MATCH(A73,'15N'!$B:$B,0)),"",INDEX('15N'!$A:$Y,MATCH(A73,'15N'!$B:$B,0),MATCH(Summary!$H$1,'15N'!$A$1:$Y$1,0)))</f>
        <v/>
      </c>
      <c r="I73" s="11" t="str">
        <f>IF(ISNA(MATCH(A73,'13C'!$B:$B,0)),"",INDEX('13C'!$A:$Z,MATCH(A73,'13C'!$B:$B,0),MATCH(Summary!$I$1,'13C'!$A$1:$Z$1,0)))</f>
        <v/>
      </c>
    </row>
    <row r="74" spans="1:9" x14ac:dyDescent="0.2">
      <c r="A74"/>
      <c r="B74"/>
      <c r="C74" s="10" t="str">
        <f>IF(ISNA(MATCH(A74,'Elemental analysis'!$Q$5:$Q$139,0)),"",INDEX('Elemental analysis'!$Q$5:$W$139,MATCH(Summary!$A74,'Elemental analysis'!$Q$5:$Q$139,0),MATCH(Summary!C$1,'Elemental analysis'!$Q$5:$W$5,0)))</f>
        <v/>
      </c>
      <c r="D74" s="10" t="str">
        <f>IF(ISNA(MATCH(A74,'Elemental analysis'!$Y$5:$Y$139,0)),"",INDEX('Elemental analysis'!$Y$5:$AE$139,MATCH(Summary!$A74,'Elemental analysis'!$Y$5:$Y$139,0),MATCH(Summary!D$1,'Elemental analysis'!$Y$5:$AE$5,0)))</f>
        <v/>
      </c>
      <c r="E74" s="10" t="str">
        <f>IF( IF(ISNA(MATCH(A74,'Elemental analysis'!$Y$5:$Y$139,0)),"",INDEX('Elemental analysis'!$Y$5:$AE$139,MATCH(Summary!$A74,'Elemental analysis'!$Y$5:$Y$139,0),MATCH(Summary!E$1,'Elemental analysis'!$Y$5:$AE$5,0)))=0,"",IF(ISNA(MATCH(A74,'Elemental analysis'!$Y$5:$Y$139,0)),"",INDEX('Elemental analysis'!$Y$5:$AE$139,MATCH(Summary!$A74,'Elemental analysis'!$Y$5:$Y$139,0),MATCH(Summary!E$1,'Elemental analysis'!$Y$5:$AE$5,0))))</f>
        <v/>
      </c>
      <c r="F74" s="10" t="str">
        <f t="shared" si="2"/>
        <v/>
      </c>
      <c r="G74" s="10" t="str">
        <f t="shared" si="3"/>
        <v/>
      </c>
      <c r="H74" s="11" t="str">
        <f>IF(ISNA(MATCH(A74,'15N'!$B:$B,0)),"",INDEX('15N'!$A:$Y,MATCH(A74,'15N'!$B:$B,0),MATCH(Summary!$H$1,'15N'!$A$1:$Y$1,0)))</f>
        <v/>
      </c>
      <c r="I74" s="11" t="str">
        <f>IF(ISNA(MATCH(A74,'13C'!$B:$B,0)),"",INDEX('13C'!$A:$Z,MATCH(A74,'13C'!$B:$B,0),MATCH(Summary!$I$1,'13C'!$A$1:$Z$1,0)))</f>
        <v/>
      </c>
    </row>
    <row r="75" spans="1:9" x14ac:dyDescent="0.2">
      <c r="A75"/>
      <c r="B75"/>
      <c r="C75" s="10" t="str">
        <f>IF(ISNA(MATCH(A75,'Elemental analysis'!$Q$5:$Q$139,0)),"",INDEX('Elemental analysis'!$Q$5:$W$139,MATCH(Summary!$A75,'Elemental analysis'!$Q$5:$Q$139,0),MATCH(Summary!C$1,'Elemental analysis'!$Q$5:$W$5,0)))</f>
        <v/>
      </c>
      <c r="D75" s="10" t="str">
        <f>IF(ISNA(MATCH(A75,'Elemental analysis'!$Y$5:$Y$139,0)),"",INDEX('Elemental analysis'!$Y$5:$AE$139,MATCH(Summary!$A75,'Elemental analysis'!$Y$5:$Y$139,0),MATCH(Summary!D$1,'Elemental analysis'!$Y$5:$AE$5,0)))</f>
        <v/>
      </c>
      <c r="E75" s="10" t="str">
        <f>IF( IF(ISNA(MATCH(A75,'Elemental analysis'!$Y$5:$Y$139,0)),"",INDEX('Elemental analysis'!$Y$5:$AE$139,MATCH(Summary!$A75,'Elemental analysis'!$Y$5:$Y$139,0),MATCH(Summary!E$1,'Elemental analysis'!$Y$5:$AE$5,0)))=0,"",IF(ISNA(MATCH(A75,'Elemental analysis'!$Y$5:$Y$139,0)),"",INDEX('Elemental analysis'!$Y$5:$AE$139,MATCH(Summary!$A75,'Elemental analysis'!$Y$5:$Y$139,0),MATCH(Summary!E$1,'Elemental analysis'!$Y$5:$AE$5,0))))</f>
        <v/>
      </c>
      <c r="F75" s="10" t="str">
        <f t="shared" si="2"/>
        <v/>
      </c>
      <c r="G75" s="10" t="str">
        <f t="shared" si="3"/>
        <v/>
      </c>
      <c r="H75" s="11" t="str">
        <f>IF(ISNA(MATCH(A75,'15N'!$B:$B,0)),"",INDEX('15N'!$A:$Y,MATCH(A75,'15N'!$B:$B,0),MATCH(Summary!$H$1,'15N'!$A$1:$Y$1,0)))</f>
        <v/>
      </c>
      <c r="I75" s="11" t="str">
        <f>IF(ISNA(MATCH(A75,'13C'!$B:$B,0)),"",INDEX('13C'!$A:$Z,MATCH(A75,'13C'!$B:$B,0),MATCH(Summary!$I$1,'13C'!$A$1:$Z$1,0)))</f>
        <v/>
      </c>
    </row>
    <row r="76" spans="1:9" x14ac:dyDescent="0.2">
      <c r="A76"/>
      <c r="B76"/>
      <c r="C76" s="10" t="str">
        <f>IF(ISNA(MATCH(A76,'Elemental analysis'!$Q$5:$Q$139,0)),"",INDEX('Elemental analysis'!$Q$5:$W$139,MATCH(Summary!$A76,'Elemental analysis'!$Q$5:$Q$139,0),MATCH(Summary!C$1,'Elemental analysis'!$Q$5:$W$5,0)))</f>
        <v/>
      </c>
      <c r="D76" s="10" t="str">
        <f>IF(ISNA(MATCH(A76,'Elemental analysis'!$Y$5:$Y$139,0)),"",INDEX('Elemental analysis'!$Y$5:$AE$139,MATCH(Summary!$A76,'Elemental analysis'!$Y$5:$Y$139,0),MATCH(Summary!D$1,'Elemental analysis'!$Y$5:$AE$5,0)))</f>
        <v/>
      </c>
      <c r="E76" s="10" t="str">
        <f>IF( IF(ISNA(MATCH(A76,'Elemental analysis'!$Y$5:$Y$139,0)),"",INDEX('Elemental analysis'!$Y$5:$AE$139,MATCH(Summary!$A76,'Elemental analysis'!$Y$5:$Y$139,0),MATCH(Summary!E$1,'Elemental analysis'!$Y$5:$AE$5,0)))=0,"",IF(ISNA(MATCH(A76,'Elemental analysis'!$Y$5:$Y$139,0)),"",INDEX('Elemental analysis'!$Y$5:$AE$139,MATCH(Summary!$A76,'Elemental analysis'!$Y$5:$Y$139,0),MATCH(Summary!E$1,'Elemental analysis'!$Y$5:$AE$5,0))))</f>
        <v/>
      </c>
      <c r="F76" s="10" t="str">
        <f t="shared" si="2"/>
        <v/>
      </c>
      <c r="G76" s="10" t="str">
        <f t="shared" si="3"/>
        <v/>
      </c>
      <c r="H76" s="11" t="str">
        <f>IF(ISNA(MATCH(A76,'15N'!$B:$B,0)),"",INDEX('15N'!$A:$Y,MATCH(A76,'15N'!$B:$B,0),MATCH(Summary!$H$1,'15N'!$A$1:$Y$1,0)))</f>
        <v/>
      </c>
      <c r="I76" s="11" t="str">
        <f>IF(ISNA(MATCH(A76,'13C'!$B:$B,0)),"",INDEX('13C'!$A:$Z,MATCH(A76,'13C'!$B:$B,0),MATCH(Summary!$I$1,'13C'!$A$1:$Z$1,0)))</f>
        <v/>
      </c>
    </row>
    <row r="77" spans="1:9" x14ac:dyDescent="0.2">
      <c r="A77"/>
      <c r="B77"/>
      <c r="C77" s="10" t="str">
        <f>IF(ISNA(MATCH(A77,'Elemental analysis'!$Q$5:$Q$139,0)),"",INDEX('Elemental analysis'!$Q$5:$W$139,MATCH(Summary!$A77,'Elemental analysis'!$Q$5:$Q$139,0),MATCH(Summary!C$1,'Elemental analysis'!$Q$5:$W$5,0)))</f>
        <v/>
      </c>
      <c r="D77" s="10" t="str">
        <f>IF(ISNA(MATCH(A77,'Elemental analysis'!$Y$5:$Y$139,0)),"",INDEX('Elemental analysis'!$Y$5:$AE$139,MATCH(Summary!$A77,'Elemental analysis'!$Y$5:$Y$139,0),MATCH(Summary!D$1,'Elemental analysis'!$Y$5:$AE$5,0)))</f>
        <v/>
      </c>
      <c r="E77" s="10" t="str">
        <f>IF( IF(ISNA(MATCH(A77,'Elemental analysis'!$Y$5:$Y$139,0)),"",INDEX('Elemental analysis'!$Y$5:$AE$139,MATCH(Summary!$A77,'Elemental analysis'!$Y$5:$Y$139,0),MATCH(Summary!E$1,'Elemental analysis'!$Y$5:$AE$5,0)))=0,"",IF(ISNA(MATCH(A77,'Elemental analysis'!$Y$5:$Y$139,0)),"",INDEX('Elemental analysis'!$Y$5:$AE$139,MATCH(Summary!$A77,'Elemental analysis'!$Y$5:$Y$139,0),MATCH(Summary!E$1,'Elemental analysis'!$Y$5:$AE$5,0))))</f>
        <v/>
      </c>
      <c r="F77" s="10" t="str">
        <f t="shared" si="2"/>
        <v/>
      </c>
      <c r="G77" s="10" t="str">
        <f t="shared" si="3"/>
        <v/>
      </c>
      <c r="H77" s="11" t="str">
        <f>IF(ISNA(MATCH(A77,'15N'!$B:$B,0)),"",INDEX('15N'!$A:$Y,MATCH(A77,'15N'!$B:$B,0),MATCH(Summary!$H$1,'15N'!$A$1:$Y$1,0)))</f>
        <v/>
      </c>
      <c r="I77" s="11" t="str">
        <f>IF(ISNA(MATCH(A77,'13C'!$B:$B,0)),"",INDEX('13C'!$A:$Z,MATCH(A77,'13C'!$B:$B,0),MATCH(Summary!$I$1,'13C'!$A$1:$Z$1,0)))</f>
        <v/>
      </c>
    </row>
    <row r="78" spans="1:9" x14ac:dyDescent="0.2">
      <c r="A78"/>
      <c r="B78"/>
      <c r="C78" s="10" t="str">
        <f>IF(ISNA(MATCH(A78,'Elemental analysis'!$Q$5:$Q$139,0)),"",INDEX('Elemental analysis'!$Q$5:$W$139,MATCH(Summary!$A78,'Elemental analysis'!$Q$5:$Q$139,0),MATCH(Summary!C$1,'Elemental analysis'!$Q$5:$W$5,0)))</f>
        <v/>
      </c>
      <c r="D78" s="10" t="str">
        <f>IF(ISNA(MATCH(A78,'Elemental analysis'!$Y$5:$Y$139,0)),"",INDEX('Elemental analysis'!$Y$5:$AE$139,MATCH(Summary!$A78,'Elemental analysis'!$Y$5:$Y$139,0),MATCH(Summary!D$1,'Elemental analysis'!$Y$5:$AE$5,0)))</f>
        <v/>
      </c>
      <c r="E78" s="10" t="str">
        <f>IF( IF(ISNA(MATCH(A78,'Elemental analysis'!$Y$5:$Y$139,0)),"",INDEX('Elemental analysis'!$Y$5:$AE$139,MATCH(Summary!$A78,'Elemental analysis'!$Y$5:$Y$139,0),MATCH(Summary!E$1,'Elemental analysis'!$Y$5:$AE$5,0)))=0,"",IF(ISNA(MATCH(A78,'Elemental analysis'!$Y$5:$Y$139,0)),"",INDEX('Elemental analysis'!$Y$5:$AE$139,MATCH(Summary!$A78,'Elemental analysis'!$Y$5:$Y$139,0),MATCH(Summary!E$1,'Elemental analysis'!$Y$5:$AE$5,0))))</f>
        <v/>
      </c>
      <c r="F78" s="10" t="str">
        <f t="shared" si="2"/>
        <v/>
      </c>
      <c r="G78" s="10" t="str">
        <f t="shared" si="3"/>
        <v/>
      </c>
      <c r="H78" s="11" t="str">
        <f>IF(ISNA(MATCH(A78,'15N'!$B:$B,0)),"",INDEX('15N'!$A:$Y,MATCH(A78,'15N'!$B:$B,0),MATCH(Summary!$H$1,'15N'!$A$1:$Y$1,0)))</f>
        <v/>
      </c>
      <c r="I78" s="11" t="str">
        <f>IF(ISNA(MATCH(A78,'13C'!$B:$B,0)),"",INDEX('13C'!$A:$Z,MATCH(A78,'13C'!$B:$B,0),MATCH(Summary!$I$1,'13C'!$A$1:$Z$1,0)))</f>
        <v/>
      </c>
    </row>
    <row r="79" spans="1:9" x14ac:dyDescent="0.2">
      <c r="A79"/>
      <c r="B79"/>
      <c r="C79" s="10" t="str">
        <f>IF(ISNA(MATCH(A79,'Elemental analysis'!$Q$5:$Q$139,0)),"",INDEX('Elemental analysis'!$Q$5:$W$139,MATCH(Summary!$A79,'Elemental analysis'!$Q$5:$Q$139,0),MATCH(Summary!C$1,'Elemental analysis'!$Q$5:$W$5,0)))</f>
        <v/>
      </c>
      <c r="D79" s="10" t="str">
        <f>IF(ISNA(MATCH(A79,'Elemental analysis'!$Y$5:$Y$139,0)),"",INDEX('Elemental analysis'!$Y$5:$AE$139,MATCH(Summary!$A79,'Elemental analysis'!$Y$5:$Y$139,0),MATCH(Summary!D$1,'Elemental analysis'!$Y$5:$AE$5,0)))</f>
        <v/>
      </c>
      <c r="E79" s="10" t="str">
        <f>IF( IF(ISNA(MATCH(A79,'Elemental analysis'!$Y$5:$Y$139,0)),"",INDEX('Elemental analysis'!$Y$5:$AE$139,MATCH(Summary!$A79,'Elemental analysis'!$Y$5:$Y$139,0),MATCH(Summary!E$1,'Elemental analysis'!$Y$5:$AE$5,0)))=0,"",IF(ISNA(MATCH(A79,'Elemental analysis'!$Y$5:$Y$139,0)),"",INDEX('Elemental analysis'!$Y$5:$AE$139,MATCH(Summary!$A79,'Elemental analysis'!$Y$5:$Y$139,0),MATCH(Summary!E$1,'Elemental analysis'!$Y$5:$AE$5,0))))</f>
        <v/>
      </c>
      <c r="F79" s="10" t="str">
        <f t="shared" si="2"/>
        <v/>
      </c>
      <c r="G79" s="10" t="str">
        <f t="shared" si="3"/>
        <v/>
      </c>
      <c r="H79" s="11" t="str">
        <f>IF(ISNA(MATCH(A79,'15N'!$B:$B,0)),"",INDEX('15N'!$A:$Y,MATCH(A79,'15N'!$B:$B,0),MATCH(Summary!$H$1,'15N'!$A$1:$Y$1,0)))</f>
        <v/>
      </c>
      <c r="I79" s="11" t="str">
        <f>IF(ISNA(MATCH(A79,'13C'!$B:$B,0)),"",INDEX('13C'!$A:$Z,MATCH(A79,'13C'!$B:$B,0),MATCH(Summary!$I$1,'13C'!$A$1:$Z$1,0)))</f>
        <v/>
      </c>
    </row>
    <row r="80" spans="1:9" x14ac:dyDescent="0.2">
      <c r="A80"/>
      <c r="B80"/>
      <c r="C80" s="10" t="str">
        <f>IF(ISNA(MATCH(A80,'Elemental analysis'!$Q$5:$Q$139,0)),"",INDEX('Elemental analysis'!$Q$5:$W$139,MATCH(Summary!$A80,'Elemental analysis'!$Q$5:$Q$139,0),MATCH(Summary!C$1,'Elemental analysis'!$Q$5:$W$5,0)))</f>
        <v/>
      </c>
      <c r="D80" s="10" t="str">
        <f>IF(ISNA(MATCH(A80,'Elemental analysis'!$Y$5:$Y$139,0)),"",INDEX('Elemental analysis'!$Y$5:$AE$139,MATCH(Summary!$A80,'Elemental analysis'!$Y$5:$Y$139,0),MATCH(Summary!D$1,'Elemental analysis'!$Y$5:$AE$5,0)))</f>
        <v/>
      </c>
      <c r="E80" s="10" t="str">
        <f>IF( IF(ISNA(MATCH(A80,'Elemental analysis'!$Y$5:$Y$139,0)),"",INDEX('Elemental analysis'!$Y$5:$AE$139,MATCH(Summary!$A80,'Elemental analysis'!$Y$5:$Y$139,0),MATCH(Summary!E$1,'Elemental analysis'!$Y$5:$AE$5,0)))=0,"",IF(ISNA(MATCH(A80,'Elemental analysis'!$Y$5:$Y$139,0)),"",INDEX('Elemental analysis'!$Y$5:$AE$139,MATCH(Summary!$A80,'Elemental analysis'!$Y$5:$Y$139,0),MATCH(Summary!E$1,'Elemental analysis'!$Y$5:$AE$5,0))))</f>
        <v/>
      </c>
      <c r="F80" s="10" t="str">
        <f t="shared" si="2"/>
        <v/>
      </c>
      <c r="G80" s="10" t="str">
        <f t="shared" si="3"/>
        <v/>
      </c>
      <c r="H80" s="11" t="str">
        <f>IF(ISNA(MATCH(A80,'15N'!$B:$B,0)),"",INDEX('15N'!$A:$Y,MATCH(A80,'15N'!$B:$B,0),MATCH(Summary!$H$1,'15N'!$A$1:$Y$1,0)))</f>
        <v/>
      </c>
      <c r="I80" s="11" t="str">
        <f>IF(ISNA(MATCH(A80,'13C'!$B:$B,0)),"",INDEX('13C'!$A:$Z,MATCH(A80,'13C'!$B:$B,0),MATCH(Summary!$I$1,'13C'!$A$1:$Z$1,0)))</f>
        <v/>
      </c>
    </row>
    <row r="81" spans="1:9" x14ac:dyDescent="0.2">
      <c r="A81"/>
      <c r="B81"/>
      <c r="C81" s="10" t="str">
        <f>IF(ISNA(MATCH(A81,'Elemental analysis'!$Q$5:$Q$139,0)),"",INDEX('Elemental analysis'!$Q$5:$W$139,MATCH(Summary!$A81,'Elemental analysis'!$Q$5:$Q$139,0),MATCH(Summary!C$1,'Elemental analysis'!$Q$5:$W$5,0)))</f>
        <v/>
      </c>
      <c r="D81" s="10" t="str">
        <f>IF(ISNA(MATCH(A81,'Elemental analysis'!$Y$5:$Y$139,0)),"",INDEX('Elemental analysis'!$Y$5:$AE$139,MATCH(Summary!$A81,'Elemental analysis'!$Y$5:$Y$139,0),MATCH(Summary!D$1,'Elemental analysis'!$Y$5:$AE$5,0)))</f>
        <v/>
      </c>
      <c r="E81" s="10" t="str">
        <f>IF( IF(ISNA(MATCH(A81,'Elemental analysis'!$Y$5:$Y$139,0)),"",INDEX('Elemental analysis'!$Y$5:$AE$139,MATCH(Summary!$A81,'Elemental analysis'!$Y$5:$Y$139,0),MATCH(Summary!E$1,'Elemental analysis'!$Y$5:$AE$5,0)))=0,"",IF(ISNA(MATCH(A81,'Elemental analysis'!$Y$5:$Y$139,0)),"",INDEX('Elemental analysis'!$Y$5:$AE$139,MATCH(Summary!$A81,'Elemental analysis'!$Y$5:$Y$139,0),MATCH(Summary!E$1,'Elemental analysis'!$Y$5:$AE$5,0))))</f>
        <v/>
      </c>
      <c r="F81" s="10" t="str">
        <f t="shared" si="2"/>
        <v/>
      </c>
      <c r="G81" s="10" t="str">
        <f t="shared" si="3"/>
        <v/>
      </c>
      <c r="H81" s="11" t="str">
        <f>IF(ISNA(MATCH(A81,'15N'!$B:$B,0)),"",INDEX('15N'!$A:$Y,MATCH(A81,'15N'!$B:$B,0),MATCH(Summary!$H$1,'15N'!$A$1:$Y$1,0)))</f>
        <v/>
      </c>
      <c r="I81" s="11" t="str">
        <f>IF(ISNA(MATCH(A81,'13C'!$B:$B,0)),"",INDEX('13C'!$A:$Z,MATCH(A81,'13C'!$B:$B,0),MATCH(Summary!$I$1,'13C'!$A$1:$Z$1,0)))</f>
        <v/>
      </c>
    </row>
    <row r="82" spans="1:9" x14ac:dyDescent="0.2">
      <c r="A82"/>
      <c r="B82"/>
      <c r="C82" s="10" t="str">
        <f>IF(ISNA(MATCH(A82,'Elemental analysis'!$Q$5:$Q$139,0)),"",INDEX('Elemental analysis'!$Q$5:$W$139,MATCH(Summary!$A82,'Elemental analysis'!$Q$5:$Q$139,0),MATCH(Summary!C$1,'Elemental analysis'!$Q$5:$W$5,0)))</f>
        <v/>
      </c>
      <c r="D82" s="10" t="str">
        <f>IF(ISNA(MATCH(A82,'Elemental analysis'!$Y$5:$Y$139,0)),"",INDEX('Elemental analysis'!$Y$5:$AE$139,MATCH(Summary!$A82,'Elemental analysis'!$Y$5:$Y$139,0),MATCH(Summary!D$1,'Elemental analysis'!$Y$5:$AE$5,0)))</f>
        <v/>
      </c>
      <c r="E82" s="10" t="str">
        <f>IF( IF(ISNA(MATCH(A82,'Elemental analysis'!$Y$5:$Y$139,0)),"",INDEX('Elemental analysis'!$Y$5:$AE$139,MATCH(Summary!$A82,'Elemental analysis'!$Y$5:$Y$139,0),MATCH(Summary!E$1,'Elemental analysis'!$Y$5:$AE$5,0)))=0,"",IF(ISNA(MATCH(A82,'Elemental analysis'!$Y$5:$Y$139,0)),"",INDEX('Elemental analysis'!$Y$5:$AE$139,MATCH(Summary!$A82,'Elemental analysis'!$Y$5:$Y$139,0),MATCH(Summary!E$1,'Elemental analysis'!$Y$5:$AE$5,0))))</f>
        <v/>
      </c>
      <c r="F82" s="10" t="str">
        <f t="shared" si="2"/>
        <v/>
      </c>
      <c r="G82" s="10" t="str">
        <f t="shared" si="3"/>
        <v/>
      </c>
      <c r="H82" s="11" t="str">
        <f>IF(ISNA(MATCH(A82,'15N'!$B:$B,0)),"",INDEX('15N'!$A:$Y,MATCH(A82,'15N'!$B:$B,0),MATCH(Summary!$H$1,'15N'!$A$1:$Y$1,0)))</f>
        <v/>
      </c>
      <c r="I82" s="11" t="str">
        <f>IF(ISNA(MATCH(A82,'13C'!$B:$B,0)),"",INDEX('13C'!$A:$Z,MATCH(A82,'13C'!$B:$B,0),MATCH(Summary!$I$1,'13C'!$A$1:$Z$1,0)))</f>
        <v/>
      </c>
    </row>
    <row r="83" spans="1:9" x14ac:dyDescent="0.2">
      <c r="A83"/>
      <c r="B83"/>
      <c r="C83" s="10" t="str">
        <f>IF(ISNA(MATCH(A83,'Elemental analysis'!$Q$5:$Q$139,0)),"",INDEX('Elemental analysis'!$Q$5:$W$139,MATCH(Summary!$A83,'Elemental analysis'!$Q$5:$Q$139,0),MATCH(Summary!C$1,'Elemental analysis'!$Q$5:$W$5,0)))</f>
        <v/>
      </c>
      <c r="D83" s="10" t="str">
        <f>IF(ISNA(MATCH(A83,'Elemental analysis'!$Y$5:$Y$139,0)),"",INDEX('Elemental analysis'!$Y$5:$AE$139,MATCH(Summary!$A83,'Elemental analysis'!$Y$5:$Y$139,0),MATCH(Summary!D$1,'Elemental analysis'!$Y$5:$AE$5,0)))</f>
        <v/>
      </c>
      <c r="E83" s="10" t="str">
        <f>IF( IF(ISNA(MATCH(A83,'Elemental analysis'!$Y$5:$Y$139,0)),"",INDEX('Elemental analysis'!$Y$5:$AE$139,MATCH(Summary!$A83,'Elemental analysis'!$Y$5:$Y$139,0),MATCH(Summary!E$1,'Elemental analysis'!$Y$5:$AE$5,0)))=0,"",IF(ISNA(MATCH(A83,'Elemental analysis'!$Y$5:$Y$139,0)),"",INDEX('Elemental analysis'!$Y$5:$AE$139,MATCH(Summary!$A83,'Elemental analysis'!$Y$5:$Y$139,0),MATCH(Summary!E$1,'Elemental analysis'!$Y$5:$AE$5,0))))</f>
        <v/>
      </c>
      <c r="F83" s="10" t="str">
        <f t="shared" si="2"/>
        <v/>
      </c>
      <c r="G83" s="10" t="str">
        <f t="shared" si="3"/>
        <v/>
      </c>
      <c r="H83" s="11" t="str">
        <f>IF(ISNA(MATCH(A83,'15N'!$B:$B,0)),"",INDEX('15N'!$A:$Y,MATCH(A83,'15N'!$B:$B,0),MATCH(Summary!$H$1,'15N'!$A$1:$Y$1,0)))</f>
        <v/>
      </c>
      <c r="I83" s="11" t="str">
        <f>IF(ISNA(MATCH(A83,'13C'!$B:$B,0)),"",INDEX('13C'!$A:$Z,MATCH(A83,'13C'!$B:$B,0),MATCH(Summary!$I$1,'13C'!$A$1:$Z$1,0)))</f>
        <v/>
      </c>
    </row>
    <row r="84" spans="1:9" x14ac:dyDescent="0.2">
      <c r="A84"/>
      <c r="B84"/>
      <c r="C84" s="10" t="str">
        <f>IF(ISNA(MATCH(A84,'Elemental analysis'!$Q$5:$Q$139,0)),"",INDEX('Elemental analysis'!$Q$5:$W$139,MATCH(Summary!$A84,'Elemental analysis'!$Q$5:$Q$139,0),MATCH(Summary!C$1,'Elemental analysis'!$Q$5:$W$5,0)))</f>
        <v/>
      </c>
      <c r="D84" s="10" t="str">
        <f>IF(ISNA(MATCH(A84,'Elemental analysis'!$Y$5:$Y$139,0)),"",INDEX('Elemental analysis'!$Y$5:$AE$139,MATCH(Summary!$A84,'Elemental analysis'!$Y$5:$Y$139,0),MATCH(Summary!D$1,'Elemental analysis'!$Y$5:$AE$5,0)))</f>
        <v/>
      </c>
      <c r="E84" s="10" t="str">
        <f>IF( IF(ISNA(MATCH(A84,'Elemental analysis'!$Y$5:$Y$139,0)),"",INDEX('Elemental analysis'!$Y$5:$AE$139,MATCH(Summary!$A84,'Elemental analysis'!$Y$5:$Y$139,0),MATCH(Summary!E$1,'Elemental analysis'!$Y$5:$AE$5,0)))=0,"",IF(ISNA(MATCH(A84,'Elemental analysis'!$Y$5:$Y$139,0)),"",INDEX('Elemental analysis'!$Y$5:$AE$139,MATCH(Summary!$A84,'Elemental analysis'!$Y$5:$Y$139,0),MATCH(Summary!E$1,'Elemental analysis'!$Y$5:$AE$5,0))))</f>
        <v/>
      </c>
      <c r="F84" s="10" t="str">
        <f t="shared" si="2"/>
        <v/>
      </c>
      <c r="G84" s="10" t="str">
        <f t="shared" si="3"/>
        <v/>
      </c>
      <c r="H84" s="11" t="str">
        <f>IF(ISNA(MATCH(A84,'15N'!$B:$B,0)),"",INDEX('15N'!$A:$Y,MATCH(A84,'15N'!$B:$B,0),MATCH(Summary!$H$1,'15N'!$A$1:$Y$1,0)))</f>
        <v/>
      </c>
      <c r="I84" s="11" t="str">
        <f>IF(ISNA(MATCH(A84,'13C'!$B:$B,0)),"",INDEX('13C'!$A:$Z,MATCH(A84,'13C'!$B:$B,0),MATCH(Summary!$I$1,'13C'!$A$1:$Z$1,0)))</f>
        <v/>
      </c>
    </row>
    <row r="85" spans="1:9" x14ac:dyDescent="0.2">
      <c r="A85"/>
      <c r="B85"/>
      <c r="C85" s="10" t="str">
        <f>IF(ISNA(MATCH(A85,'Elemental analysis'!$Q$5:$Q$139,0)),"",INDEX('Elemental analysis'!$Q$5:$W$139,MATCH(Summary!$A85,'Elemental analysis'!$Q$5:$Q$139,0),MATCH(Summary!C$1,'Elemental analysis'!$Q$5:$W$5,0)))</f>
        <v/>
      </c>
      <c r="D85" s="10" t="str">
        <f>IF(ISNA(MATCH(A85,'Elemental analysis'!$Y$5:$Y$139,0)),"",INDEX('Elemental analysis'!$Y$5:$AE$139,MATCH(Summary!$A85,'Elemental analysis'!$Y$5:$Y$139,0),MATCH(Summary!D$1,'Elemental analysis'!$Y$5:$AE$5,0)))</f>
        <v/>
      </c>
      <c r="E85" s="10" t="str">
        <f>IF( IF(ISNA(MATCH(A85,'Elemental analysis'!$Y$5:$Y$139,0)),"",INDEX('Elemental analysis'!$Y$5:$AE$139,MATCH(Summary!$A85,'Elemental analysis'!$Y$5:$Y$139,0),MATCH(Summary!E$1,'Elemental analysis'!$Y$5:$AE$5,0)))=0,"",IF(ISNA(MATCH(A85,'Elemental analysis'!$Y$5:$Y$139,0)),"",INDEX('Elemental analysis'!$Y$5:$AE$139,MATCH(Summary!$A85,'Elemental analysis'!$Y$5:$Y$139,0),MATCH(Summary!E$1,'Elemental analysis'!$Y$5:$AE$5,0))))</f>
        <v/>
      </c>
      <c r="F85" s="10" t="str">
        <f t="shared" si="2"/>
        <v/>
      </c>
      <c r="G85" s="10" t="str">
        <f t="shared" si="3"/>
        <v/>
      </c>
      <c r="H85" s="11" t="str">
        <f>IF(ISNA(MATCH(A85,'15N'!$B:$B,0)),"",INDEX('15N'!$A:$Y,MATCH(A85,'15N'!$B:$B,0),MATCH(Summary!$H$1,'15N'!$A$1:$Y$1,0)))</f>
        <v/>
      </c>
      <c r="I85" s="11" t="str">
        <f>IF(ISNA(MATCH(A85,'13C'!$B:$B,0)),"",INDEX('13C'!$A:$Z,MATCH(A85,'13C'!$B:$B,0),MATCH(Summary!$I$1,'13C'!$A$1:$Z$1,0)))</f>
        <v/>
      </c>
    </row>
    <row r="86" spans="1:9" x14ac:dyDescent="0.2">
      <c r="A86"/>
      <c r="B86"/>
      <c r="C86" s="10" t="str">
        <f>IF(ISNA(MATCH(A86,'Elemental analysis'!$Q$5:$Q$139,0)),"",INDEX('Elemental analysis'!$Q$5:$W$139,MATCH(Summary!$A86,'Elemental analysis'!$Q$5:$Q$139,0),MATCH(Summary!C$1,'Elemental analysis'!$Q$5:$W$5,0)))</f>
        <v/>
      </c>
      <c r="D86" s="10" t="str">
        <f>IF(ISNA(MATCH(A86,'Elemental analysis'!$Y$5:$Y$139,0)),"",INDEX('Elemental analysis'!$Y$5:$AE$139,MATCH(Summary!$A86,'Elemental analysis'!$Y$5:$Y$139,0),MATCH(Summary!D$1,'Elemental analysis'!$Y$5:$AE$5,0)))</f>
        <v/>
      </c>
      <c r="E86" s="10" t="str">
        <f>IF( IF(ISNA(MATCH(A86,'Elemental analysis'!$Y$5:$Y$139,0)),"",INDEX('Elemental analysis'!$Y$5:$AE$139,MATCH(Summary!$A86,'Elemental analysis'!$Y$5:$Y$139,0),MATCH(Summary!E$1,'Elemental analysis'!$Y$5:$AE$5,0)))=0,"",IF(ISNA(MATCH(A86,'Elemental analysis'!$Y$5:$Y$139,0)),"",INDEX('Elemental analysis'!$Y$5:$AE$139,MATCH(Summary!$A86,'Elemental analysis'!$Y$5:$Y$139,0),MATCH(Summary!E$1,'Elemental analysis'!$Y$5:$AE$5,0))))</f>
        <v/>
      </c>
      <c r="F86" s="10" t="str">
        <f t="shared" si="2"/>
        <v/>
      </c>
      <c r="G86" s="10" t="str">
        <f t="shared" si="3"/>
        <v/>
      </c>
      <c r="H86" s="11" t="str">
        <f>IF(ISNA(MATCH(A86,'15N'!$B:$B,0)),"",INDEX('15N'!$A:$Y,MATCH(A86,'15N'!$B:$B,0),MATCH(Summary!$H$1,'15N'!$A$1:$Y$1,0)))</f>
        <v/>
      </c>
      <c r="I86" s="11" t="str">
        <f>IF(ISNA(MATCH(A86,'13C'!$B:$B,0)),"",INDEX('13C'!$A:$Z,MATCH(A86,'13C'!$B:$B,0),MATCH(Summary!$I$1,'13C'!$A$1:$Z$1,0)))</f>
        <v/>
      </c>
    </row>
    <row r="87" spans="1:9" x14ac:dyDescent="0.2">
      <c r="A87"/>
      <c r="B87"/>
      <c r="C87" s="10" t="str">
        <f>IF(ISNA(MATCH(A87,'Elemental analysis'!$Q$5:$Q$139,0)),"",INDEX('Elemental analysis'!$Q$5:$W$139,MATCH(Summary!$A87,'Elemental analysis'!$Q$5:$Q$139,0),MATCH(Summary!C$1,'Elemental analysis'!$Q$5:$W$5,0)))</f>
        <v/>
      </c>
      <c r="D87" s="10" t="str">
        <f>IF(ISNA(MATCH(A87,'Elemental analysis'!$Y$5:$Y$139,0)),"",INDEX('Elemental analysis'!$Y$5:$AE$139,MATCH(Summary!$A87,'Elemental analysis'!$Y$5:$Y$139,0),MATCH(Summary!D$1,'Elemental analysis'!$Y$5:$AE$5,0)))</f>
        <v/>
      </c>
      <c r="E87" s="10" t="str">
        <f>IF( IF(ISNA(MATCH(A87,'Elemental analysis'!$Y$5:$Y$139,0)),"",INDEX('Elemental analysis'!$Y$5:$AE$139,MATCH(Summary!$A87,'Elemental analysis'!$Y$5:$Y$139,0),MATCH(Summary!E$1,'Elemental analysis'!$Y$5:$AE$5,0)))=0,"",IF(ISNA(MATCH(A87,'Elemental analysis'!$Y$5:$Y$139,0)),"",INDEX('Elemental analysis'!$Y$5:$AE$139,MATCH(Summary!$A87,'Elemental analysis'!$Y$5:$Y$139,0),MATCH(Summary!E$1,'Elemental analysis'!$Y$5:$AE$5,0))))</f>
        <v/>
      </c>
      <c r="F87" s="10" t="str">
        <f t="shared" si="2"/>
        <v/>
      </c>
      <c r="G87" s="10" t="str">
        <f t="shared" si="3"/>
        <v/>
      </c>
      <c r="H87" s="11" t="str">
        <f>IF(ISNA(MATCH(A87,'15N'!$B:$B,0)),"",INDEX('15N'!$A:$Y,MATCH(A87,'15N'!$B:$B,0),MATCH(Summary!$H$1,'15N'!$A$1:$Y$1,0)))</f>
        <v/>
      </c>
      <c r="I87" s="11" t="str">
        <f>IF(ISNA(MATCH(A87,'13C'!$B:$B,0)),"",INDEX('13C'!$A:$Z,MATCH(A87,'13C'!$B:$B,0),MATCH(Summary!$I$1,'13C'!$A$1:$Z$1,0)))</f>
        <v/>
      </c>
    </row>
    <row r="88" spans="1:9" x14ac:dyDescent="0.2">
      <c r="A88"/>
      <c r="B88"/>
      <c r="C88" s="10" t="str">
        <f>IF(ISNA(MATCH(A88,'Elemental analysis'!$Q$5:$Q$139,0)),"",INDEX('Elemental analysis'!$Q$5:$W$139,MATCH(Summary!$A88,'Elemental analysis'!$Q$5:$Q$139,0),MATCH(Summary!C$1,'Elemental analysis'!$Q$5:$W$5,0)))</f>
        <v/>
      </c>
      <c r="D88" s="10" t="str">
        <f>IF(ISNA(MATCH(A88,'Elemental analysis'!$Y$5:$Y$139,0)),"",INDEX('Elemental analysis'!$Y$5:$AE$139,MATCH(Summary!$A88,'Elemental analysis'!$Y$5:$Y$139,0),MATCH(Summary!D$1,'Elemental analysis'!$Y$5:$AE$5,0)))</f>
        <v/>
      </c>
      <c r="E88" s="10" t="str">
        <f>IF( IF(ISNA(MATCH(A88,'Elemental analysis'!$Y$5:$Y$139,0)),"",INDEX('Elemental analysis'!$Y$5:$AE$139,MATCH(Summary!$A88,'Elemental analysis'!$Y$5:$Y$139,0),MATCH(Summary!E$1,'Elemental analysis'!$Y$5:$AE$5,0)))=0,"",IF(ISNA(MATCH(A88,'Elemental analysis'!$Y$5:$Y$139,0)),"",INDEX('Elemental analysis'!$Y$5:$AE$139,MATCH(Summary!$A88,'Elemental analysis'!$Y$5:$Y$139,0),MATCH(Summary!E$1,'Elemental analysis'!$Y$5:$AE$5,0))))</f>
        <v/>
      </c>
      <c r="F88" s="10" t="str">
        <f t="shared" si="2"/>
        <v/>
      </c>
      <c r="G88" s="10" t="str">
        <f t="shared" si="3"/>
        <v/>
      </c>
      <c r="H88" s="11" t="str">
        <f>IF(ISNA(MATCH(A88,'15N'!$B:$B,0)),"",INDEX('15N'!$A:$Y,MATCH(A88,'15N'!$B:$B,0),MATCH(Summary!$H$1,'15N'!$A$1:$Y$1,0)))</f>
        <v/>
      </c>
      <c r="I88" s="11" t="str">
        <f>IF(ISNA(MATCH(A88,'13C'!$B:$B,0)),"",INDEX('13C'!$A:$Z,MATCH(A88,'13C'!$B:$B,0),MATCH(Summary!$I$1,'13C'!$A$1:$Z$1,0)))</f>
        <v/>
      </c>
    </row>
    <row r="89" spans="1:9" x14ac:dyDescent="0.2">
      <c r="A89" s="19"/>
      <c r="C89" s="10" t="str">
        <f>IF(ISNA(MATCH(A89,'Elemental analysis'!$Q$5:$Q$139,0)),"",INDEX('Elemental analysis'!$Q$5:$W$139,MATCH(Summary!$A89,'Elemental analysis'!$Q$5:$Q$139,0),MATCH(Summary!C$1,'Elemental analysis'!$Q$5:$W$5,0)))</f>
        <v/>
      </c>
      <c r="D89" s="10" t="str">
        <f>IF(ISNA(MATCH(A89,'Elemental analysis'!$Y$5:$Y$139,0)),"",INDEX('Elemental analysis'!$Y$5:$AE$139,MATCH(Summary!$A89,'Elemental analysis'!$Y$5:$Y$139,0),MATCH(Summary!D$1,'Elemental analysis'!$Y$5:$AE$5,0)))</f>
        <v/>
      </c>
      <c r="E89" s="10" t="str">
        <f>IF( IF(ISNA(MATCH(A89,'Elemental analysis'!$Y$5:$Y$139,0)),"",INDEX('Elemental analysis'!$Y$5:$AE$139,MATCH(Summary!$A89,'Elemental analysis'!$Y$5:$Y$139,0),MATCH(Summary!E$1,'Elemental analysis'!$Y$5:$AE$5,0)))=0,"",IF(ISNA(MATCH(A89,'Elemental analysis'!$Y$5:$Y$139,0)),"",INDEX('Elemental analysis'!$Y$5:$AE$139,MATCH(Summary!$A89,'Elemental analysis'!$Y$5:$Y$139,0),MATCH(Summary!E$1,'Elemental analysis'!$Y$5:$AE$5,0))))</f>
        <v/>
      </c>
      <c r="F89" s="10" t="str">
        <f t="shared" si="2"/>
        <v/>
      </c>
      <c r="G89" s="10" t="str">
        <f t="shared" si="3"/>
        <v/>
      </c>
      <c r="H89" s="11" t="str">
        <f>IF(ISNA(MATCH(A89,'15N'!$B:$B,0)),"",INDEX('15N'!$A:$Y,MATCH(A89,'15N'!$B:$B,0),MATCH(Summary!$H$1,'15N'!$A$1:$Y$1,0)))</f>
        <v/>
      </c>
      <c r="I89" s="11" t="str">
        <f>IF(ISNA(MATCH(A89,'13C'!$B:$B,0)),"",INDEX('13C'!$A:$Z,MATCH(A89,'13C'!$B:$B,0),MATCH(Summary!$I$1,'13C'!$A$1:$Z$1,0)))</f>
        <v/>
      </c>
    </row>
    <row r="90" spans="1:9" x14ac:dyDescent="0.2">
      <c r="A90" s="19"/>
      <c r="C90" s="10" t="str">
        <f>IF(ISNA(MATCH(A90,'Elemental analysis'!$Q$5:$Q$139,0)),"",INDEX('Elemental analysis'!$Q$5:$W$139,MATCH(Summary!$A90,'Elemental analysis'!$Q$5:$Q$139,0),MATCH(Summary!C$1,'Elemental analysis'!$Q$5:$W$5,0)))</f>
        <v/>
      </c>
      <c r="D90" s="10" t="str">
        <f>IF(ISNA(MATCH(A90,'Elemental analysis'!$Y$5:$Y$139,0)),"",INDEX('Elemental analysis'!$Y$5:$AE$139,MATCH(Summary!$A90,'Elemental analysis'!$Y$5:$Y$139,0),MATCH(Summary!D$1,'Elemental analysis'!$Y$5:$AE$5,0)))</f>
        <v/>
      </c>
      <c r="E90" s="10" t="str">
        <f>IF( IF(ISNA(MATCH(A90,'Elemental analysis'!$Y$5:$Y$139,0)),"",INDEX('Elemental analysis'!$Y$5:$AE$139,MATCH(Summary!$A90,'Elemental analysis'!$Y$5:$Y$139,0),MATCH(Summary!E$1,'Elemental analysis'!$Y$5:$AE$5,0)))=0,"",IF(ISNA(MATCH(A90,'Elemental analysis'!$Y$5:$Y$139,0)),"",INDEX('Elemental analysis'!$Y$5:$AE$139,MATCH(Summary!$A90,'Elemental analysis'!$Y$5:$Y$139,0),MATCH(Summary!E$1,'Elemental analysis'!$Y$5:$AE$5,0))))</f>
        <v/>
      </c>
      <c r="F90" s="10" t="str">
        <f t="shared" si="2"/>
        <v/>
      </c>
      <c r="G90" s="10" t="str">
        <f t="shared" si="3"/>
        <v/>
      </c>
      <c r="H90" s="11" t="str">
        <f>IF(ISNA(MATCH(A90,'15N'!$B:$B,0)),"",INDEX('15N'!$A:$Y,MATCH(A90,'15N'!$B:$B,0),MATCH(Summary!$H$1,'15N'!$A$1:$Y$1,0)))</f>
        <v/>
      </c>
      <c r="I90" s="11" t="str">
        <f>IF(ISNA(MATCH(A90,'13C'!$B:$B,0)),"",INDEX('13C'!$A:$Z,MATCH(A90,'13C'!$B:$B,0),MATCH(Summary!$I$1,'13C'!$A$1:$Z$1,0)))</f>
        <v/>
      </c>
    </row>
    <row r="91" spans="1:9" x14ac:dyDescent="0.2">
      <c r="A91" s="19"/>
      <c r="C91" s="10" t="str">
        <f>IF(ISNA(MATCH(A91,'Elemental analysis'!$Q$5:$Q$139,0)),"",INDEX('Elemental analysis'!$Q$5:$W$139,MATCH(Summary!$A91,'Elemental analysis'!$Q$5:$Q$139,0),MATCH(Summary!C$1,'Elemental analysis'!$Q$5:$W$5,0)))</f>
        <v/>
      </c>
      <c r="D91" s="10" t="str">
        <f>IF(ISNA(MATCH(A91,'Elemental analysis'!$Y$5:$Y$139,0)),"",INDEX('Elemental analysis'!$Y$5:$AE$139,MATCH(Summary!$A91,'Elemental analysis'!$Y$5:$Y$139,0),MATCH(Summary!D$1,'Elemental analysis'!$Y$5:$AE$5,0)))</f>
        <v/>
      </c>
      <c r="E91" s="10" t="str">
        <f>IF( IF(ISNA(MATCH(A91,'Elemental analysis'!$Y$5:$Y$139,0)),"",INDEX('Elemental analysis'!$Y$5:$AE$139,MATCH(Summary!$A91,'Elemental analysis'!$Y$5:$Y$139,0),MATCH(Summary!E$1,'Elemental analysis'!$Y$5:$AE$5,0)))=0,"",IF(ISNA(MATCH(A91,'Elemental analysis'!$Y$5:$Y$139,0)),"",INDEX('Elemental analysis'!$Y$5:$AE$139,MATCH(Summary!$A91,'Elemental analysis'!$Y$5:$Y$139,0),MATCH(Summary!E$1,'Elemental analysis'!$Y$5:$AE$5,0))))</f>
        <v/>
      </c>
      <c r="F91" s="10" t="str">
        <f t="shared" si="2"/>
        <v/>
      </c>
      <c r="G91" s="10" t="str">
        <f t="shared" si="3"/>
        <v/>
      </c>
      <c r="H91" s="11" t="str">
        <f>IF(ISNA(MATCH(A91,'15N'!$B:$B,0)),"",INDEX('15N'!$A:$Y,MATCH(A91,'15N'!$B:$B,0),MATCH(Summary!$H$1,'15N'!$A$1:$Y$1,0)))</f>
        <v/>
      </c>
      <c r="I91" s="11" t="str">
        <f>IF(ISNA(MATCH(A91,'13C'!$B:$B,0)),"",INDEX('13C'!$A:$Z,MATCH(A91,'13C'!$B:$B,0),MATCH(Summary!$I$1,'13C'!$A$1:$Z$1,0)))</f>
        <v/>
      </c>
    </row>
    <row r="92" spans="1:9" x14ac:dyDescent="0.2">
      <c r="A92" s="19"/>
      <c r="C92" s="10" t="str">
        <f>IF(ISNA(MATCH(A92,'Elemental analysis'!$Q$5:$Q$139,0)),"",INDEX('Elemental analysis'!$Q$5:$W$139,MATCH(Summary!$A92,'Elemental analysis'!$Q$5:$Q$139,0),MATCH(Summary!C$1,'Elemental analysis'!$Q$5:$W$5,0)))</f>
        <v/>
      </c>
      <c r="D92" s="10" t="str">
        <f>IF(ISNA(MATCH(A92,'Elemental analysis'!$Y$5:$Y$139,0)),"",INDEX('Elemental analysis'!$Y$5:$AE$139,MATCH(Summary!$A92,'Elemental analysis'!$Y$5:$Y$139,0),MATCH(Summary!D$1,'Elemental analysis'!$Y$5:$AE$5,0)))</f>
        <v/>
      </c>
      <c r="E92" s="10" t="str">
        <f>IF( IF(ISNA(MATCH(A92,'Elemental analysis'!$Y$5:$Y$139,0)),"",INDEX('Elemental analysis'!$Y$5:$AE$139,MATCH(Summary!$A92,'Elemental analysis'!$Y$5:$Y$139,0),MATCH(Summary!E$1,'Elemental analysis'!$Y$5:$AE$5,0)))=0,"",IF(ISNA(MATCH(A92,'Elemental analysis'!$Y$5:$Y$139,0)),"",INDEX('Elemental analysis'!$Y$5:$AE$139,MATCH(Summary!$A92,'Elemental analysis'!$Y$5:$Y$139,0),MATCH(Summary!E$1,'Elemental analysis'!$Y$5:$AE$5,0))))</f>
        <v/>
      </c>
      <c r="F92" s="10" t="str">
        <f t="shared" si="2"/>
        <v/>
      </c>
      <c r="G92" s="10" t="str">
        <f t="shared" si="3"/>
        <v/>
      </c>
      <c r="H92" s="11" t="str">
        <f>IF(ISNA(MATCH(A92,'15N'!$B:$B,0)),"",INDEX('15N'!$A:$Y,MATCH(A92,'15N'!$B:$B,0),MATCH(Summary!$H$1,'15N'!$A$1:$Y$1,0)))</f>
        <v/>
      </c>
      <c r="I92" s="11" t="str">
        <f>IF(ISNA(MATCH(A92,'13C'!$B:$B,0)),"",INDEX('13C'!$A:$Z,MATCH(A92,'13C'!$B:$B,0),MATCH(Summary!$I$1,'13C'!$A$1:$Z$1,0)))</f>
        <v/>
      </c>
    </row>
    <row r="93" spans="1:9" x14ac:dyDescent="0.2">
      <c r="A93" s="19"/>
      <c r="C93" s="10" t="str">
        <f>IF(ISNA(MATCH(A93,'Elemental analysis'!$Q$5:$Q$139,0)),"",INDEX('Elemental analysis'!$Q$5:$W$139,MATCH(Summary!$A93,'Elemental analysis'!$Q$5:$Q$139,0),MATCH(Summary!C$1,'Elemental analysis'!$Q$5:$W$5,0)))</f>
        <v/>
      </c>
      <c r="D93" s="10" t="str">
        <f>IF(ISNA(MATCH(A93,'Elemental analysis'!$Y$5:$Y$139,0)),"",INDEX('Elemental analysis'!$Y$5:$AE$139,MATCH(Summary!$A93,'Elemental analysis'!$Y$5:$Y$139,0),MATCH(Summary!D$1,'Elemental analysis'!$Y$5:$AE$5,0)))</f>
        <v/>
      </c>
      <c r="E93" s="10" t="str">
        <f>IF( IF(ISNA(MATCH(A93,'Elemental analysis'!$Y$5:$Y$139,0)),"",INDEX('Elemental analysis'!$Y$5:$AE$139,MATCH(Summary!$A93,'Elemental analysis'!$Y$5:$Y$139,0),MATCH(Summary!E$1,'Elemental analysis'!$Y$5:$AE$5,0)))=0,"",IF(ISNA(MATCH(A93,'Elemental analysis'!$Y$5:$Y$139,0)),"",INDEX('Elemental analysis'!$Y$5:$AE$139,MATCH(Summary!$A93,'Elemental analysis'!$Y$5:$Y$139,0),MATCH(Summary!E$1,'Elemental analysis'!$Y$5:$AE$5,0))))</f>
        <v/>
      </c>
      <c r="F93" s="10" t="str">
        <f t="shared" si="2"/>
        <v/>
      </c>
      <c r="G93" s="10" t="str">
        <f t="shared" si="3"/>
        <v/>
      </c>
      <c r="H93" s="11" t="str">
        <f>IF(ISNA(MATCH(A93,'15N'!$B:$B,0)),"",INDEX('15N'!$A:$Y,MATCH(A93,'15N'!$B:$B,0),MATCH(Summary!$H$1,'15N'!$A$1:$Y$1,0)))</f>
        <v/>
      </c>
      <c r="I93" s="11" t="str">
        <f>IF(ISNA(MATCH(A93,'13C'!$B:$B,0)),"",INDEX('13C'!$A:$Z,MATCH(A93,'13C'!$B:$B,0),MATCH(Summary!$I$1,'13C'!$A$1:$Z$1,0)))</f>
        <v/>
      </c>
    </row>
    <row r="94" spans="1:9" x14ac:dyDescent="0.2">
      <c r="A94" s="19"/>
      <c r="C94" s="10" t="str">
        <f>IF(ISNA(MATCH(A94,'Elemental analysis'!$Q$5:$Q$139,0)),"",INDEX('Elemental analysis'!$Q$5:$W$139,MATCH(Summary!$A94,'Elemental analysis'!$Q$5:$Q$139,0),MATCH(Summary!C$1,'Elemental analysis'!$Q$5:$W$5,0)))</f>
        <v/>
      </c>
      <c r="D94" s="10" t="str">
        <f>IF(ISNA(MATCH(A94,'Elemental analysis'!$Y$5:$Y$139,0)),"",INDEX('Elemental analysis'!$Y$5:$AE$139,MATCH(Summary!$A94,'Elemental analysis'!$Y$5:$Y$139,0),MATCH(Summary!D$1,'Elemental analysis'!$Y$5:$AE$5,0)))</f>
        <v/>
      </c>
      <c r="E94" s="10" t="str">
        <f>IF( IF(ISNA(MATCH(A94,'Elemental analysis'!$Y$5:$Y$139,0)),"",INDEX('Elemental analysis'!$Y$5:$AE$139,MATCH(Summary!$A94,'Elemental analysis'!$Y$5:$Y$139,0),MATCH(Summary!E$1,'Elemental analysis'!$Y$5:$AE$5,0)))=0,"",IF(ISNA(MATCH(A94,'Elemental analysis'!$Y$5:$Y$139,0)),"",INDEX('Elemental analysis'!$Y$5:$AE$139,MATCH(Summary!$A94,'Elemental analysis'!$Y$5:$Y$139,0),MATCH(Summary!E$1,'Elemental analysis'!$Y$5:$AE$5,0))))</f>
        <v/>
      </c>
      <c r="F94" s="10" t="str">
        <f t="shared" si="2"/>
        <v/>
      </c>
      <c r="G94" s="10" t="str">
        <f t="shared" si="3"/>
        <v/>
      </c>
      <c r="H94" s="11" t="str">
        <f>IF(ISNA(MATCH(A94,'15N'!$B:$B,0)),"",INDEX('15N'!$A:$Y,MATCH(A94,'15N'!$B:$B,0),MATCH(Summary!$H$1,'15N'!$A$1:$Y$1,0)))</f>
        <v/>
      </c>
      <c r="I94" s="11" t="str">
        <f>IF(ISNA(MATCH(A94,'13C'!$B:$B,0)),"",INDEX('13C'!$A:$Z,MATCH(A94,'13C'!$B:$B,0),MATCH(Summary!$I$1,'13C'!$A$1:$Z$1,0)))</f>
        <v/>
      </c>
    </row>
    <row r="95" spans="1:9" x14ac:dyDescent="0.2">
      <c r="A95" s="19"/>
      <c r="C95" s="10" t="str">
        <f>IF(ISNA(MATCH(A95,'Elemental analysis'!$Q$5:$Q$139,0)),"",INDEX('Elemental analysis'!$Q$5:$W$139,MATCH(Summary!$A95,'Elemental analysis'!$Q$5:$Q$139,0),MATCH(Summary!C$1,'Elemental analysis'!$Q$5:$W$5,0)))</f>
        <v/>
      </c>
      <c r="D95" s="10" t="str">
        <f>IF(ISNA(MATCH(A95,'Elemental analysis'!$Y$5:$Y$139,0)),"",INDEX('Elemental analysis'!$Y$5:$AE$139,MATCH(Summary!$A95,'Elemental analysis'!$Y$5:$Y$139,0),MATCH(Summary!D$1,'Elemental analysis'!$Y$5:$AE$5,0)))</f>
        <v/>
      </c>
      <c r="E95" s="10" t="str">
        <f>IF( IF(ISNA(MATCH(A95,'Elemental analysis'!$Y$5:$Y$139,0)),"",INDEX('Elemental analysis'!$Y$5:$AE$139,MATCH(Summary!$A95,'Elemental analysis'!$Y$5:$Y$139,0),MATCH(Summary!E$1,'Elemental analysis'!$Y$5:$AE$5,0)))=0,"",IF(ISNA(MATCH(A95,'Elemental analysis'!$Y$5:$Y$139,0)),"",INDEX('Elemental analysis'!$Y$5:$AE$139,MATCH(Summary!$A95,'Elemental analysis'!$Y$5:$Y$139,0),MATCH(Summary!E$1,'Elemental analysis'!$Y$5:$AE$5,0))))</f>
        <v/>
      </c>
      <c r="F95" s="10" t="str">
        <f t="shared" si="2"/>
        <v/>
      </c>
      <c r="G95" s="10" t="str">
        <f t="shared" si="3"/>
        <v/>
      </c>
      <c r="H95" s="11" t="str">
        <f>IF(ISNA(MATCH(A95,'15N'!$B:$B,0)),"",INDEX('15N'!$A:$Y,MATCH(A95,'15N'!$B:$B,0),MATCH(Summary!$H$1,'15N'!$A$1:$Y$1,0)))</f>
        <v/>
      </c>
      <c r="I95" s="11" t="str">
        <f>IF(ISNA(MATCH(A95,'13C'!$B:$B,0)),"",INDEX('13C'!$A:$Z,MATCH(A95,'13C'!$B:$B,0),MATCH(Summary!$I$1,'13C'!$A$1:$Z$1,0)))</f>
        <v/>
      </c>
    </row>
    <row r="96" spans="1:9" x14ac:dyDescent="0.2">
      <c r="A96" s="19"/>
      <c r="C96" s="10" t="str">
        <f>IF(ISNA(MATCH(A96,'Elemental analysis'!$Q$5:$Q$139,0)),"",INDEX('Elemental analysis'!$Q$5:$W$139,MATCH(Summary!$A96,'Elemental analysis'!$Q$5:$Q$139,0),MATCH(Summary!C$1,'Elemental analysis'!$Q$5:$W$5,0)))</f>
        <v/>
      </c>
      <c r="D96" s="10" t="str">
        <f>IF(ISNA(MATCH(A96,'Elemental analysis'!$Y$5:$Y$139,0)),"",INDEX('Elemental analysis'!$Y$5:$AE$139,MATCH(Summary!$A96,'Elemental analysis'!$Y$5:$Y$139,0),MATCH(Summary!D$1,'Elemental analysis'!$Y$5:$AE$5,0)))</f>
        <v/>
      </c>
      <c r="E96" s="10" t="str">
        <f>IF( IF(ISNA(MATCH(A96,'Elemental analysis'!$Y$5:$Y$139,0)),"",INDEX('Elemental analysis'!$Y$5:$AE$139,MATCH(Summary!$A96,'Elemental analysis'!$Y$5:$Y$139,0),MATCH(Summary!E$1,'Elemental analysis'!$Y$5:$AE$5,0)))=0,"",IF(ISNA(MATCH(A96,'Elemental analysis'!$Y$5:$Y$139,0)),"",INDEX('Elemental analysis'!$Y$5:$AE$139,MATCH(Summary!$A96,'Elemental analysis'!$Y$5:$Y$139,0),MATCH(Summary!E$1,'Elemental analysis'!$Y$5:$AE$5,0))))</f>
        <v/>
      </c>
      <c r="F96" s="10" t="str">
        <f t="shared" si="2"/>
        <v/>
      </c>
      <c r="G96" s="10" t="str">
        <f t="shared" si="3"/>
        <v/>
      </c>
      <c r="H96" s="11" t="str">
        <f>IF(ISNA(MATCH(A96,'15N'!$B:$B,0)),"",INDEX('15N'!$A:$Y,MATCH(A96,'15N'!$B:$B,0),MATCH(Summary!$H$1,'15N'!$A$1:$Y$1,0)))</f>
        <v/>
      </c>
      <c r="I96" s="11" t="str">
        <f>IF(ISNA(MATCH(A96,'13C'!$B:$B,0)),"",INDEX('13C'!$A:$Z,MATCH(A96,'13C'!$B:$B,0),MATCH(Summary!$I$1,'13C'!$A$1:$Z$1,0)))</f>
        <v/>
      </c>
    </row>
    <row r="97" spans="1:9" x14ac:dyDescent="0.2">
      <c r="A97" s="19"/>
      <c r="C97" s="10" t="str">
        <f>IF(ISNA(MATCH(A97,'Elemental analysis'!$Q$5:$Q$139,0)),"",INDEX('Elemental analysis'!$Q$5:$W$139,MATCH(Summary!$A97,'Elemental analysis'!$Q$5:$Q$139,0),MATCH(Summary!C$1,'Elemental analysis'!$Q$5:$W$5,0)))</f>
        <v/>
      </c>
      <c r="D97" s="10" t="str">
        <f>IF(ISNA(MATCH(A97,'Elemental analysis'!$Y$5:$Y$139,0)),"",INDEX('Elemental analysis'!$Y$5:$AE$139,MATCH(Summary!$A97,'Elemental analysis'!$Y$5:$Y$139,0),MATCH(Summary!D$1,'Elemental analysis'!$Y$5:$AE$5,0)))</f>
        <v/>
      </c>
      <c r="E97" s="10" t="str">
        <f>IF( IF(ISNA(MATCH(A97,'Elemental analysis'!$Y$5:$Y$139,0)),"",INDEX('Elemental analysis'!$Y$5:$AE$139,MATCH(Summary!$A97,'Elemental analysis'!$Y$5:$Y$139,0),MATCH(Summary!E$1,'Elemental analysis'!$Y$5:$AE$5,0)))=0,"",IF(ISNA(MATCH(A97,'Elemental analysis'!$Y$5:$Y$139,0)),"",INDEX('Elemental analysis'!$Y$5:$AE$139,MATCH(Summary!$A97,'Elemental analysis'!$Y$5:$Y$139,0),MATCH(Summary!E$1,'Elemental analysis'!$Y$5:$AE$5,0))))</f>
        <v/>
      </c>
      <c r="F97" s="10" t="str">
        <f t="shared" si="2"/>
        <v/>
      </c>
      <c r="G97" s="10" t="str">
        <f t="shared" si="3"/>
        <v/>
      </c>
      <c r="H97" s="11" t="str">
        <f>IF(ISNA(MATCH(A97,'15N'!$B:$B,0)),"",INDEX('15N'!$A:$Y,MATCH(A97,'15N'!$B:$B,0),MATCH(Summary!$H$1,'15N'!$A$1:$Y$1,0)))</f>
        <v/>
      </c>
      <c r="I97" s="11" t="str">
        <f>IF(ISNA(MATCH(A97,'13C'!$B:$B,0)),"",INDEX('13C'!$A:$Z,MATCH(A97,'13C'!$B:$B,0),MATCH(Summary!$I$1,'13C'!$A$1:$Z$1,0)))</f>
        <v/>
      </c>
    </row>
    <row r="98" spans="1:9" x14ac:dyDescent="0.2">
      <c r="B98" s="20"/>
      <c r="C98" s="10" t="str">
        <f>IF(ISNA(MATCH(A98,'Elemental analysis'!$Q$5:$Q$139,0)),"",INDEX('Elemental analysis'!$Q$5:$W$139,MATCH(Summary!$A98,'Elemental analysis'!$Q$5:$Q$139,0),MATCH(Summary!C$1,'Elemental analysis'!$Q$5:$W$5,0)))</f>
        <v/>
      </c>
      <c r="D98" s="10" t="str">
        <f>IF(ISNA(MATCH(A98,'Elemental analysis'!$Y$5:$Y$139,0)),"",INDEX('Elemental analysis'!$Y$5:$AE$139,MATCH(Summary!$A98,'Elemental analysis'!$Y$5:$Y$139,0),MATCH(Summary!D$1,'Elemental analysis'!$Y$5:$AE$5,0)))</f>
        <v/>
      </c>
      <c r="E98" s="10" t="str">
        <f>IF( IF(ISNA(MATCH(A98,'Elemental analysis'!$Y$5:$Y$139,0)),"",INDEX('Elemental analysis'!$Y$5:$AE$139,MATCH(Summary!$A98,'Elemental analysis'!$Y$5:$Y$139,0),MATCH(Summary!E$1,'Elemental analysis'!$Y$5:$AE$5,0)))=0,"",IF(ISNA(MATCH(A98,'Elemental analysis'!$Y$5:$Y$139,0)),"",INDEX('Elemental analysis'!$Y$5:$AE$139,MATCH(Summary!$A98,'Elemental analysis'!$Y$5:$Y$139,0),MATCH(Summary!E$1,'Elemental analysis'!$Y$5:$AE$5,0))))</f>
        <v/>
      </c>
      <c r="F98" s="10" t="str">
        <f t="shared" si="2"/>
        <v/>
      </c>
      <c r="G98" s="10" t="str">
        <f t="shared" si="3"/>
        <v/>
      </c>
      <c r="H98" s="11" t="str">
        <f>IF(ISNA(MATCH(A98,'15N'!$B:$B,0)),"",INDEX('15N'!$A:$Y,MATCH(A98,'15N'!$B:$B,0),MATCH(Summary!$H$1,'15N'!$A$1:$Y$1,0)))</f>
        <v/>
      </c>
      <c r="I98" s="11" t="str">
        <f>IF(ISNA(MATCH(A98,'13C'!$B:$B,0)),"",INDEX('13C'!$A:$Z,MATCH(A98,'13C'!$B:$B,0),MATCH(Summary!$I$1,'13C'!$A$1:$Z$1,0)))</f>
        <v/>
      </c>
    </row>
    <row r="99" spans="1:9" x14ac:dyDescent="0.2">
      <c r="B99" s="20"/>
      <c r="C99" s="10" t="str">
        <f>IF(ISNA(MATCH(A99,'Elemental analysis'!$Q$5:$Q$139,0)),"",INDEX('Elemental analysis'!$Q$5:$W$139,MATCH(Summary!$A99,'Elemental analysis'!$Q$5:$Q$139,0),MATCH(Summary!C$1,'Elemental analysis'!$Q$5:$W$5,0)))</f>
        <v/>
      </c>
      <c r="D99" s="10" t="str">
        <f>IF(ISNA(MATCH(A99,'Elemental analysis'!$Y$5:$Y$139,0)),"",INDEX('Elemental analysis'!$Y$5:$AE$139,MATCH(Summary!$A99,'Elemental analysis'!$Y$5:$Y$139,0),MATCH(Summary!D$1,'Elemental analysis'!$Y$5:$AE$5,0)))</f>
        <v/>
      </c>
      <c r="E99" s="10" t="str">
        <f>IF( IF(ISNA(MATCH(A99,'Elemental analysis'!$Y$5:$Y$139,0)),"",INDEX('Elemental analysis'!$Y$5:$AE$139,MATCH(Summary!$A99,'Elemental analysis'!$Y$5:$Y$139,0),MATCH(Summary!E$1,'Elemental analysis'!$Y$5:$AE$5,0)))=0,"",IF(ISNA(MATCH(A99,'Elemental analysis'!$Y$5:$Y$139,0)),"",INDEX('Elemental analysis'!$Y$5:$AE$139,MATCH(Summary!$A99,'Elemental analysis'!$Y$5:$Y$139,0),MATCH(Summary!E$1,'Elemental analysis'!$Y$5:$AE$5,0))))</f>
        <v/>
      </c>
      <c r="F99" s="10" t="str">
        <f t="shared" si="2"/>
        <v/>
      </c>
      <c r="G99" s="10" t="str">
        <f t="shared" si="3"/>
        <v/>
      </c>
      <c r="H99" s="11" t="str">
        <f>IF(ISNA(MATCH(A99,'15N'!$B:$B,0)),"",INDEX('15N'!$A:$Y,MATCH(A99,'15N'!$B:$B,0),MATCH(Summary!$H$1,'15N'!$A$1:$Y$1,0)))</f>
        <v/>
      </c>
      <c r="I99" s="11" t="str">
        <f>IF(ISNA(MATCH(A99,'13C'!$B:$B,0)),"",INDEX('13C'!$A:$Z,MATCH(A99,'13C'!$B:$B,0),MATCH(Summary!$I$1,'13C'!$A$1:$Z$1,0)))</f>
        <v/>
      </c>
    </row>
    <row r="100" spans="1:9" x14ac:dyDescent="0.2">
      <c r="B100" s="20"/>
    </row>
    <row r="101" spans="1:9" x14ac:dyDescent="0.2">
      <c r="B101" s="20"/>
    </row>
    <row r="102" spans="1:9" x14ac:dyDescent="0.2">
      <c r="B102" s="20"/>
    </row>
    <row r="103" spans="1:9" x14ac:dyDescent="0.2">
      <c r="B103" s="20"/>
    </row>
    <row r="104" spans="1:9" x14ac:dyDescent="0.2">
      <c r="B104" s="20"/>
    </row>
    <row r="105" spans="1:9" x14ac:dyDescent="0.2">
      <c r="B105" s="20"/>
    </row>
    <row r="106" spans="1:9" x14ac:dyDescent="0.2">
      <c r="B106" s="20"/>
    </row>
    <row r="107" spans="1:9" x14ac:dyDescent="0.2">
      <c r="B107" s="20"/>
    </row>
    <row r="108" spans="1:9" x14ac:dyDescent="0.2">
      <c r="B108" s="20"/>
    </row>
    <row r="109" spans="1:9" x14ac:dyDescent="0.2">
      <c r="B109" s="20"/>
    </row>
    <row r="110" spans="1:9" x14ac:dyDescent="0.2">
      <c r="B110" s="20"/>
    </row>
    <row r="111" spans="1:9" x14ac:dyDescent="0.2">
      <c r="B111" s="20"/>
    </row>
    <row r="112" spans="1:9" x14ac:dyDescent="0.2">
      <c r="B112" s="20"/>
    </row>
    <row r="113" spans="2:2" x14ac:dyDescent="0.2">
      <c r="B113" s="20"/>
    </row>
    <row r="114" spans="2:2" x14ac:dyDescent="0.2">
      <c r="B114" s="20"/>
    </row>
    <row r="115" spans="2:2" x14ac:dyDescent="0.2">
      <c r="B115" s="20"/>
    </row>
    <row r="116" spans="2:2" x14ac:dyDescent="0.2">
      <c r="B116" s="20"/>
    </row>
    <row r="117" spans="2:2" x14ac:dyDescent="0.2">
      <c r="B117" s="20"/>
    </row>
    <row r="118" spans="2:2" x14ac:dyDescent="0.2">
      <c r="B118" s="20"/>
    </row>
    <row r="119" spans="2:2" x14ac:dyDescent="0.2">
      <c r="B119" s="20"/>
    </row>
    <row r="120" spans="2:2" x14ac:dyDescent="0.2">
      <c r="B120" s="20"/>
    </row>
    <row r="121" spans="2:2" x14ac:dyDescent="0.2">
      <c r="B121" s="20"/>
    </row>
    <row r="122" spans="2:2" x14ac:dyDescent="0.2">
      <c r="B122" s="20"/>
    </row>
    <row r="123" spans="2:2" x14ac:dyDescent="0.2">
      <c r="B123" s="20"/>
    </row>
    <row r="124" spans="2:2" x14ac:dyDescent="0.2">
      <c r="B124" s="20"/>
    </row>
    <row r="125" spans="2:2" x14ac:dyDescent="0.2">
      <c r="B125" s="20"/>
    </row>
    <row r="126" spans="2:2" x14ac:dyDescent="0.2">
      <c r="B126" s="20"/>
    </row>
    <row r="127" spans="2:2" x14ac:dyDescent="0.2">
      <c r="B127" s="20"/>
    </row>
    <row r="128" spans="2:2" x14ac:dyDescent="0.2">
      <c r="B128" s="20"/>
    </row>
    <row r="129" spans="2:2" x14ac:dyDescent="0.2">
      <c r="B129" s="20"/>
    </row>
    <row r="130" spans="2:2" x14ac:dyDescent="0.2">
      <c r="B130" s="20"/>
    </row>
    <row r="131" spans="2:2" x14ac:dyDescent="0.2">
      <c r="B131" s="20"/>
    </row>
    <row r="132" spans="2:2" x14ac:dyDescent="0.2">
      <c r="B132" s="20"/>
    </row>
    <row r="133" spans="2:2" x14ac:dyDescent="0.2">
      <c r="B133" s="20"/>
    </row>
    <row r="134" spans="2:2" x14ac:dyDescent="0.2">
      <c r="B134" s="20"/>
    </row>
    <row r="135" spans="2:2" x14ac:dyDescent="0.2">
      <c r="B135" s="20"/>
    </row>
    <row r="136" spans="2:2" x14ac:dyDescent="0.2">
      <c r="B136" s="20"/>
    </row>
    <row r="137" spans="2:2" x14ac:dyDescent="0.2">
      <c r="B137" s="20"/>
    </row>
    <row r="138" spans="2:2" x14ac:dyDescent="0.2">
      <c r="B138" s="20"/>
    </row>
    <row r="139" spans="2:2" x14ac:dyDescent="0.2">
      <c r="B139" s="20"/>
    </row>
    <row r="140" spans="2:2" x14ac:dyDescent="0.2">
      <c r="B140" s="20"/>
    </row>
    <row r="141" spans="2:2" x14ac:dyDescent="0.2">
      <c r="B141" s="20"/>
    </row>
    <row r="142" spans="2:2" x14ac:dyDescent="0.2">
      <c r="B142" s="20"/>
    </row>
    <row r="143" spans="2:2" x14ac:dyDescent="0.2">
      <c r="B143" s="20"/>
    </row>
    <row r="144" spans="2:2" x14ac:dyDescent="0.2">
      <c r="B144" s="20"/>
    </row>
    <row r="145" spans="2:2" x14ac:dyDescent="0.2">
      <c r="B145" s="20"/>
    </row>
    <row r="146" spans="2:2" x14ac:dyDescent="0.2">
      <c r="B146" s="20"/>
    </row>
    <row r="147" spans="2:2" x14ac:dyDescent="0.2">
      <c r="B147" s="20"/>
    </row>
    <row r="148" spans="2:2" x14ac:dyDescent="0.2">
      <c r="B148" s="20"/>
    </row>
    <row r="149" spans="2:2" x14ac:dyDescent="0.2">
      <c r="B149" s="20"/>
    </row>
    <row r="150" spans="2:2" x14ac:dyDescent="0.2">
      <c r="B150" s="20"/>
    </row>
    <row r="151" spans="2:2" x14ac:dyDescent="0.2">
      <c r="B151" s="20"/>
    </row>
    <row r="152" spans="2:2" x14ac:dyDescent="0.2">
      <c r="B152" s="20"/>
    </row>
    <row r="153" spans="2:2" x14ac:dyDescent="0.2">
      <c r="B153" s="20"/>
    </row>
    <row r="154" spans="2:2" x14ac:dyDescent="0.2">
      <c r="B154" s="20"/>
    </row>
    <row r="155" spans="2:2" x14ac:dyDescent="0.2">
      <c r="B155" s="20"/>
    </row>
    <row r="156" spans="2:2" x14ac:dyDescent="0.2">
      <c r="B156" s="20"/>
    </row>
    <row r="157" spans="2:2" x14ac:dyDescent="0.2">
      <c r="B157" s="20"/>
    </row>
    <row r="158" spans="2:2" x14ac:dyDescent="0.2">
      <c r="B158" s="20"/>
    </row>
    <row r="159" spans="2:2" x14ac:dyDescent="0.2">
      <c r="B159" s="20"/>
    </row>
    <row r="160" spans="2:2" x14ac:dyDescent="0.2">
      <c r="B160" s="20"/>
    </row>
    <row r="161" spans="2:2" x14ac:dyDescent="0.2">
      <c r="B161" s="20"/>
    </row>
    <row r="162" spans="2:2" x14ac:dyDescent="0.2">
      <c r="B162" s="20"/>
    </row>
    <row r="163" spans="2:2" x14ac:dyDescent="0.2">
      <c r="B163" s="20"/>
    </row>
    <row r="164" spans="2:2" x14ac:dyDescent="0.2">
      <c r="B164" s="20"/>
    </row>
    <row r="165" spans="2:2" x14ac:dyDescent="0.2">
      <c r="B165" s="20"/>
    </row>
    <row r="166" spans="2:2" x14ac:dyDescent="0.2">
      <c r="B166" s="20"/>
    </row>
    <row r="167" spans="2:2" x14ac:dyDescent="0.2">
      <c r="B167" s="20"/>
    </row>
    <row r="168" spans="2:2" x14ac:dyDescent="0.2">
      <c r="B168" s="20"/>
    </row>
    <row r="169" spans="2:2" x14ac:dyDescent="0.2">
      <c r="B169" s="20"/>
    </row>
    <row r="170" spans="2:2" x14ac:dyDescent="0.2">
      <c r="B170" s="20"/>
    </row>
    <row r="171" spans="2:2" x14ac:dyDescent="0.2">
      <c r="B171" s="20"/>
    </row>
    <row r="172" spans="2:2" x14ac:dyDescent="0.2">
      <c r="B172" s="20"/>
    </row>
    <row r="173" spans="2:2" x14ac:dyDescent="0.2">
      <c r="B173" s="20"/>
    </row>
    <row r="174" spans="2:2" x14ac:dyDescent="0.2">
      <c r="B174" s="20"/>
    </row>
    <row r="175" spans="2:2" x14ac:dyDescent="0.2">
      <c r="B175" s="20"/>
    </row>
    <row r="176" spans="2:2" x14ac:dyDescent="0.2">
      <c r="B176" s="20"/>
    </row>
    <row r="177" spans="2:2" x14ac:dyDescent="0.2">
      <c r="B177" s="20"/>
    </row>
    <row r="178" spans="2:2" x14ac:dyDescent="0.2">
      <c r="B178" s="20"/>
    </row>
    <row r="179" spans="2:2" x14ac:dyDescent="0.2">
      <c r="B179" s="20"/>
    </row>
    <row r="180" spans="2:2" x14ac:dyDescent="0.2">
      <c r="B180" s="20"/>
    </row>
    <row r="181" spans="2:2" x14ac:dyDescent="0.2">
      <c r="B181" s="20"/>
    </row>
    <row r="182" spans="2:2" x14ac:dyDescent="0.2">
      <c r="B182" s="20"/>
    </row>
    <row r="183" spans="2:2" x14ac:dyDescent="0.2">
      <c r="B183" s="20"/>
    </row>
    <row r="184" spans="2:2" x14ac:dyDescent="0.2">
      <c r="B184" s="20"/>
    </row>
    <row r="185" spans="2:2" x14ac:dyDescent="0.2">
      <c r="B185" s="20"/>
    </row>
    <row r="186" spans="2:2" x14ac:dyDescent="0.2">
      <c r="B186" s="20"/>
    </row>
    <row r="187" spans="2:2" x14ac:dyDescent="0.2">
      <c r="B187" s="20"/>
    </row>
    <row r="188" spans="2:2" x14ac:dyDescent="0.2">
      <c r="B188" s="20"/>
    </row>
    <row r="189" spans="2:2" x14ac:dyDescent="0.2">
      <c r="B189" s="20"/>
    </row>
    <row r="190" spans="2:2" x14ac:dyDescent="0.2">
      <c r="B190" s="20"/>
    </row>
    <row r="191" spans="2:2" x14ac:dyDescent="0.2">
      <c r="B191" s="20"/>
    </row>
    <row r="192" spans="2:2" x14ac:dyDescent="0.2">
      <c r="B192" s="20"/>
    </row>
    <row r="193" spans="2:2" x14ac:dyDescent="0.2">
      <c r="B193" s="20"/>
    </row>
    <row r="194" spans="2:2" x14ac:dyDescent="0.2">
      <c r="B194" s="20"/>
    </row>
    <row r="195" spans="2:2" x14ac:dyDescent="0.2">
      <c r="B195" s="20"/>
    </row>
    <row r="196" spans="2:2" x14ac:dyDescent="0.2">
      <c r="B196" s="20"/>
    </row>
    <row r="197" spans="2:2" x14ac:dyDescent="0.2">
      <c r="B197" s="20"/>
    </row>
    <row r="198" spans="2:2" x14ac:dyDescent="0.2">
      <c r="B198" s="20"/>
    </row>
    <row r="199" spans="2:2" x14ac:dyDescent="0.2">
      <c r="B199" s="20"/>
    </row>
    <row r="200" spans="2:2" x14ac:dyDescent="0.2">
      <c r="B200" s="20"/>
    </row>
    <row r="201" spans="2:2" x14ac:dyDescent="0.2">
      <c r="B201" s="20"/>
    </row>
    <row r="202" spans="2:2" x14ac:dyDescent="0.2">
      <c r="B202" s="20"/>
    </row>
    <row r="203" spans="2:2" x14ac:dyDescent="0.2">
      <c r="B203" s="20"/>
    </row>
    <row r="204" spans="2:2" x14ac:dyDescent="0.2">
      <c r="B204" s="20"/>
    </row>
    <row r="205" spans="2:2" x14ac:dyDescent="0.2">
      <c r="B205" s="20"/>
    </row>
    <row r="206" spans="2:2" x14ac:dyDescent="0.2">
      <c r="B206" s="20"/>
    </row>
    <row r="207" spans="2:2" x14ac:dyDescent="0.2">
      <c r="B207" s="20"/>
    </row>
    <row r="208" spans="2:2" x14ac:dyDescent="0.2">
      <c r="B208" s="20"/>
    </row>
    <row r="209" spans="2:2" x14ac:dyDescent="0.2">
      <c r="B209" s="20"/>
    </row>
    <row r="210" spans="2:2" x14ac:dyDescent="0.2">
      <c r="B210" s="20"/>
    </row>
    <row r="211" spans="2:2" x14ac:dyDescent="0.2">
      <c r="B211" s="20"/>
    </row>
    <row r="212" spans="2:2" x14ac:dyDescent="0.2">
      <c r="B212" s="20"/>
    </row>
    <row r="213" spans="2:2" x14ac:dyDescent="0.2">
      <c r="B213" s="20"/>
    </row>
    <row r="214" spans="2:2" x14ac:dyDescent="0.2">
      <c r="B214" s="20"/>
    </row>
    <row r="215" spans="2:2" x14ac:dyDescent="0.2">
      <c r="B215" s="20"/>
    </row>
    <row r="216" spans="2:2" x14ac:dyDescent="0.2">
      <c r="B216" s="20"/>
    </row>
    <row r="217" spans="2:2" x14ac:dyDescent="0.2">
      <c r="B217" s="20"/>
    </row>
    <row r="218" spans="2:2" x14ac:dyDescent="0.2">
      <c r="B218" s="20"/>
    </row>
    <row r="219" spans="2:2" x14ac:dyDescent="0.2">
      <c r="B219" s="20"/>
    </row>
    <row r="220" spans="2:2" x14ac:dyDescent="0.2">
      <c r="B220" s="20"/>
    </row>
    <row r="221" spans="2:2" x14ac:dyDescent="0.2">
      <c r="B221" s="20"/>
    </row>
    <row r="222" spans="2:2" x14ac:dyDescent="0.2">
      <c r="B222" s="20"/>
    </row>
    <row r="223" spans="2:2" x14ac:dyDescent="0.2">
      <c r="B223" s="20"/>
    </row>
    <row r="224" spans="2:2" x14ac:dyDescent="0.2">
      <c r="B224" s="20"/>
    </row>
    <row r="225" spans="2:2" x14ac:dyDescent="0.2">
      <c r="B225" s="20"/>
    </row>
    <row r="226" spans="2:2" x14ac:dyDescent="0.2">
      <c r="B226" s="20"/>
    </row>
    <row r="227" spans="2:2" x14ac:dyDescent="0.2">
      <c r="B227" s="20"/>
    </row>
    <row r="228" spans="2:2" x14ac:dyDescent="0.2">
      <c r="B228" s="20"/>
    </row>
    <row r="229" spans="2:2" x14ac:dyDescent="0.2">
      <c r="B229" s="20"/>
    </row>
    <row r="230" spans="2:2" x14ac:dyDescent="0.2">
      <c r="B230" s="20"/>
    </row>
    <row r="231" spans="2:2" x14ac:dyDescent="0.2">
      <c r="B231" s="20"/>
    </row>
    <row r="232" spans="2:2" x14ac:dyDescent="0.2">
      <c r="B232" s="20"/>
    </row>
    <row r="233" spans="2:2" x14ac:dyDescent="0.2">
      <c r="B233" s="20"/>
    </row>
    <row r="234" spans="2:2" x14ac:dyDescent="0.2">
      <c r="B234" s="20"/>
    </row>
    <row r="235" spans="2:2" x14ac:dyDescent="0.2">
      <c r="B235" s="20"/>
    </row>
    <row r="236" spans="2:2" x14ac:dyDescent="0.2">
      <c r="B236" s="20"/>
    </row>
    <row r="237" spans="2:2" x14ac:dyDescent="0.2">
      <c r="B237" s="20"/>
    </row>
    <row r="238" spans="2:2" x14ac:dyDescent="0.2">
      <c r="B238" s="20"/>
    </row>
    <row r="239" spans="2:2" x14ac:dyDescent="0.2">
      <c r="B239" s="20"/>
    </row>
    <row r="240" spans="2:2" x14ac:dyDescent="0.2">
      <c r="B240" s="20"/>
    </row>
    <row r="241" spans="2:2" x14ac:dyDescent="0.2">
      <c r="B241" s="20"/>
    </row>
    <row r="242" spans="2:2" x14ac:dyDescent="0.2">
      <c r="B242" s="20"/>
    </row>
    <row r="243" spans="2:2" x14ac:dyDescent="0.2">
      <c r="B243" s="20"/>
    </row>
    <row r="244" spans="2:2" x14ac:dyDescent="0.2">
      <c r="B244" s="20"/>
    </row>
    <row r="245" spans="2:2" x14ac:dyDescent="0.2">
      <c r="B245" s="20"/>
    </row>
    <row r="246" spans="2:2" x14ac:dyDescent="0.2">
      <c r="B246" s="20"/>
    </row>
    <row r="247" spans="2:2" x14ac:dyDescent="0.2">
      <c r="B247" s="20"/>
    </row>
    <row r="248" spans="2:2" x14ac:dyDescent="0.2">
      <c r="B248" s="20"/>
    </row>
    <row r="249" spans="2:2" x14ac:dyDescent="0.2">
      <c r="B249" s="20"/>
    </row>
    <row r="250" spans="2:2" x14ac:dyDescent="0.2">
      <c r="B250" s="20"/>
    </row>
    <row r="251" spans="2:2" x14ac:dyDescent="0.2">
      <c r="B251" s="20"/>
    </row>
    <row r="252" spans="2:2" x14ac:dyDescent="0.2">
      <c r="B252" s="20"/>
    </row>
    <row r="253" spans="2:2" x14ac:dyDescent="0.2">
      <c r="B253" s="20"/>
    </row>
    <row r="254" spans="2:2" x14ac:dyDescent="0.2">
      <c r="B254" s="20"/>
    </row>
    <row r="255" spans="2:2" x14ac:dyDescent="0.2">
      <c r="B255" s="20"/>
    </row>
    <row r="256" spans="2:2" x14ac:dyDescent="0.2">
      <c r="B256" s="20"/>
    </row>
    <row r="257" spans="2:2" x14ac:dyDescent="0.2">
      <c r="B257" s="20"/>
    </row>
    <row r="258" spans="2:2" x14ac:dyDescent="0.2">
      <c r="B258" s="20"/>
    </row>
    <row r="259" spans="2:2" x14ac:dyDescent="0.2">
      <c r="B259" s="20"/>
    </row>
    <row r="260" spans="2:2" x14ac:dyDescent="0.2">
      <c r="B260" s="20"/>
    </row>
    <row r="261" spans="2:2" x14ac:dyDescent="0.2">
      <c r="B261" s="20"/>
    </row>
    <row r="262" spans="2:2" x14ac:dyDescent="0.2">
      <c r="B262" s="20"/>
    </row>
    <row r="263" spans="2:2" x14ac:dyDescent="0.2">
      <c r="B263" s="20"/>
    </row>
    <row r="264" spans="2:2" x14ac:dyDescent="0.2">
      <c r="B264" s="20"/>
    </row>
    <row r="265" spans="2:2" x14ac:dyDescent="0.2">
      <c r="B265" s="20"/>
    </row>
    <row r="266" spans="2:2" x14ac:dyDescent="0.2">
      <c r="B266" s="20"/>
    </row>
    <row r="267" spans="2:2" x14ac:dyDescent="0.2">
      <c r="B267" s="20"/>
    </row>
    <row r="268" spans="2:2" x14ac:dyDescent="0.2">
      <c r="B268" s="20"/>
    </row>
    <row r="269" spans="2:2" x14ac:dyDescent="0.2">
      <c r="B269" s="20"/>
    </row>
    <row r="270" spans="2:2" x14ac:dyDescent="0.2">
      <c r="B270" s="20"/>
    </row>
    <row r="271" spans="2:2" x14ac:dyDescent="0.2">
      <c r="B271" s="20"/>
    </row>
    <row r="272" spans="2:2" x14ac:dyDescent="0.2">
      <c r="B272" s="20"/>
    </row>
    <row r="273" spans="2:2" x14ac:dyDescent="0.2">
      <c r="B273" s="20"/>
    </row>
    <row r="274" spans="2:2" x14ac:dyDescent="0.2">
      <c r="B274" s="20"/>
    </row>
    <row r="275" spans="2:2" x14ac:dyDescent="0.2">
      <c r="B275" s="20"/>
    </row>
    <row r="276" spans="2:2" x14ac:dyDescent="0.2">
      <c r="B276" s="20"/>
    </row>
    <row r="277" spans="2:2" x14ac:dyDescent="0.2">
      <c r="B277" s="20"/>
    </row>
    <row r="278" spans="2:2" x14ac:dyDescent="0.2">
      <c r="B278" s="20"/>
    </row>
    <row r="279" spans="2:2" x14ac:dyDescent="0.2">
      <c r="B279" s="20"/>
    </row>
    <row r="280" spans="2:2" x14ac:dyDescent="0.2">
      <c r="B280" s="20"/>
    </row>
    <row r="281" spans="2:2" x14ac:dyDescent="0.2">
      <c r="B281" s="20"/>
    </row>
    <row r="282" spans="2:2" x14ac:dyDescent="0.2">
      <c r="B282" s="20"/>
    </row>
    <row r="283" spans="2:2" x14ac:dyDescent="0.2">
      <c r="B283" s="20"/>
    </row>
    <row r="284" spans="2:2" x14ac:dyDescent="0.2">
      <c r="B284" s="20"/>
    </row>
    <row r="285" spans="2:2" x14ac:dyDescent="0.2">
      <c r="B285" s="20"/>
    </row>
    <row r="286" spans="2:2" x14ac:dyDescent="0.2">
      <c r="B286" s="20"/>
    </row>
    <row r="287" spans="2:2" x14ac:dyDescent="0.2">
      <c r="B287" s="20"/>
    </row>
    <row r="288" spans="2:2" x14ac:dyDescent="0.2">
      <c r="B288" s="20"/>
    </row>
    <row r="289" spans="2:2" x14ac:dyDescent="0.2">
      <c r="B289" s="20"/>
    </row>
    <row r="290" spans="2:2" x14ac:dyDescent="0.2">
      <c r="B290" s="20"/>
    </row>
    <row r="291" spans="2:2" x14ac:dyDescent="0.2">
      <c r="B291" s="20"/>
    </row>
    <row r="292" spans="2:2" x14ac:dyDescent="0.2">
      <c r="B292" s="20"/>
    </row>
    <row r="293" spans="2:2" x14ac:dyDescent="0.2">
      <c r="B293" s="20"/>
    </row>
    <row r="294" spans="2:2" x14ac:dyDescent="0.2">
      <c r="B294" s="20"/>
    </row>
    <row r="295" spans="2:2" x14ac:dyDescent="0.2">
      <c r="B295" s="20"/>
    </row>
    <row r="296" spans="2:2" x14ac:dyDescent="0.2">
      <c r="B296" s="20"/>
    </row>
    <row r="297" spans="2:2" x14ac:dyDescent="0.2">
      <c r="B297" s="20"/>
    </row>
    <row r="298" spans="2:2" x14ac:dyDescent="0.2">
      <c r="B298" s="20"/>
    </row>
    <row r="299" spans="2:2" x14ac:dyDescent="0.2">
      <c r="B299" s="20"/>
    </row>
    <row r="300" spans="2:2" x14ac:dyDescent="0.2">
      <c r="B300" s="20"/>
    </row>
    <row r="301" spans="2:2" x14ac:dyDescent="0.2">
      <c r="B301" s="20"/>
    </row>
    <row r="302" spans="2:2" x14ac:dyDescent="0.2">
      <c r="B302" s="20"/>
    </row>
    <row r="303" spans="2:2" x14ac:dyDescent="0.2">
      <c r="B303" s="20"/>
    </row>
    <row r="304" spans="2:2" x14ac:dyDescent="0.2">
      <c r="B304" s="20"/>
    </row>
    <row r="305" spans="2:2" x14ac:dyDescent="0.2">
      <c r="B305" s="20"/>
    </row>
    <row r="306" spans="2:2" x14ac:dyDescent="0.2">
      <c r="B306" s="20"/>
    </row>
    <row r="307" spans="2:2" x14ac:dyDescent="0.2">
      <c r="B307" s="20"/>
    </row>
    <row r="308" spans="2:2" x14ac:dyDescent="0.2">
      <c r="B308" s="20"/>
    </row>
    <row r="309" spans="2:2" x14ac:dyDescent="0.2">
      <c r="B309" s="20"/>
    </row>
    <row r="310" spans="2:2" x14ac:dyDescent="0.2">
      <c r="B310" s="20"/>
    </row>
    <row r="311" spans="2:2" x14ac:dyDescent="0.2">
      <c r="B311" s="20"/>
    </row>
    <row r="312" spans="2:2" x14ac:dyDescent="0.2">
      <c r="B312" s="20"/>
    </row>
    <row r="313" spans="2:2" x14ac:dyDescent="0.2">
      <c r="B313" s="20"/>
    </row>
    <row r="314" spans="2:2" x14ac:dyDescent="0.2">
      <c r="B314" s="20"/>
    </row>
    <row r="315" spans="2:2" x14ac:dyDescent="0.2">
      <c r="B315" s="20"/>
    </row>
    <row r="316" spans="2:2" x14ac:dyDescent="0.2">
      <c r="B316" s="20"/>
    </row>
    <row r="317" spans="2:2" x14ac:dyDescent="0.2">
      <c r="B317" s="20"/>
    </row>
    <row r="318" spans="2:2" x14ac:dyDescent="0.2">
      <c r="B318" s="20"/>
    </row>
    <row r="319" spans="2:2" x14ac:dyDescent="0.2">
      <c r="B319" s="20"/>
    </row>
    <row r="320" spans="2:2" x14ac:dyDescent="0.2">
      <c r="B320" s="20"/>
    </row>
    <row r="321" spans="2:2" x14ac:dyDescent="0.2">
      <c r="B321" s="20"/>
    </row>
    <row r="322" spans="2:2" x14ac:dyDescent="0.2">
      <c r="B322" s="20"/>
    </row>
    <row r="323" spans="2:2" x14ac:dyDescent="0.2">
      <c r="B323" s="20"/>
    </row>
    <row r="324" spans="2:2" x14ac:dyDescent="0.2">
      <c r="B324" s="20"/>
    </row>
    <row r="325" spans="2:2" x14ac:dyDescent="0.2">
      <c r="B325" s="20"/>
    </row>
    <row r="326" spans="2:2" x14ac:dyDescent="0.2">
      <c r="B326" s="20"/>
    </row>
    <row r="327" spans="2:2" x14ac:dyDescent="0.2">
      <c r="B327" s="20"/>
    </row>
    <row r="328" spans="2:2" x14ac:dyDescent="0.2">
      <c r="B328" s="20"/>
    </row>
  </sheetData>
  <mergeCells count="3">
    <mergeCell ref="K8:L8"/>
    <mergeCell ref="K9:L9"/>
    <mergeCell ref="K10:L10"/>
  </mergeCells>
  <dataValidations count="2">
    <dataValidation type="list" allowBlank="1" showInputMessage="1" showErrorMessage="1" sqref="C1" xr:uid="{00000000-0002-0000-0600-000000000000}">
      <formula1>N_pct_mg</formula1>
    </dataValidation>
    <dataValidation type="list" allowBlank="1" showInputMessage="1" showErrorMessage="1" sqref="D1" xr:uid="{00000000-0002-0000-0600-000001000000}">
      <formula1>C_pct_mg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33" r:id="rId3" name="Button 13">
              <controlPr defaultSize="0" autoFill="0" autoPict="0" macro="[0]!get_data">
                <anchor moveWithCells="1" sizeWithCells="1">
                  <from>
                    <xdr:col>9</xdr:col>
                    <xdr:colOff>38100</xdr:colOff>
                    <xdr:row>1</xdr:row>
                    <xdr:rowOff>12700</xdr:rowOff>
                  </from>
                  <to>
                    <xdr:col>9</xdr:col>
                    <xdr:colOff>800100</xdr:colOff>
                    <xdr:row>3</xdr:row>
                    <xdr:rowOff>165100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Readme</vt:lpstr>
      <vt:lpstr>References</vt:lpstr>
      <vt:lpstr>TCD data</vt:lpstr>
      <vt:lpstr>Elemental analysis</vt:lpstr>
      <vt:lpstr>15N</vt:lpstr>
      <vt:lpstr>13C</vt:lpstr>
      <vt:lpstr>Summary</vt:lpstr>
      <vt:lpstr>C_pct_mg</vt:lpstr>
      <vt:lpstr>'13C'!Criteria</vt:lpstr>
      <vt:lpstr>'15N'!Criteria</vt:lpstr>
      <vt:lpstr>'Elemental analysis'!Criteria</vt:lpstr>
      <vt:lpstr>d13C</vt:lpstr>
      <vt:lpstr>d15N</vt:lpstr>
      <vt:lpstr>'13C'!Extract</vt:lpstr>
      <vt:lpstr>'15N'!Extract</vt:lpstr>
      <vt:lpstr>'Elemental analysis'!Extract</vt:lpstr>
      <vt:lpstr>Summary!Extract</vt:lpstr>
      <vt:lpstr>N_pct_mg</vt:lpstr>
      <vt:lpstr>Spirulina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PPE Isotope Lab</dc:creator>
  <cp:lastModifiedBy>Dan Nelson</cp:lastModifiedBy>
  <dcterms:created xsi:type="dcterms:W3CDTF">2015-11-18T13:51:57Z</dcterms:created>
  <dcterms:modified xsi:type="dcterms:W3CDTF">2021-02-26T08:42:12Z</dcterms:modified>
</cp:coreProperties>
</file>