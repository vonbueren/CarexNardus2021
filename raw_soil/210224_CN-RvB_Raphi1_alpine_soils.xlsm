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2" codeName="{6BE1CDB9-6C1C-A5B6-3FC1-E231EC3C600E}"/>
  <workbookPr updateLinks="never" codeName="ThisWorkbook"/>
  <mc:AlternateContent xmlns:mc="http://schemas.openxmlformats.org/markup-compatibility/2006">
    <mc:Choice Requires="x15">
      <x15ac:absPath xmlns:x15ac="http://schemas.microsoft.com/office/spreadsheetml/2010/11/ac" url="/Users/nelson/Google Drive/Lab/Data processing/Bulk 13C &amp; 15N/2021/210224_CN-RvB_Raphi1_alpine_soils/"/>
    </mc:Choice>
  </mc:AlternateContent>
  <xr:revisionPtr revIDLastSave="0" documentId="13_ncr:1_{B3D9E37E-1D49-F942-B4F2-2101C535C8AF}" xr6:coauthVersionLast="46" xr6:coauthVersionMax="46" xr10:uidLastSave="{00000000-0000-0000-0000-000000000000}"/>
  <bookViews>
    <workbookView xWindow="18500" yWindow="1160" windowWidth="43760" windowHeight="23980" tabRatio="566" activeTab="6" xr2:uid="{00000000-000D-0000-FFFF-FFFF00000000}"/>
  </bookViews>
  <sheets>
    <sheet name="Readme" sheetId="6" r:id="rId1"/>
    <sheet name="References" sheetId="7" r:id="rId2"/>
    <sheet name="TCD data" sheetId="1" r:id="rId3"/>
    <sheet name="Elemental analysis" sheetId="2" r:id="rId4"/>
    <sheet name="15N" sheetId="4" r:id="rId5"/>
    <sheet name="13C" sheetId="3" r:id="rId6"/>
    <sheet name="Summary" sheetId="5" r:id="rId7"/>
  </sheets>
  <externalReferences>
    <externalReference r:id="rId8"/>
  </externalReferences>
  <definedNames>
    <definedName name="_xlnm._FilterDatabase" localSheetId="5" hidden="1">'13C'!$A:$Z</definedName>
    <definedName name="_xlnm._FilterDatabase" localSheetId="4" hidden="1">'15N'!$A:$Y</definedName>
    <definedName name="_xlnm._FilterDatabase" localSheetId="3" hidden="1">'Elemental analysis'!$A$15:$A$38</definedName>
    <definedName name="_xlnm._FilterDatabase" localSheetId="2" hidden="1">'TCD data'!$A:$K</definedName>
    <definedName name="C_pct_mg">'Elemental analysis'!$AE$5:$AE$5</definedName>
    <definedName name="_xlnm.Criteria" localSheetId="5">'13C'!$BK$1:$BM$5</definedName>
    <definedName name="_xlnm.Criteria" localSheetId="4">'15N'!$BJ$1:$BL$5</definedName>
    <definedName name="_xlnm.Criteria" localSheetId="3">'Elemental analysis'!$Y$2:$Y$3</definedName>
    <definedName name="d13C">'13C'!$Y$1:$Z$1</definedName>
    <definedName name="d15N">'15N'!$X$1:$Y$1</definedName>
    <definedName name="_xlnm.Extract" localSheetId="5">'13C'!$BU$1:$BV$1</definedName>
    <definedName name="_xlnm.Extract" localSheetId="4">'15N'!$BT$1:$BU$1</definedName>
    <definedName name="_xlnm.Extract" localSheetId="3">'Elemental analysis'!$Y$5:$AD$5</definedName>
    <definedName name="_xlnm.Extract" localSheetId="6">Summary!$A$1:$B$1</definedName>
    <definedName name="N_pct_mg">'Elemental analysis'!$W$5:$X$5</definedName>
    <definedName name="ref_list">'Elemental analysis'!#REF!</definedName>
    <definedName name="Spirulina">refs[Standards]</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BW3" i="3" l="1"/>
  <c r="BW4" i="3"/>
  <c r="BW5" i="3"/>
  <c r="BW6" i="3"/>
  <c r="BW7" i="3"/>
  <c r="BW8" i="3"/>
  <c r="BW9" i="3"/>
  <c r="BW10" i="3"/>
  <c r="BW11" i="3"/>
  <c r="BW12" i="3"/>
  <c r="BW13" i="3"/>
  <c r="BW14" i="3"/>
  <c r="BW15" i="3"/>
  <c r="BW16" i="3"/>
  <c r="BW17" i="3"/>
  <c r="BW18" i="3"/>
  <c r="BW19" i="3"/>
  <c r="BW20" i="3"/>
  <c r="BW21" i="3"/>
  <c r="BW22" i="3"/>
  <c r="BW23" i="3"/>
  <c r="BW24" i="3"/>
  <c r="BW25" i="3"/>
  <c r="BW2" i="3"/>
  <c r="AB3" i="3"/>
  <c r="X3" i="3" s="1"/>
  <c r="X6" i="3"/>
  <c r="X10" i="3"/>
  <c r="X14" i="3"/>
  <c r="X18" i="3"/>
  <c r="X22" i="3"/>
  <c r="X26" i="3"/>
  <c r="X30" i="3"/>
  <c r="X34" i="3"/>
  <c r="X38" i="3"/>
  <c r="X42" i="3"/>
  <c r="X46" i="3"/>
  <c r="X50" i="3"/>
  <c r="X54" i="3"/>
  <c r="X58" i="3"/>
  <c r="X62" i="3"/>
  <c r="X66" i="3"/>
  <c r="X70" i="3"/>
  <c r="X74" i="3"/>
  <c r="X78" i="3"/>
  <c r="X82" i="3"/>
  <c r="X86" i="3"/>
  <c r="X90" i="3"/>
  <c r="X94" i="3"/>
  <c r="X98" i="3"/>
  <c r="X102" i="3"/>
  <c r="X106" i="3"/>
  <c r="X110" i="3"/>
  <c r="X114" i="3"/>
  <c r="X118" i="3"/>
  <c r="X122" i="3"/>
  <c r="X126" i="3"/>
  <c r="X127" i="3"/>
  <c r="Z127" i="3" s="1"/>
  <c r="X128" i="3"/>
  <c r="X129" i="3"/>
  <c r="X130" i="3"/>
  <c r="X131" i="3"/>
  <c r="X132" i="3"/>
  <c r="X133" i="3"/>
  <c r="Z133" i="3" s="1"/>
  <c r="X134" i="3"/>
  <c r="X135" i="3"/>
  <c r="X136" i="3"/>
  <c r="X137" i="3"/>
  <c r="Z137" i="3" s="1"/>
  <c r="X138" i="3"/>
  <c r="X139" i="3"/>
  <c r="Z139" i="3" s="1"/>
  <c r="X140" i="3"/>
  <c r="X141" i="3"/>
  <c r="X142" i="3"/>
  <c r="X143" i="3"/>
  <c r="X144" i="3"/>
  <c r="X145" i="3"/>
  <c r="Z145" i="3" s="1"/>
  <c r="X146" i="3"/>
  <c r="X147" i="3"/>
  <c r="X123" i="4"/>
  <c r="X124" i="4"/>
  <c r="X125" i="4"/>
  <c r="X126" i="4"/>
  <c r="X127" i="4"/>
  <c r="X128" i="4"/>
  <c r="X129" i="4"/>
  <c r="X130" i="4"/>
  <c r="X131" i="4"/>
  <c r="X132" i="4"/>
  <c r="X133" i="4"/>
  <c r="X134" i="4"/>
  <c r="X135" i="4"/>
  <c r="X136" i="4"/>
  <c r="X137" i="4"/>
  <c r="X138" i="4"/>
  <c r="X139" i="4"/>
  <c r="X140" i="4"/>
  <c r="X141" i="4"/>
  <c r="X142" i="4"/>
  <c r="X143" i="4"/>
  <c r="X144" i="4"/>
  <c r="X145" i="4"/>
  <c r="X146" i="4"/>
  <c r="X147" i="4"/>
  <c r="AA3" i="4"/>
  <c r="W10" i="4" s="1"/>
  <c r="W8" i="4"/>
  <c r="W15" i="4"/>
  <c r="W20" i="4"/>
  <c r="W27" i="4"/>
  <c r="W32" i="4"/>
  <c r="W39" i="4"/>
  <c r="W44" i="4"/>
  <c r="W51" i="4"/>
  <c r="W56" i="4"/>
  <c r="W63" i="4"/>
  <c r="W68" i="4"/>
  <c r="W75" i="4"/>
  <c r="W80" i="4"/>
  <c r="W87" i="4"/>
  <c r="W92" i="4"/>
  <c r="W99" i="4"/>
  <c r="W104" i="4"/>
  <c r="W111" i="4"/>
  <c r="W116" i="4"/>
  <c r="W123" i="4"/>
  <c r="W124" i="4"/>
  <c r="W125" i="4"/>
  <c r="W126" i="4"/>
  <c r="Y126" i="4" s="1"/>
  <c r="W127" i="4"/>
  <c r="W128" i="4"/>
  <c r="Y128" i="4" s="1"/>
  <c r="W129" i="4"/>
  <c r="W130" i="4"/>
  <c r="W131" i="4"/>
  <c r="W132" i="4"/>
  <c r="W133" i="4"/>
  <c r="W134" i="4"/>
  <c r="W135" i="4"/>
  <c r="W136" i="4"/>
  <c r="W137" i="4"/>
  <c r="W138" i="4"/>
  <c r="Y138" i="4" s="1"/>
  <c r="W139" i="4"/>
  <c r="W140" i="4"/>
  <c r="Y140" i="4" s="1"/>
  <c r="W141" i="4"/>
  <c r="W142" i="4"/>
  <c r="W143" i="4"/>
  <c r="W144" i="4"/>
  <c r="W145" i="4"/>
  <c r="W146" i="4"/>
  <c r="W147" i="4"/>
  <c r="BV3" i="4"/>
  <c r="BV4" i="4"/>
  <c r="BV5" i="4"/>
  <c r="BV6" i="4"/>
  <c r="BV7" i="4"/>
  <c r="BV8" i="4"/>
  <c r="BV9" i="4"/>
  <c r="BV10" i="4"/>
  <c r="BV11" i="4"/>
  <c r="BV12" i="4"/>
  <c r="BV13" i="4"/>
  <c r="BV14" i="4"/>
  <c r="BV15" i="4"/>
  <c r="BV16" i="4"/>
  <c r="BV17" i="4"/>
  <c r="BV18" i="4"/>
  <c r="BV19" i="4"/>
  <c r="BV20" i="4"/>
  <c r="BV21" i="4"/>
  <c r="BV22" i="4"/>
  <c r="BV23" i="4"/>
  <c r="BV24" i="4"/>
  <c r="BV25" i="4"/>
  <c r="BV2" i="4"/>
  <c r="V3" i="4"/>
  <c r="V4" i="4"/>
  <c r="V5" i="4"/>
  <c r="V6" i="4"/>
  <c r="V7" i="4"/>
  <c r="V8" i="4"/>
  <c r="V9" i="4"/>
  <c r="V10" i="4"/>
  <c r="V11" i="4"/>
  <c r="V12" i="4"/>
  <c r="V13" i="4"/>
  <c r="V14" i="4"/>
  <c r="V15" i="4"/>
  <c r="V16" i="4"/>
  <c r="V17" i="4"/>
  <c r="V18" i="4"/>
  <c r="V19" i="4"/>
  <c r="V20" i="4"/>
  <c r="V21" i="4"/>
  <c r="V22" i="4"/>
  <c r="V23" i="4"/>
  <c r="V24" i="4"/>
  <c r="V25" i="4"/>
  <c r="V26" i="4"/>
  <c r="V27" i="4"/>
  <c r="V28" i="4"/>
  <c r="V29" i="4"/>
  <c r="V30" i="4"/>
  <c r="V31" i="4"/>
  <c r="V32" i="4"/>
  <c r="V33" i="4"/>
  <c r="V34" i="4"/>
  <c r="V35" i="4"/>
  <c r="V36" i="4"/>
  <c r="V37" i="4"/>
  <c r="V38" i="4"/>
  <c r="V39" i="4"/>
  <c r="V40" i="4"/>
  <c r="V41" i="4"/>
  <c r="V42" i="4"/>
  <c r="V43" i="4"/>
  <c r="V44" i="4"/>
  <c r="V45" i="4"/>
  <c r="V46" i="4"/>
  <c r="V47" i="4"/>
  <c r="V48" i="4"/>
  <c r="V49" i="4"/>
  <c r="V50" i="4"/>
  <c r="V51" i="4"/>
  <c r="V52" i="4"/>
  <c r="V53" i="4"/>
  <c r="V54" i="4"/>
  <c r="V55" i="4"/>
  <c r="V56" i="4"/>
  <c r="V57" i="4"/>
  <c r="V58" i="4"/>
  <c r="V59" i="4"/>
  <c r="V60" i="4"/>
  <c r="V61" i="4"/>
  <c r="V62" i="4"/>
  <c r="V63" i="4"/>
  <c r="V64"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V118" i="4"/>
  <c r="V119" i="4"/>
  <c r="V120" i="4"/>
  <c r="V121" i="4"/>
  <c r="V122" i="4"/>
  <c r="V123" i="4"/>
  <c r="V124" i="4"/>
  <c r="V125" i="4"/>
  <c r="V126" i="4"/>
  <c r="V127" i="4"/>
  <c r="V128" i="4"/>
  <c r="V129" i="4"/>
  <c r="V130" i="4"/>
  <c r="V2" i="4"/>
  <c r="AM2" i="3"/>
  <c r="AY2" i="4"/>
  <c r="O7" i="2"/>
  <c r="O8" i="2"/>
  <c r="O9" i="2"/>
  <c r="O10" i="2"/>
  <c r="O11" i="2"/>
  <c r="O12" i="2"/>
  <c r="O13" i="2"/>
  <c r="O14" i="2"/>
  <c r="O6" i="2"/>
  <c r="G7" i="2"/>
  <c r="G8" i="2"/>
  <c r="G9" i="2"/>
  <c r="G10" i="2"/>
  <c r="G11" i="2"/>
  <c r="G12" i="2"/>
  <c r="G13" i="2"/>
  <c r="G14" i="2"/>
  <c r="G6" i="2"/>
  <c r="E2"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D98" i="5"/>
  <c r="E98" i="5"/>
  <c r="G98" i="5" s="1"/>
  <c r="D99" i="5"/>
  <c r="E99" i="5"/>
  <c r="D100" i="5"/>
  <c r="E100" i="5"/>
  <c r="D101" i="5"/>
  <c r="E101" i="5"/>
  <c r="D102" i="5"/>
  <c r="E102" i="5"/>
  <c r="G102" i="5" s="1"/>
  <c r="D103" i="5"/>
  <c r="E103" i="5"/>
  <c r="D104" i="5"/>
  <c r="E104" i="5"/>
  <c r="D105" i="5"/>
  <c r="E105" i="5"/>
  <c r="D106" i="5"/>
  <c r="E106" i="5"/>
  <c r="D107" i="5"/>
  <c r="E107" i="5"/>
  <c r="D108" i="5"/>
  <c r="E108" i="5"/>
  <c r="D109" i="5"/>
  <c r="E109" i="5"/>
  <c r="D110" i="5"/>
  <c r="E110" i="5"/>
  <c r="G110" i="5" s="1"/>
  <c r="D111" i="5"/>
  <c r="E111" i="5"/>
  <c r="D112" i="5"/>
  <c r="E112" i="5"/>
  <c r="C98" i="5"/>
  <c r="C99" i="5"/>
  <c r="F99" i="5" s="1"/>
  <c r="C100" i="5"/>
  <c r="C101" i="5"/>
  <c r="C102" i="5"/>
  <c r="F102" i="5" s="1"/>
  <c r="C103" i="5"/>
  <c r="F103" i="5" s="1"/>
  <c r="C104" i="5"/>
  <c r="C105" i="5"/>
  <c r="C106" i="5"/>
  <c r="C107" i="5"/>
  <c r="C108" i="5"/>
  <c r="C109" i="5"/>
  <c r="C110" i="5"/>
  <c r="C111" i="5"/>
  <c r="C112" i="5"/>
  <c r="G2" i="2"/>
  <c r="W12" i="2" s="1"/>
  <c r="C4" i="5" s="1"/>
  <c r="F4" i="5" s="1"/>
  <c r="O2" i="2"/>
  <c r="AE68" i="2" s="1"/>
  <c r="D59" i="5" s="1"/>
  <c r="W50" i="2"/>
  <c r="C42" i="5" s="1"/>
  <c r="F42" i="5" s="1"/>
  <c r="W51" i="2"/>
  <c r="C43" i="5" s="1"/>
  <c r="W52" i="2"/>
  <c r="C44" i="5" s="1"/>
  <c r="W53" i="2"/>
  <c r="C45" i="5" s="1"/>
  <c r="W54" i="2"/>
  <c r="C46" i="5" s="1"/>
  <c r="F46" i="5" s="1"/>
  <c r="W55" i="2"/>
  <c r="C47" i="5" s="1"/>
  <c r="W56" i="2"/>
  <c r="AE106" i="2"/>
  <c r="D97" i="5" s="1"/>
  <c r="AE107" i="2"/>
  <c r="AE108" i="2"/>
  <c r="AE109" i="2"/>
  <c r="AE110" i="2"/>
  <c r="AE111" i="2"/>
  <c r="H98" i="5"/>
  <c r="AE112" i="2"/>
  <c r="H99" i="5"/>
  <c r="H100" i="5"/>
  <c r="I100" i="5"/>
  <c r="H101" i="5"/>
  <c r="I101" i="5"/>
  <c r="H102" i="5"/>
  <c r="I102" i="5"/>
  <c r="H103" i="5"/>
  <c r="I103" i="5"/>
  <c r="H104" i="5"/>
  <c r="I104" i="5"/>
  <c r="P3" i="5"/>
  <c r="P4" i="5"/>
  <c r="P5" i="5"/>
  <c r="P6" i="5"/>
  <c r="P7" i="5"/>
  <c r="P2" i="5"/>
  <c r="M3" i="5"/>
  <c r="M4" i="5"/>
  <c r="M5" i="5"/>
  <c r="M6" i="5"/>
  <c r="M7" i="5"/>
  <c r="M2" i="5"/>
  <c r="L2" i="5"/>
  <c r="BF1" i="4"/>
  <c r="BF2" i="4"/>
  <c r="O2" i="5"/>
  <c r="O3" i="5"/>
  <c r="O4" i="5"/>
  <c r="O5" i="5"/>
  <c r="O6" i="5"/>
  <c r="O7" i="5"/>
  <c r="N3" i="5"/>
  <c r="N4" i="5"/>
  <c r="N5" i="5"/>
  <c r="N6" i="5"/>
  <c r="N7" i="5"/>
  <c r="N2" i="5"/>
  <c r="L3" i="5"/>
  <c r="L4" i="5"/>
  <c r="L5" i="5"/>
  <c r="L6" i="5"/>
  <c r="L7" i="5"/>
  <c r="K3" i="5"/>
  <c r="K4" i="5"/>
  <c r="K5" i="5"/>
  <c r="K6" i="5"/>
  <c r="K7" i="5"/>
  <c r="K2" i="5"/>
  <c r="BW5" i="4"/>
  <c r="BZ5" i="4" s="1"/>
  <c r="BW6" i="4"/>
  <c r="BX6" i="4" s="1"/>
  <c r="BW7" i="4"/>
  <c r="BW8" i="4"/>
  <c r="BX8" i="4" s="1"/>
  <c r="BW9" i="4"/>
  <c r="CA9" i="4"/>
  <c r="BW10" i="4"/>
  <c r="BX10" i="4" s="1"/>
  <c r="BW11" i="4"/>
  <c r="BW12" i="4"/>
  <c r="BZ12" i="4" s="1"/>
  <c r="BX12" i="4"/>
  <c r="BY12" i="4"/>
  <c r="CA12" i="4"/>
  <c r="BW13" i="4"/>
  <c r="BX13" i="4"/>
  <c r="CA13" i="4"/>
  <c r="BW14" i="4"/>
  <c r="BY14" i="4" s="1"/>
  <c r="CA14" i="4"/>
  <c r="BW15" i="4"/>
  <c r="BW16" i="4"/>
  <c r="BZ16" i="4" s="1"/>
  <c r="BX16" i="4"/>
  <c r="BY16" i="4"/>
  <c r="CA16" i="4"/>
  <c r="BW17" i="4"/>
  <c r="BY17" i="4"/>
  <c r="BW18" i="4"/>
  <c r="BX18" i="4" s="1"/>
  <c r="BW19" i="4"/>
  <c r="BY19" i="4" s="1"/>
  <c r="BW20" i="4"/>
  <c r="BX20" i="4" s="1"/>
  <c r="BW21" i="4"/>
  <c r="BX21" i="4"/>
  <c r="BY21" i="4"/>
  <c r="BZ21" i="4"/>
  <c r="CA21" i="4"/>
  <c r="BW22" i="4"/>
  <c r="BX22" i="4"/>
  <c r="BY22" i="4"/>
  <c r="BZ22" i="4"/>
  <c r="CA22" i="4"/>
  <c r="BW23" i="4"/>
  <c r="BX23" i="4"/>
  <c r="BY23" i="4"/>
  <c r="BZ23" i="4"/>
  <c r="CA23" i="4"/>
  <c r="BW24" i="4"/>
  <c r="BX24" i="4"/>
  <c r="BY24" i="4"/>
  <c r="BZ24" i="4"/>
  <c r="CA24" i="4"/>
  <c r="BW25" i="4"/>
  <c r="BX25" i="4"/>
  <c r="BY25" i="4"/>
  <c r="BZ25" i="4"/>
  <c r="CA25" i="4"/>
  <c r="BX8" i="3"/>
  <c r="BY8" i="3" s="1"/>
  <c r="BX9" i="3"/>
  <c r="BY9" i="3" s="1"/>
  <c r="BX10" i="3"/>
  <c r="BZ10" i="3"/>
  <c r="CA10" i="3"/>
  <c r="BX11" i="3"/>
  <c r="BY11" i="3" s="1"/>
  <c r="BZ11" i="3"/>
  <c r="CA11" i="3"/>
  <c r="CB11" i="3"/>
  <c r="BX12" i="3"/>
  <c r="CA12" i="3" s="1"/>
  <c r="BY12" i="3"/>
  <c r="BZ12" i="3"/>
  <c r="CB12" i="3"/>
  <c r="BX13" i="3"/>
  <c r="BY13" i="3" s="1"/>
  <c r="CB13" i="3"/>
  <c r="BX14" i="3"/>
  <c r="BY14" i="3" s="1"/>
  <c r="BX15" i="3"/>
  <c r="BY15" i="3" s="1"/>
  <c r="CB15" i="3"/>
  <c r="BX16" i="3"/>
  <c r="BY16" i="3"/>
  <c r="BZ16" i="3"/>
  <c r="CA16" i="3"/>
  <c r="CB16" i="3"/>
  <c r="BX17" i="3"/>
  <c r="BY17" i="3" s="1"/>
  <c r="CA17" i="3"/>
  <c r="CB17" i="3"/>
  <c r="BX18" i="3"/>
  <c r="BY18" i="3" s="1"/>
  <c r="CA18" i="3"/>
  <c r="CB18" i="3"/>
  <c r="BX19" i="3"/>
  <c r="BY19" i="3" s="1"/>
  <c r="BX20" i="3"/>
  <c r="BZ20" i="3" s="1"/>
  <c r="BY20" i="3"/>
  <c r="BX21" i="3"/>
  <c r="BY21" i="3" s="1"/>
  <c r="BX22" i="3"/>
  <c r="BY22" i="3" s="1"/>
  <c r="BX23" i="3"/>
  <c r="BY23" i="3" s="1"/>
  <c r="BX24" i="3"/>
  <c r="BY24" i="3"/>
  <c r="BZ24" i="3"/>
  <c r="CA24" i="3"/>
  <c r="CB24" i="3"/>
  <c r="BX25" i="3"/>
  <c r="BY25" i="3"/>
  <c r="BZ25" i="3"/>
  <c r="CA25" i="3"/>
  <c r="CB25" i="3"/>
  <c r="BX3" i="3"/>
  <c r="BY3" i="3" s="1"/>
  <c r="BX4" i="3"/>
  <c r="CB4" i="3" s="1"/>
  <c r="BY4" i="3"/>
  <c r="BX5" i="3"/>
  <c r="BZ5" i="3" s="1"/>
  <c r="BY5" i="3"/>
  <c r="CB5" i="3"/>
  <c r="BX6" i="3"/>
  <c r="BY6" i="3" s="1"/>
  <c r="BX7" i="3"/>
  <c r="BY7" i="3" s="1"/>
  <c r="CA7" i="3"/>
  <c r="BX2" i="3"/>
  <c r="CB2" i="3" s="1"/>
  <c r="BL5" i="3"/>
  <c r="BL4" i="3"/>
  <c r="BL3" i="3"/>
  <c r="BL2" i="3"/>
  <c r="BW2" i="4"/>
  <c r="CA2" i="4" s="1"/>
  <c r="BW3" i="4"/>
  <c r="BY3" i="4" s="1"/>
  <c r="BW4" i="4"/>
  <c r="BY4" i="4" s="1"/>
  <c r="BX3" i="4"/>
  <c r="BX4" i="4"/>
  <c r="BK5" i="4"/>
  <c r="BK4" i="4"/>
  <c r="BK3" i="4"/>
  <c r="BK2" i="4"/>
  <c r="Y126" i="3"/>
  <c r="Z126" i="3"/>
  <c r="Y127" i="3"/>
  <c r="Y128" i="3"/>
  <c r="Z128" i="3"/>
  <c r="Y129" i="3"/>
  <c r="Z129" i="3"/>
  <c r="Y130" i="3"/>
  <c r="Z130" i="3"/>
  <c r="Y131" i="3"/>
  <c r="Z131" i="3"/>
  <c r="Y132" i="3"/>
  <c r="Z132" i="3"/>
  <c r="Y133" i="3"/>
  <c r="Y134" i="3"/>
  <c r="Z134" i="3"/>
  <c r="Y135" i="3"/>
  <c r="Z135" i="3"/>
  <c r="Y136" i="3"/>
  <c r="Z136" i="3"/>
  <c r="Y137" i="3"/>
  <c r="Y138" i="3"/>
  <c r="Z138" i="3"/>
  <c r="Y139" i="3"/>
  <c r="Y140" i="3"/>
  <c r="Z140" i="3"/>
  <c r="Y141" i="3"/>
  <c r="Z141" i="3"/>
  <c r="Y142" i="3"/>
  <c r="Z142" i="3"/>
  <c r="Y143" i="3"/>
  <c r="Z143" i="3"/>
  <c r="Y144" i="3"/>
  <c r="Z144" i="3"/>
  <c r="Y145" i="3"/>
  <c r="Y146" i="3"/>
  <c r="Z146" i="3"/>
  <c r="Y147" i="3"/>
  <c r="Z147" i="3"/>
  <c r="AR3" i="3"/>
  <c r="AS3" i="3" s="1"/>
  <c r="AR2" i="3"/>
  <c r="AS2" i="3" s="1"/>
  <c r="AR4" i="3"/>
  <c r="AT4" i="3" s="1"/>
  <c r="AR5" i="3"/>
  <c r="AS5" i="3" s="1"/>
  <c r="AR6" i="3"/>
  <c r="AS6" i="3" s="1"/>
  <c r="AR7" i="3"/>
  <c r="AS7" i="3" s="1"/>
  <c r="AR8" i="3"/>
  <c r="AS8" i="3"/>
  <c r="AR9" i="3"/>
  <c r="AS9" i="3"/>
  <c r="AR10" i="3"/>
  <c r="AS10" i="3"/>
  <c r="AR11" i="3"/>
  <c r="AS11" i="3"/>
  <c r="AR12" i="3"/>
  <c r="AS12" i="3"/>
  <c r="AS13" i="3"/>
  <c r="AS14" i="3"/>
  <c r="AS15" i="3"/>
  <c r="AT7" i="3"/>
  <c r="AT8" i="3"/>
  <c r="AT9" i="3"/>
  <c r="AT10" i="3"/>
  <c r="AT11" i="3"/>
  <c r="AT12" i="3"/>
  <c r="AT13" i="3"/>
  <c r="AT14" i="3"/>
  <c r="AT15" i="3"/>
  <c r="BG1" i="3"/>
  <c r="BG2" i="3"/>
  <c r="H111" i="5"/>
  <c r="I111" i="5"/>
  <c r="H112" i="5"/>
  <c r="I112" i="5"/>
  <c r="Y131" i="4"/>
  <c r="Y132" i="4"/>
  <c r="Y133" i="4"/>
  <c r="Y134" i="4"/>
  <c r="Y135" i="4"/>
  <c r="Y136" i="4"/>
  <c r="Y137" i="4"/>
  <c r="Y139" i="4"/>
  <c r="Y141" i="4"/>
  <c r="Y142" i="4"/>
  <c r="Y143" i="4"/>
  <c r="Y144" i="4"/>
  <c r="Y145" i="4"/>
  <c r="Y146" i="4"/>
  <c r="Y147" i="4"/>
  <c r="W123" i="2"/>
  <c r="W124" i="2"/>
  <c r="W125" i="2"/>
  <c r="W126" i="2"/>
  <c r="W127" i="2"/>
  <c r="W128" i="2"/>
  <c r="W129" i="2"/>
  <c r="W130" i="2"/>
  <c r="W131" i="2"/>
  <c r="W132" i="2"/>
  <c r="W133" i="2"/>
  <c r="W134" i="2"/>
  <c r="W135" i="2"/>
  <c r="W136" i="2"/>
  <c r="W137" i="2"/>
  <c r="W138" i="2"/>
  <c r="W139" i="2"/>
  <c r="W140" i="2"/>
  <c r="AE126" i="2"/>
  <c r="AE127" i="2"/>
  <c r="AE128" i="2"/>
  <c r="AE129" i="2"/>
  <c r="AE130" i="2"/>
  <c r="AE131" i="2"/>
  <c r="AE132" i="2"/>
  <c r="AE133" i="2"/>
  <c r="AE134" i="2"/>
  <c r="AE135" i="2"/>
  <c r="AE136" i="2"/>
  <c r="AE137" i="2"/>
  <c r="AE138" i="2"/>
  <c r="AE139" i="2"/>
  <c r="AE140" i="2"/>
  <c r="AE120" i="2"/>
  <c r="AE121" i="2"/>
  <c r="AE122" i="2"/>
  <c r="AE123" i="2"/>
  <c r="AE124" i="2"/>
  <c r="AE125" i="2"/>
  <c r="W120" i="2"/>
  <c r="W121" i="2"/>
  <c r="W122" i="2"/>
  <c r="AZ2" i="3"/>
  <c r="AM3" i="3"/>
  <c r="Y3" i="2"/>
  <c r="Q3" i="2"/>
  <c r="AR13" i="3"/>
  <c r="AR14" i="3"/>
  <c r="AR15" i="3"/>
  <c r="AQ3" i="4"/>
  <c r="AQ4" i="4"/>
  <c r="AQ5" i="4"/>
  <c r="AQ6" i="4"/>
  <c r="AQ7" i="4"/>
  <c r="AQ8" i="4"/>
  <c r="AQ9" i="4"/>
  <c r="AQ10" i="4"/>
  <c r="AR10" i="4" s="1"/>
  <c r="AQ11" i="4"/>
  <c r="AQ12" i="4"/>
  <c r="AQ13" i="4"/>
  <c r="AQ14" i="4"/>
  <c r="AQ15" i="4"/>
  <c r="AQ16" i="4"/>
  <c r="AQ17" i="4"/>
  <c r="AQ18" i="4"/>
  <c r="AQ19" i="4"/>
  <c r="AQ20" i="4"/>
  <c r="AQ21" i="4"/>
  <c r="AQ2" i="4"/>
  <c r="AR2" i="4" s="1"/>
  <c r="H2" i="7"/>
  <c r="AE113" i="2"/>
  <c r="AE114" i="2"/>
  <c r="AE115" i="2"/>
  <c r="AE116" i="2"/>
  <c r="AE117" i="2"/>
  <c r="AE118" i="2"/>
  <c r="AE119" i="2"/>
  <c r="W102" i="2"/>
  <c r="C93" i="5" s="1"/>
  <c r="F93" i="5" s="1"/>
  <c r="W103" i="2"/>
  <c r="C94" i="5" s="1"/>
  <c r="F94" i="5" s="1"/>
  <c r="W104" i="2"/>
  <c r="C95" i="5" s="1"/>
  <c r="W105" i="2"/>
  <c r="C96" i="5" s="1"/>
  <c r="F96" i="5" s="1"/>
  <c r="W106" i="2"/>
  <c r="C97" i="5" s="1"/>
  <c r="F97" i="5" s="1"/>
  <c r="W107" i="2"/>
  <c r="W108" i="2"/>
  <c r="W109" i="2"/>
  <c r="W110" i="2"/>
  <c r="W111" i="2"/>
  <c r="W112" i="2"/>
  <c r="W113" i="2"/>
  <c r="W114" i="2"/>
  <c r="W115" i="2"/>
  <c r="W116" i="2"/>
  <c r="W117" i="2"/>
  <c r="W118" i="2"/>
  <c r="W119" i="2"/>
  <c r="W57" i="2"/>
  <c r="C48" i="5" s="1"/>
  <c r="W58" i="2"/>
  <c r="C49" i="5" s="1"/>
  <c r="F49" i="5" s="1"/>
  <c r="W59" i="2"/>
  <c r="C50" i="5" s="1"/>
  <c r="W60" i="2"/>
  <c r="C51" i="5" s="1"/>
  <c r="W61" i="2"/>
  <c r="C52" i="5" s="1"/>
  <c r="W62" i="2"/>
  <c r="C53" i="5" s="1"/>
  <c r="F53" i="5" s="1"/>
  <c r="W63" i="2"/>
  <c r="C54" i="5" s="1"/>
  <c r="W64" i="2"/>
  <c r="C55" i="5" s="1"/>
  <c r="F55" i="5" s="1"/>
  <c r="W65" i="2"/>
  <c r="C56" i="5" s="1"/>
  <c r="W66" i="2"/>
  <c r="C57" i="5" s="1"/>
  <c r="W67" i="2"/>
  <c r="C58" i="5" s="1"/>
  <c r="W68" i="2"/>
  <c r="C59" i="5" s="1"/>
  <c r="F59" i="5" s="1"/>
  <c r="W69" i="2"/>
  <c r="C60" i="5" s="1"/>
  <c r="W70" i="2"/>
  <c r="C61" i="5" s="1"/>
  <c r="W71" i="2"/>
  <c r="C62" i="5" s="1"/>
  <c r="F62" i="5" s="1"/>
  <c r="W72" i="2"/>
  <c r="C63" i="5" s="1"/>
  <c r="F63" i="5" s="1"/>
  <c r="W73" i="2"/>
  <c r="C64" i="5" s="1"/>
  <c r="W74" i="2"/>
  <c r="C65" i="5" s="1"/>
  <c r="W75" i="2"/>
  <c r="C66" i="5" s="1"/>
  <c r="W76" i="2"/>
  <c r="C67" i="5" s="1"/>
  <c r="F67" i="5" s="1"/>
  <c r="W77" i="2"/>
  <c r="C68" i="5" s="1"/>
  <c r="W78" i="2"/>
  <c r="C69" i="5" s="1"/>
  <c r="W79" i="2"/>
  <c r="C70" i="5" s="1"/>
  <c r="W80" i="2"/>
  <c r="C71" i="5" s="1"/>
  <c r="F71" i="5" s="1"/>
  <c r="W81" i="2"/>
  <c r="C72" i="5" s="1"/>
  <c r="W82" i="2"/>
  <c r="C73" i="5" s="1"/>
  <c r="W83" i="2"/>
  <c r="C74" i="5" s="1"/>
  <c r="W84" i="2"/>
  <c r="C75" i="5" s="1"/>
  <c r="F75" i="5" s="1"/>
  <c r="W85" i="2"/>
  <c r="C76" i="5" s="1"/>
  <c r="W86" i="2"/>
  <c r="C77" i="5" s="1"/>
  <c r="W87" i="2"/>
  <c r="C78" i="5" s="1"/>
  <c r="F78" i="5" s="1"/>
  <c r="W88" i="2"/>
  <c r="C79" i="5" s="1"/>
  <c r="F79" i="5" s="1"/>
  <c r="W89" i="2"/>
  <c r="C80" i="5" s="1"/>
  <c r="W90" i="2"/>
  <c r="C81" i="5" s="1"/>
  <c r="W91" i="2"/>
  <c r="C82" i="5" s="1"/>
  <c r="W92" i="2"/>
  <c r="C83" i="5" s="1"/>
  <c r="W93" i="2"/>
  <c r="C84" i="5" s="1"/>
  <c r="F84" i="5" s="1"/>
  <c r="W94" i="2"/>
  <c r="C85" i="5" s="1"/>
  <c r="F85" i="5" s="1"/>
  <c r="W95" i="2"/>
  <c r="C86" i="5" s="1"/>
  <c r="W96" i="2"/>
  <c r="C87" i="5" s="1"/>
  <c r="F87" i="5" s="1"/>
  <c r="W97" i="2"/>
  <c r="C88" i="5" s="1"/>
  <c r="F88" i="5" s="1"/>
  <c r="W98" i="2"/>
  <c r="C89" i="5" s="1"/>
  <c r="W99" i="2"/>
  <c r="C90" i="5" s="1"/>
  <c r="F90" i="5" s="1"/>
  <c r="W100" i="2"/>
  <c r="C91" i="5" s="1"/>
  <c r="F91" i="5" s="1"/>
  <c r="W101" i="2"/>
  <c r="C92" i="5" s="1"/>
  <c r="C3" i="2"/>
  <c r="I105" i="5"/>
  <c r="I106" i="5"/>
  <c r="I107" i="5"/>
  <c r="I108" i="5"/>
  <c r="I109" i="5"/>
  <c r="I110" i="5"/>
  <c r="H105" i="5"/>
  <c r="H106" i="5"/>
  <c r="H107" i="5"/>
  <c r="H108" i="5"/>
  <c r="H109" i="5"/>
  <c r="H110" i="5"/>
  <c r="AS3" i="4"/>
  <c r="AS4" i="4"/>
  <c r="AS5" i="4"/>
  <c r="AS6" i="4"/>
  <c r="AS7" i="4"/>
  <c r="AS8" i="4"/>
  <c r="AS9" i="4"/>
  <c r="AS11" i="4"/>
  <c r="AS12" i="4"/>
  <c r="AS13" i="4"/>
  <c r="AS14" i="4"/>
  <c r="AS15" i="4"/>
  <c r="AS16" i="4"/>
  <c r="AS17" i="4"/>
  <c r="AS18" i="4"/>
  <c r="AS19" i="4"/>
  <c r="AS20" i="4"/>
  <c r="AS21" i="4"/>
  <c r="AR3" i="4"/>
  <c r="AR4" i="4"/>
  <c r="AR5" i="4"/>
  <c r="AR6" i="4"/>
  <c r="AR7" i="4"/>
  <c r="AR8" i="4"/>
  <c r="AR9" i="4"/>
  <c r="AR11" i="4"/>
  <c r="AR12" i="4"/>
  <c r="AR13" i="4"/>
  <c r="AR14" i="4"/>
  <c r="AR15" i="4"/>
  <c r="AR16" i="4"/>
  <c r="AR17" i="4"/>
  <c r="AR18" i="4"/>
  <c r="AR19" i="4"/>
  <c r="AR20" i="4"/>
  <c r="AR21" i="4"/>
  <c r="Y123" i="4"/>
  <c r="Y124" i="4"/>
  <c r="Y125" i="4"/>
  <c r="Y127" i="4"/>
  <c r="Y129" i="4"/>
  <c r="Y130" i="4"/>
  <c r="AC2" i="3"/>
  <c r="AL3" i="4"/>
  <c r="AL2" i="4"/>
  <c r="AB2" i="4"/>
  <c r="K3" i="2"/>
  <c r="G3" i="2"/>
  <c r="O3" i="2"/>
  <c r="I99" i="5"/>
  <c r="I98" i="5"/>
  <c r="F106" i="5" l="1"/>
  <c r="F109" i="5"/>
  <c r="F105" i="5"/>
  <c r="F108" i="5"/>
  <c r="CB23" i="3"/>
  <c r="CB22" i="3"/>
  <c r="CA15" i="3"/>
  <c r="BX11" i="4"/>
  <c r="CA11" i="4"/>
  <c r="BX7" i="4"/>
  <c r="BY7" i="4"/>
  <c r="AT2" i="3"/>
  <c r="CB6" i="3"/>
  <c r="CA5" i="3"/>
  <c r="CA4" i="3"/>
  <c r="CA23" i="3"/>
  <c r="CA22" i="3"/>
  <c r="BZ15" i="3"/>
  <c r="BY10" i="3"/>
  <c r="CB10" i="3"/>
  <c r="BZ14" i="4"/>
  <c r="CA10" i="4"/>
  <c r="BX9" i="4"/>
  <c r="BY9" i="4"/>
  <c r="P8" i="5"/>
  <c r="P9" i="5" s="1"/>
  <c r="AU1" i="4"/>
  <c r="BX2" i="4"/>
  <c r="BZ2" i="4"/>
  <c r="CB7" i="3"/>
  <c r="CA6" i="3"/>
  <c r="BZ4" i="3"/>
  <c r="BZ23" i="3"/>
  <c r="BZ22" i="3"/>
  <c r="CA17" i="4"/>
  <c r="BZ17" i="4"/>
  <c r="BX14" i="4"/>
  <c r="BZ13" i="4"/>
  <c r="BY13" i="4"/>
  <c r="CA4" i="4"/>
  <c r="BY2" i="4"/>
  <c r="BX19" i="4"/>
  <c r="CA19" i="4"/>
  <c r="BY15" i="4"/>
  <c r="BX15" i="4"/>
  <c r="BY11" i="4"/>
  <c r="BZ10" i="4"/>
  <c r="BY10" i="4"/>
  <c r="CA7" i="4"/>
  <c r="CA5" i="4"/>
  <c r="BY5" i="4"/>
  <c r="W6" i="2"/>
  <c r="W48" i="2"/>
  <c r="C40" i="5" s="1"/>
  <c r="F40" i="5" s="1"/>
  <c r="W46" i="2"/>
  <c r="C38" i="5" s="1"/>
  <c r="F38" i="5" s="1"/>
  <c r="W44" i="2"/>
  <c r="C36" i="5" s="1"/>
  <c r="W42" i="2"/>
  <c r="C34" i="5" s="1"/>
  <c r="F34" i="5" s="1"/>
  <c r="W40" i="2"/>
  <c r="C32" i="5" s="1"/>
  <c r="F32" i="5" s="1"/>
  <c r="W38" i="2"/>
  <c r="C30" i="5" s="1"/>
  <c r="F30" i="5" s="1"/>
  <c r="W36" i="2"/>
  <c r="C28" i="5" s="1"/>
  <c r="F28" i="5" s="1"/>
  <c r="W31" i="2"/>
  <c r="C23" i="5" s="1"/>
  <c r="F23" i="5" s="1"/>
  <c r="W29" i="2"/>
  <c r="C21" i="5" s="1"/>
  <c r="W24" i="2"/>
  <c r="C16" i="5" s="1"/>
  <c r="F16" i="5" s="1"/>
  <c r="W22" i="2"/>
  <c r="C14" i="5" s="1"/>
  <c r="F14" i="5" s="1"/>
  <c r="W15" i="2"/>
  <c r="C7" i="5" s="1"/>
  <c r="W13" i="2"/>
  <c r="C5" i="5" s="1"/>
  <c r="F5" i="5" s="1"/>
  <c r="W9" i="2"/>
  <c r="W8" i="2"/>
  <c r="AE105" i="2"/>
  <c r="D96" i="5" s="1"/>
  <c r="AE101" i="2"/>
  <c r="D92" i="5" s="1"/>
  <c r="AE97" i="2"/>
  <c r="D88" i="5" s="1"/>
  <c r="AE93" i="2"/>
  <c r="D84" i="5" s="1"/>
  <c r="AE91" i="2"/>
  <c r="D82" i="5" s="1"/>
  <c r="AE87" i="2"/>
  <c r="D78" i="5" s="1"/>
  <c r="AE83" i="2"/>
  <c r="D74" i="5" s="1"/>
  <c r="AE79" i="2"/>
  <c r="D70" i="5" s="1"/>
  <c r="AE75" i="2"/>
  <c r="D66" i="5" s="1"/>
  <c r="M10" i="5"/>
  <c r="AE12" i="2"/>
  <c r="D4" i="5" s="1"/>
  <c r="AE16" i="2"/>
  <c r="D8" i="5" s="1"/>
  <c r="AE20" i="2"/>
  <c r="D12" i="5" s="1"/>
  <c r="AE24" i="2"/>
  <c r="D16" i="5" s="1"/>
  <c r="AE28" i="2"/>
  <c r="D20" i="5" s="1"/>
  <c r="AE32" i="2"/>
  <c r="D24" i="5" s="1"/>
  <c r="AE36" i="2"/>
  <c r="D28" i="5" s="1"/>
  <c r="AE40" i="2"/>
  <c r="D32" i="5" s="1"/>
  <c r="AE44" i="2"/>
  <c r="D36" i="5" s="1"/>
  <c r="AE48" i="2"/>
  <c r="D40" i="5" s="1"/>
  <c r="AE52" i="2"/>
  <c r="D44" i="5" s="1"/>
  <c r="AE56" i="2"/>
  <c r="AE60" i="2"/>
  <c r="D51" i="5" s="1"/>
  <c r="AE64" i="2"/>
  <c r="D55" i="5" s="1"/>
  <c r="AE11" i="2"/>
  <c r="D3" i="5" s="1"/>
  <c r="AE15" i="2"/>
  <c r="D7" i="5" s="1"/>
  <c r="AE19" i="2"/>
  <c r="D11" i="5" s="1"/>
  <c r="AE23" i="2"/>
  <c r="D15" i="5" s="1"/>
  <c r="AE27" i="2"/>
  <c r="D19" i="5" s="1"/>
  <c r="AE31" i="2"/>
  <c r="D23" i="5" s="1"/>
  <c r="AE35" i="2"/>
  <c r="D27" i="5" s="1"/>
  <c r="AE39" i="2"/>
  <c r="D31" i="5" s="1"/>
  <c r="AE43" i="2"/>
  <c r="D35" i="5" s="1"/>
  <c r="AE47" i="2"/>
  <c r="D39" i="5" s="1"/>
  <c r="AE51" i="2"/>
  <c r="D43" i="5" s="1"/>
  <c r="AE55" i="2"/>
  <c r="D47" i="5" s="1"/>
  <c r="AE59" i="2"/>
  <c r="D50" i="5" s="1"/>
  <c r="AE63" i="2"/>
  <c r="D54" i="5" s="1"/>
  <c r="AE67" i="2"/>
  <c r="D58" i="5" s="1"/>
  <c r="AE8" i="2"/>
  <c r="AE10" i="2"/>
  <c r="D2" i="5" s="1"/>
  <c r="AE14" i="2"/>
  <c r="D6" i="5" s="1"/>
  <c r="AE18" i="2"/>
  <c r="D10" i="5" s="1"/>
  <c r="AE22" i="2"/>
  <c r="D14" i="5" s="1"/>
  <c r="AE26" i="2"/>
  <c r="D18" i="5" s="1"/>
  <c r="AE30" i="2"/>
  <c r="D22" i="5" s="1"/>
  <c r="AE34" i="2"/>
  <c r="D26" i="5" s="1"/>
  <c r="AE38" i="2"/>
  <c r="D30" i="5" s="1"/>
  <c r="AE42" i="2"/>
  <c r="D34" i="5" s="1"/>
  <c r="AE46" i="2"/>
  <c r="D38" i="5" s="1"/>
  <c r="AE50" i="2"/>
  <c r="D42" i="5" s="1"/>
  <c r="AE54" i="2"/>
  <c r="D46" i="5" s="1"/>
  <c r="AE58" i="2"/>
  <c r="D49" i="5" s="1"/>
  <c r="AE62" i="2"/>
  <c r="D53" i="5" s="1"/>
  <c r="AE66" i="2"/>
  <c r="D57" i="5" s="1"/>
  <c r="AE70" i="2"/>
  <c r="D61" i="5" s="1"/>
  <c r="AE7" i="2"/>
  <c r="AE9" i="2"/>
  <c r="AE13" i="2"/>
  <c r="D5" i="5" s="1"/>
  <c r="AE17" i="2"/>
  <c r="D9" i="5" s="1"/>
  <c r="AE21" i="2"/>
  <c r="D13" i="5" s="1"/>
  <c r="AE25" i="2"/>
  <c r="D17" i="5" s="1"/>
  <c r="AE29" i="2"/>
  <c r="D21" i="5" s="1"/>
  <c r="AE33" i="2"/>
  <c r="D25" i="5" s="1"/>
  <c r="AE37" i="2"/>
  <c r="D29" i="5" s="1"/>
  <c r="AE41" i="2"/>
  <c r="D33" i="5" s="1"/>
  <c r="AE45" i="2"/>
  <c r="D37" i="5" s="1"/>
  <c r="AE49" i="2"/>
  <c r="D41" i="5" s="1"/>
  <c r="AE53" i="2"/>
  <c r="D45" i="5" s="1"/>
  <c r="AE57" i="2"/>
  <c r="D48" i="5" s="1"/>
  <c r="AE61" i="2"/>
  <c r="D52" i="5" s="1"/>
  <c r="AE65" i="2"/>
  <c r="D56" i="5" s="1"/>
  <c r="AE69" i="2"/>
  <c r="D60" i="5" s="1"/>
  <c r="W34" i="2"/>
  <c r="C26" i="5" s="1"/>
  <c r="F26" i="5" s="1"/>
  <c r="W27" i="2"/>
  <c r="C19" i="5" s="1"/>
  <c r="W25" i="2"/>
  <c r="C17" i="5" s="1"/>
  <c r="F17" i="5" s="1"/>
  <c r="W20" i="2"/>
  <c r="C12" i="5" s="1"/>
  <c r="F12" i="5" s="1"/>
  <c r="W18" i="2"/>
  <c r="C10" i="5" s="1"/>
  <c r="F10" i="5" s="1"/>
  <c r="W11" i="2"/>
  <c r="C3" i="5" s="1"/>
  <c r="W10" i="2"/>
  <c r="C2" i="5" s="1"/>
  <c r="F2" i="5" s="1"/>
  <c r="AE6" i="2"/>
  <c r="G109" i="5"/>
  <c r="G103" i="5"/>
  <c r="AE102" i="2"/>
  <c r="D93" i="5" s="1"/>
  <c r="AE98" i="2"/>
  <c r="D89" i="5" s="1"/>
  <c r="AE94" i="2"/>
  <c r="D85" i="5" s="1"/>
  <c r="AE88" i="2"/>
  <c r="D79" i="5" s="1"/>
  <c r="AE84" i="2"/>
  <c r="D75" i="5" s="1"/>
  <c r="AE80" i="2"/>
  <c r="D71" i="5" s="1"/>
  <c r="AE76" i="2"/>
  <c r="D67" i="5" s="1"/>
  <c r="AE72" i="2"/>
  <c r="D63" i="5" s="1"/>
  <c r="W49" i="2"/>
  <c r="C41" i="5" s="1"/>
  <c r="F41" i="5" s="1"/>
  <c r="W47" i="2"/>
  <c r="C39" i="5" s="1"/>
  <c r="W45" i="2"/>
  <c r="C37" i="5" s="1"/>
  <c r="W43" i="2"/>
  <c r="C35" i="5" s="1"/>
  <c r="F35" i="5" s="1"/>
  <c r="W41" i="2"/>
  <c r="C33" i="5" s="1"/>
  <c r="W39" i="2"/>
  <c r="C31" i="5" s="1"/>
  <c r="W37" i="2"/>
  <c r="C29" i="5" s="1"/>
  <c r="F29" i="5" s="1"/>
  <c r="W32" i="2"/>
  <c r="C24" i="5" s="1"/>
  <c r="F24" i="5" s="1"/>
  <c r="W30" i="2"/>
  <c r="C22" i="5" s="1"/>
  <c r="F22" i="5" s="1"/>
  <c r="W23" i="2"/>
  <c r="C15" i="5" s="1"/>
  <c r="W21" i="2"/>
  <c r="C13" i="5" s="1"/>
  <c r="W16" i="2"/>
  <c r="C8" i="5" s="1"/>
  <c r="F8" i="5" s="1"/>
  <c r="W14" i="2"/>
  <c r="C6" i="5" s="1"/>
  <c r="F6" i="5" s="1"/>
  <c r="W7" i="2"/>
  <c r="AE103" i="2"/>
  <c r="D94" i="5" s="1"/>
  <c r="AE99" i="2"/>
  <c r="D90" i="5" s="1"/>
  <c r="AE95" i="2"/>
  <c r="D86" i="5" s="1"/>
  <c r="AE89" i="2"/>
  <c r="D80" i="5" s="1"/>
  <c r="AE85" i="2"/>
  <c r="D76" i="5" s="1"/>
  <c r="AE81" i="2"/>
  <c r="D72" i="5" s="1"/>
  <c r="AE77" i="2"/>
  <c r="D68" i="5" s="1"/>
  <c r="AE73" i="2"/>
  <c r="D64" i="5" s="1"/>
  <c r="W35" i="2"/>
  <c r="C27" i="5" s="1"/>
  <c r="W33" i="2"/>
  <c r="C25" i="5" s="1"/>
  <c r="W28" i="2"/>
  <c r="C20" i="5" s="1"/>
  <c r="F20" i="5" s="1"/>
  <c r="W26" i="2"/>
  <c r="C18" i="5" s="1"/>
  <c r="F18" i="5" s="1"/>
  <c r="W19" i="2"/>
  <c r="C11" i="5" s="1"/>
  <c r="F11" i="5" s="1"/>
  <c r="W17" i="2"/>
  <c r="C9" i="5" s="1"/>
  <c r="G112" i="5"/>
  <c r="G100" i="5"/>
  <c r="AE104" i="2"/>
  <c r="D95" i="5" s="1"/>
  <c r="AE100" i="2"/>
  <c r="D91" i="5" s="1"/>
  <c r="AE96" i="2"/>
  <c r="D87" i="5" s="1"/>
  <c r="AE92" i="2"/>
  <c r="D83" i="5" s="1"/>
  <c r="AE90" i="2"/>
  <c r="D81" i="5" s="1"/>
  <c r="AE86" i="2"/>
  <c r="D77" i="5" s="1"/>
  <c r="AE82" i="2"/>
  <c r="D73" i="5" s="1"/>
  <c r="AE78" i="2"/>
  <c r="D69" i="5" s="1"/>
  <c r="AE74" i="2"/>
  <c r="D65" i="5" s="1"/>
  <c r="AE71" i="2"/>
  <c r="D62" i="5" s="1"/>
  <c r="W122" i="4"/>
  <c r="W115" i="4"/>
  <c r="W110" i="4"/>
  <c r="W103" i="4"/>
  <c r="W98" i="4"/>
  <c r="W91" i="4"/>
  <c r="W86" i="4"/>
  <c r="W79" i="4"/>
  <c r="W74" i="4"/>
  <c r="W67" i="4"/>
  <c r="W62" i="4"/>
  <c r="W55" i="4"/>
  <c r="W50" i="4"/>
  <c r="W43" i="4"/>
  <c r="W38" i="4"/>
  <c r="W31" i="4"/>
  <c r="W26" i="4"/>
  <c r="W19" i="4"/>
  <c r="W14" i="4"/>
  <c r="W7" i="4"/>
  <c r="X125" i="3"/>
  <c r="X121" i="3"/>
  <c r="X117" i="3"/>
  <c r="X113" i="3"/>
  <c r="X109" i="3"/>
  <c r="X105" i="3"/>
  <c r="X101" i="3"/>
  <c r="X97" i="3"/>
  <c r="X93" i="3"/>
  <c r="X89" i="3"/>
  <c r="X85" i="3"/>
  <c r="X81" i="3"/>
  <c r="X77" i="3"/>
  <c r="X73" i="3"/>
  <c r="X69" i="3"/>
  <c r="X65" i="3"/>
  <c r="X61" i="3"/>
  <c r="X57" i="3"/>
  <c r="X53" i="3"/>
  <c r="X49" i="3"/>
  <c r="X45" i="3"/>
  <c r="X41" i="3"/>
  <c r="X37" i="3"/>
  <c r="X33" i="3"/>
  <c r="X29" i="3"/>
  <c r="X25" i="3"/>
  <c r="X21" i="3"/>
  <c r="X17" i="3"/>
  <c r="X13" i="3"/>
  <c r="X9" i="3"/>
  <c r="X5" i="3"/>
  <c r="W120" i="4"/>
  <c r="W114" i="4"/>
  <c r="W108" i="4"/>
  <c r="W102" i="4"/>
  <c r="W96" i="4"/>
  <c r="W90" i="4"/>
  <c r="W84" i="4"/>
  <c r="W78" i="4"/>
  <c r="W72" i="4"/>
  <c r="W66" i="4"/>
  <c r="W60" i="4"/>
  <c r="W54" i="4"/>
  <c r="W48" i="4"/>
  <c r="W42" i="4"/>
  <c r="W36" i="4"/>
  <c r="W30" i="4"/>
  <c r="W24" i="4"/>
  <c r="W18" i="4"/>
  <c r="W12" i="4"/>
  <c r="W6" i="4"/>
  <c r="X2" i="3"/>
  <c r="X124" i="3"/>
  <c r="X120" i="3"/>
  <c r="X116" i="3"/>
  <c r="X112" i="3"/>
  <c r="X108" i="3"/>
  <c r="X104" i="3"/>
  <c r="X100" i="3"/>
  <c r="X96" i="3"/>
  <c r="X92" i="3"/>
  <c r="X88" i="3"/>
  <c r="X84" i="3"/>
  <c r="X80" i="3"/>
  <c r="X76" i="3"/>
  <c r="X72" i="3"/>
  <c r="X68" i="3"/>
  <c r="X64" i="3"/>
  <c r="X60" i="3"/>
  <c r="X56" i="3"/>
  <c r="X52" i="3"/>
  <c r="X48" i="3"/>
  <c r="X44" i="3"/>
  <c r="X40" i="3"/>
  <c r="X36" i="3"/>
  <c r="X32" i="3"/>
  <c r="X28" i="3"/>
  <c r="X24" i="3"/>
  <c r="X20" i="3"/>
  <c r="X16" i="3"/>
  <c r="X12" i="3"/>
  <c r="X8" i="3"/>
  <c r="X4" i="3"/>
  <c r="W2" i="4"/>
  <c r="W117" i="4"/>
  <c r="W112" i="4"/>
  <c r="W105" i="4"/>
  <c r="W100" i="4"/>
  <c r="W93" i="4"/>
  <c r="W88" i="4"/>
  <c r="W81" i="4"/>
  <c r="W76" i="4"/>
  <c r="W69" i="4"/>
  <c r="W64" i="4"/>
  <c r="W57" i="4"/>
  <c r="W52" i="4"/>
  <c r="W45" i="4"/>
  <c r="W40" i="4"/>
  <c r="W33" i="4"/>
  <c r="W28" i="4"/>
  <c r="W21" i="4"/>
  <c r="W16" i="4"/>
  <c r="W9" i="4"/>
  <c r="W3" i="4"/>
  <c r="X123" i="3"/>
  <c r="X119" i="3"/>
  <c r="X115" i="3"/>
  <c r="X111" i="3"/>
  <c r="X107" i="3"/>
  <c r="X103" i="3"/>
  <c r="X99" i="3"/>
  <c r="X95" i="3"/>
  <c r="X91" i="3"/>
  <c r="X87" i="3"/>
  <c r="X83" i="3"/>
  <c r="X79" i="3"/>
  <c r="X75" i="3"/>
  <c r="X71" i="3"/>
  <c r="X67" i="3"/>
  <c r="X63" i="3"/>
  <c r="X59" i="3"/>
  <c r="X55" i="3"/>
  <c r="X51" i="3"/>
  <c r="X47" i="3"/>
  <c r="X43" i="3"/>
  <c r="X39" i="3"/>
  <c r="X35" i="3"/>
  <c r="X31" i="3"/>
  <c r="X27" i="3"/>
  <c r="X23" i="3"/>
  <c r="X19" i="3"/>
  <c r="X15" i="3"/>
  <c r="X11" i="3"/>
  <c r="X7" i="3"/>
  <c r="F82" i="5"/>
  <c r="F66" i="5"/>
  <c r="F43" i="5"/>
  <c r="F31" i="5"/>
  <c r="F19" i="5"/>
  <c r="F7" i="5"/>
  <c r="F110" i="5"/>
  <c r="F70" i="5"/>
  <c r="F50" i="5"/>
  <c r="F39" i="5"/>
  <c r="F27" i="5"/>
  <c r="F15" i="5"/>
  <c r="F3" i="5"/>
  <c r="F74" i="5"/>
  <c r="F58" i="5"/>
  <c r="F36" i="5"/>
  <c r="BZ7" i="3"/>
  <c r="CB20" i="3"/>
  <c r="BZ18" i="3"/>
  <c r="CA13" i="3"/>
  <c r="CB8" i="3"/>
  <c r="CA20" i="3"/>
  <c r="BZ13" i="3"/>
  <c r="CA8" i="3"/>
  <c r="BZ8" i="3"/>
  <c r="BY2" i="3"/>
  <c r="BZ6" i="3"/>
  <c r="CB19" i="3"/>
  <c r="BZ17" i="3"/>
  <c r="BZ2" i="3"/>
  <c r="CB3" i="3"/>
  <c r="CA19" i="3"/>
  <c r="CB14" i="3"/>
  <c r="CA2" i="3"/>
  <c r="CA3" i="3"/>
  <c r="CA14" i="3"/>
  <c r="CB9" i="3"/>
  <c r="CB21" i="3"/>
  <c r="BZ19" i="3"/>
  <c r="BZ3" i="3"/>
  <c r="CA21" i="3"/>
  <c r="BZ14" i="3"/>
  <c r="CA9" i="3"/>
  <c r="BZ21" i="3"/>
  <c r="BZ9" i="3"/>
  <c r="P10" i="5"/>
  <c r="AU1" i="3"/>
  <c r="AT6" i="3"/>
  <c r="AS4" i="3"/>
  <c r="AV1" i="3" s="1"/>
  <c r="AT5" i="3"/>
  <c r="AT3" i="3"/>
  <c r="BZ19" i="4"/>
  <c r="BX17" i="4"/>
  <c r="BZ7" i="4"/>
  <c r="BX5" i="4"/>
  <c r="BZ4" i="4"/>
  <c r="BZ9" i="4"/>
  <c r="CA18" i="4"/>
  <c r="BZ11" i="4"/>
  <c r="CA6" i="4"/>
  <c r="CA3" i="4"/>
  <c r="BZ18" i="4"/>
  <c r="BZ6" i="4"/>
  <c r="BZ3" i="4"/>
  <c r="CA20" i="4"/>
  <c r="BY18" i="4"/>
  <c r="CA8" i="4"/>
  <c r="BY6" i="4"/>
  <c r="BZ20" i="4"/>
  <c r="CA15" i="4"/>
  <c r="BZ8" i="4"/>
  <c r="BY20" i="4"/>
  <c r="BZ15" i="4"/>
  <c r="BY8" i="4"/>
  <c r="M8" i="5"/>
  <c r="M9" i="5" s="1"/>
  <c r="AS2" i="4"/>
  <c r="AS10" i="4"/>
  <c r="AT1" i="4"/>
  <c r="AT2" i="4"/>
  <c r="W113" i="4"/>
  <c r="W101" i="4"/>
  <c r="W89" i="4"/>
  <c r="W77" i="4"/>
  <c r="W65" i="4"/>
  <c r="W53" i="4"/>
  <c r="W41" i="4"/>
  <c r="W29" i="4"/>
  <c r="W17" i="4"/>
  <c r="W5" i="4"/>
  <c r="W4" i="4"/>
  <c r="W121" i="4"/>
  <c r="W109" i="4"/>
  <c r="W97" i="4"/>
  <c r="W85" i="4"/>
  <c r="W73" i="4"/>
  <c r="W61" i="4"/>
  <c r="W49" i="4"/>
  <c r="W37" i="4"/>
  <c r="W25" i="4"/>
  <c r="W13" i="4"/>
  <c r="W119" i="4"/>
  <c r="W107" i="4"/>
  <c r="W95" i="4"/>
  <c r="W83" i="4"/>
  <c r="W71" i="4"/>
  <c r="W59" i="4"/>
  <c r="W47" i="4"/>
  <c r="W35" i="4"/>
  <c r="W23" i="4"/>
  <c r="W11" i="4"/>
  <c r="W118" i="4"/>
  <c r="W106" i="4"/>
  <c r="W94" i="4"/>
  <c r="W82" i="4"/>
  <c r="W70" i="4"/>
  <c r="W58" i="4"/>
  <c r="W46" i="4"/>
  <c r="W34" i="4"/>
  <c r="W22" i="4"/>
  <c r="F98" i="5"/>
  <c r="F80" i="5"/>
  <c r="F64" i="5"/>
  <c r="G107" i="5"/>
  <c r="G80" i="5"/>
  <c r="G76" i="5"/>
  <c r="G72" i="5"/>
  <c r="G68" i="5"/>
  <c r="G64" i="5"/>
  <c r="G60" i="5"/>
  <c r="G56" i="5"/>
  <c r="G52" i="5"/>
  <c r="G48" i="5"/>
  <c r="G45" i="5"/>
  <c r="G41" i="5"/>
  <c r="G37" i="5"/>
  <c r="G33" i="5"/>
  <c r="G29" i="5"/>
  <c r="G25" i="5"/>
  <c r="G21" i="5"/>
  <c r="G17" i="5"/>
  <c r="G13" i="5"/>
  <c r="G9" i="5"/>
  <c r="G5" i="5"/>
  <c r="G101" i="5"/>
  <c r="F92" i="5"/>
  <c r="F86" i="5"/>
  <c r="F69" i="5"/>
  <c r="F48" i="5"/>
  <c r="G106" i="5"/>
  <c r="G96" i="5"/>
  <c r="G92" i="5"/>
  <c r="G88" i="5"/>
  <c r="G84" i="5"/>
  <c r="G79" i="5"/>
  <c r="G75" i="5"/>
  <c r="G71" i="5"/>
  <c r="G67" i="5"/>
  <c r="G63" i="5"/>
  <c r="G59" i="5"/>
  <c r="G55" i="5"/>
  <c r="G51" i="5"/>
  <c r="G44" i="5"/>
  <c r="G40" i="5"/>
  <c r="G36" i="5"/>
  <c r="G32" i="5"/>
  <c r="G28" i="5"/>
  <c r="G24" i="5"/>
  <c r="G20" i="5"/>
  <c r="G16" i="5"/>
  <c r="G12" i="5"/>
  <c r="G8" i="5"/>
  <c r="G4" i="5"/>
  <c r="F107" i="5"/>
  <c r="F68" i="5"/>
  <c r="F37" i="5"/>
  <c r="F25" i="5"/>
  <c r="F13" i="5"/>
  <c r="F73" i="5"/>
  <c r="F57" i="5"/>
  <c r="F47" i="5"/>
  <c r="G111" i="5"/>
  <c r="G105" i="5"/>
  <c r="G99" i="5"/>
  <c r="G95" i="5"/>
  <c r="G91" i="5"/>
  <c r="G87" i="5"/>
  <c r="G83" i="5"/>
  <c r="F56" i="5"/>
  <c r="F72" i="5"/>
  <c r="G104" i="5"/>
  <c r="G82" i="5"/>
  <c r="G78" i="5"/>
  <c r="G74" i="5"/>
  <c r="G70" i="5"/>
  <c r="G66" i="5"/>
  <c r="G62" i="5"/>
  <c r="G58" i="5"/>
  <c r="G54" i="5"/>
  <c r="G50" i="5"/>
  <c r="G47" i="5"/>
  <c r="G43" i="5"/>
  <c r="G39" i="5"/>
  <c r="G35" i="5"/>
  <c r="G31" i="5"/>
  <c r="G27" i="5"/>
  <c r="G23" i="5"/>
  <c r="G19" i="5"/>
  <c r="G15" i="5"/>
  <c r="G11" i="5"/>
  <c r="G7" i="5"/>
  <c r="G3" i="5"/>
  <c r="F45" i="5"/>
  <c r="F95" i="5"/>
  <c r="F89" i="5"/>
  <c r="F83" i="5"/>
  <c r="F77" i="5"/>
  <c r="F61" i="5"/>
  <c r="F54" i="5"/>
  <c r="F44" i="5"/>
  <c r="F33" i="5"/>
  <c r="F21" i="5"/>
  <c r="F9" i="5"/>
  <c r="G94" i="5"/>
  <c r="G90" i="5"/>
  <c r="G86" i="5"/>
  <c r="F101" i="5"/>
  <c r="F60" i="5"/>
  <c r="F52" i="5"/>
  <c r="G81" i="5"/>
  <c r="G77" i="5"/>
  <c r="G73" i="5"/>
  <c r="G69" i="5"/>
  <c r="G65" i="5"/>
  <c r="G61" i="5"/>
  <c r="G57" i="5"/>
  <c r="G53" i="5"/>
  <c r="G49" i="5"/>
  <c r="G46" i="5"/>
  <c r="G42" i="5"/>
  <c r="G38" i="5"/>
  <c r="G34" i="5"/>
  <c r="G30" i="5"/>
  <c r="G26" i="5"/>
  <c r="G22" i="5"/>
  <c r="G18" i="5"/>
  <c r="G14" i="5"/>
  <c r="G10" i="5"/>
  <c r="G6" i="5"/>
  <c r="G2" i="5"/>
  <c r="F76" i="5"/>
  <c r="F111" i="5"/>
  <c r="F81" i="5"/>
  <c r="F65" i="5"/>
  <c r="F51" i="5"/>
  <c r="G108" i="5"/>
  <c r="G97" i="5"/>
  <c r="G93" i="5"/>
  <c r="G89" i="5"/>
  <c r="G85" i="5"/>
  <c r="F112" i="5"/>
  <c r="F100" i="5"/>
  <c r="F104" i="5"/>
  <c r="AU2" i="3" l="1"/>
  <c r="Z26" i="3" s="1"/>
  <c r="I17" i="5" s="1"/>
  <c r="Y115" i="3"/>
  <c r="Y60" i="3"/>
  <c r="Y72" i="3"/>
  <c r="Y84" i="3"/>
  <c r="Y96" i="3"/>
  <c r="Y108" i="3"/>
  <c r="Y34" i="3"/>
  <c r="Y47" i="3"/>
  <c r="Y20" i="3"/>
  <c r="Y57" i="3"/>
  <c r="Y5" i="3"/>
  <c r="Y125" i="3"/>
  <c r="Y85" i="3"/>
  <c r="Y109" i="3"/>
  <c r="Y35" i="3"/>
  <c r="Y48" i="3"/>
  <c r="Y62" i="3"/>
  <c r="Y74" i="3"/>
  <c r="Y86" i="3"/>
  <c r="Y98" i="3"/>
  <c r="Y110" i="3"/>
  <c r="Y36" i="3"/>
  <c r="Y49" i="3"/>
  <c r="Y18" i="3"/>
  <c r="Y52" i="3"/>
  <c r="Y3" i="3"/>
  <c r="Y83" i="3"/>
  <c r="Y58" i="3"/>
  <c r="Y124" i="3"/>
  <c r="Y63" i="3"/>
  <c r="Y75" i="3"/>
  <c r="Y87" i="3"/>
  <c r="Y99" i="3"/>
  <c r="Y111" i="3"/>
  <c r="Y37" i="3"/>
  <c r="Y50" i="3"/>
  <c r="Y17" i="3"/>
  <c r="Y41" i="3"/>
  <c r="Y2" i="3"/>
  <c r="Y59" i="3"/>
  <c r="Y95" i="3"/>
  <c r="Y46" i="3"/>
  <c r="Y6" i="3"/>
  <c r="Y61" i="3"/>
  <c r="Y123" i="3"/>
  <c r="Y64" i="3"/>
  <c r="Y76" i="3"/>
  <c r="Y88" i="3"/>
  <c r="Y100" i="3"/>
  <c r="Y112" i="3"/>
  <c r="Y38" i="3"/>
  <c r="Y51" i="3"/>
  <c r="Y15" i="3"/>
  <c r="Y30" i="3"/>
  <c r="Y122" i="3"/>
  <c r="Y65" i="3"/>
  <c r="Y77" i="3"/>
  <c r="Y89" i="3"/>
  <c r="Y101" i="3"/>
  <c r="Y113" i="3"/>
  <c r="Y39" i="3"/>
  <c r="Y53" i="3"/>
  <c r="Y14" i="3"/>
  <c r="Y29" i="3"/>
  <c r="Y19" i="3"/>
  <c r="Y121" i="3"/>
  <c r="Y66" i="3"/>
  <c r="Y78" i="3"/>
  <c r="Y90" i="3"/>
  <c r="Y102" i="3"/>
  <c r="Y114" i="3"/>
  <c r="Y40" i="3"/>
  <c r="Y54" i="3"/>
  <c r="Y13" i="3"/>
  <c r="Y28" i="3"/>
  <c r="Y120" i="3"/>
  <c r="Y67" i="3"/>
  <c r="Y79" i="3"/>
  <c r="Y91" i="3"/>
  <c r="Y103" i="3"/>
  <c r="Y25" i="3"/>
  <c r="Y42" i="3"/>
  <c r="Y55" i="3"/>
  <c r="Y12" i="3"/>
  <c r="Y27" i="3"/>
  <c r="Y33" i="3"/>
  <c r="Y97" i="3"/>
  <c r="Y4" i="3"/>
  <c r="Y119" i="3"/>
  <c r="Y68" i="3"/>
  <c r="Y80" i="3"/>
  <c r="Y92" i="3"/>
  <c r="Y104" i="3"/>
  <c r="Y26" i="3"/>
  <c r="Y43" i="3"/>
  <c r="Y24" i="3"/>
  <c r="Y11" i="3"/>
  <c r="Y16" i="3"/>
  <c r="Y118" i="3"/>
  <c r="Y69" i="3"/>
  <c r="Y81" i="3"/>
  <c r="Y93" i="3"/>
  <c r="Y105" i="3"/>
  <c r="Y31" i="3"/>
  <c r="Y44" i="3"/>
  <c r="Y23" i="3"/>
  <c r="Y10" i="3"/>
  <c r="Y8" i="3"/>
  <c r="Y116" i="3"/>
  <c r="Y71" i="3"/>
  <c r="Y107" i="3"/>
  <c r="Y21" i="3"/>
  <c r="Y73" i="3"/>
  <c r="Y117" i="3"/>
  <c r="Y70" i="3"/>
  <c r="Y82" i="3"/>
  <c r="Y94" i="3"/>
  <c r="Y106" i="3"/>
  <c r="Y32" i="3"/>
  <c r="Y45" i="3"/>
  <c r="Y22" i="3"/>
  <c r="Y9" i="3"/>
  <c r="Y7" i="3"/>
  <c r="Y56" i="3"/>
  <c r="AV2" i="3"/>
  <c r="Z13" i="3" s="1"/>
  <c r="I5" i="5" s="1"/>
  <c r="Y78" i="4"/>
  <c r="H62" i="5" s="1"/>
  <c r="Y76" i="4"/>
  <c r="H60" i="5" s="1"/>
  <c r="Y57" i="4"/>
  <c r="H46" i="5" s="1"/>
  <c r="Y115" i="4"/>
  <c r="H95" i="5" s="1"/>
  <c r="Y24" i="4"/>
  <c r="H16" i="5" s="1"/>
  <c r="Y99" i="4"/>
  <c r="H81" i="5" s="1"/>
  <c r="Y38" i="4"/>
  <c r="H28" i="5" s="1"/>
  <c r="Y82" i="4"/>
  <c r="H65" i="5" s="1"/>
  <c r="Y94" i="4"/>
  <c r="H76" i="5" s="1"/>
  <c r="AU2" i="4"/>
  <c r="Y20" i="4" s="1"/>
  <c r="H12" i="5" s="1"/>
  <c r="Y53" i="4"/>
  <c r="H42" i="5" s="1"/>
  <c r="Y35" i="4"/>
  <c r="H26" i="5" s="1"/>
  <c r="X47" i="4"/>
  <c r="X59" i="4"/>
  <c r="X71" i="4"/>
  <c r="X83" i="4"/>
  <c r="X95" i="4"/>
  <c r="X107" i="4"/>
  <c r="X119" i="4"/>
  <c r="X34" i="4"/>
  <c r="X22" i="4"/>
  <c r="X10" i="4"/>
  <c r="X8" i="4"/>
  <c r="X48" i="4"/>
  <c r="X60" i="4"/>
  <c r="X72" i="4"/>
  <c r="X84" i="4"/>
  <c r="X96" i="4"/>
  <c r="X108" i="4"/>
  <c r="X120" i="4"/>
  <c r="X33" i="4"/>
  <c r="X21" i="4"/>
  <c r="X9" i="4"/>
  <c r="X20" i="4"/>
  <c r="X23" i="4"/>
  <c r="X49" i="4"/>
  <c r="X61" i="4"/>
  <c r="X73" i="4"/>
  <c r="X85" i="4"/>
  <c r="X97" i="4"/>
  <c r="X109" i="4"/>
  <c r="X121" i="4"/>
  <c r="X32" i="4"/>
  <c r="X38" i="4"/>
  <c r="X50" i="4"/>
  <c r="X62" i="4"/>
  <c r="X74" i="4"/>
  <c r="X86" i="4"/>
  <c r="X98" i="4"/>
  <c r="X110" i="4"/>
  <c r="X122" i="4"/>
  <c r="X31" i="4"/>
  <c r="X19" i="4"/>
  <c r="X7" i="4"/>
  <c r="X70" i="4"/>
  <c r="X39" i="4"/>
  <c r="X51" i="4"/>
  <c r="X63" i="4"/>
  <c r="X75" i="4"/>
  <c r="X87" i="4"/>
  <c r="X99" i="4"/>
  <c r="X111" i="4"/>
  <c r="X30" i="4"/>
  <c r="X18" i="4"/>
  <c r="X6" i="4"/>
  <c r="X46" i="4"/>
  <c r="X94" i="4"/>
  <c r="X118" i="4"/>
  <c r="X40" i="4"/>
  <c r="X52" i="4"/>
  <c r="X64" i="4"/>
  <c r="X76" i="4"/>
  <c r="X88" i="4"/>
  <c r="X100" i="4"/>
  <c r="X112" i="4"/>
  <c r="X29" i="4"/>
  <c r="X17" i="4"/>
  <c r="X5" i="4"/>
  <c r="X41" i="4"/>
  <c r="X53" i="4"/>
  <c r="X65" i="4"/>
  <c r="X77" i="4"/>
  <c r="X89" i="4"/>
  <c r="X101" i="4"/>
  <c r="X113" i="4"/>
  <c r="X28" i="4"/>
  <c r="X16" i="4"/>
  <c r="X4" i="4"/>
  <c r="X42" i="4"/>
  <c r="X54" i="4"/>
  <c r="X66" i="4"/>
  <c r="X78" i="4"/>
  <c r="X90" i="4"/>
  <c r="X102" i="4"/>
  <c r="X114" i="4"/>
  <c r="X27" i="4"/>
  <c r="X15" i="4"/>
  <c r="X3" i="4"/>
  <c r="X43" i="4"/>
  <c r="X55" i="4"/>
  <c r="X67" i="4"/>
  <c r="X79" i="4"/>
  <c r="X91" i="4"/>
  <c r="X103" i="4"/>
  <c r="X115" i="4"/>
  <c r="X2" i="4"/>
  <c r="X26" i="4"/>
  <c r="X14" i="4"/>
  <c r="X82" i="4"/>
  <c r="X44" i="4"/>
  <c r="X56" i="4"/>
  <c r="X68" i="4"/>
  <c r="X80" i="4"/>
  <c r="X92" i="4"/>
  <c r="X104" i="4"/>
  <c r="X116" i="4"/>
  <c r="X37" i="4"/>
  <c r="X25" i="4"/>
  <c r="X13" i="4"/>
  <c r="X35" i="4"/>
  <c r="X45" i="4"/>
  <c r="X57" i="4"/>
  <c r="X69" i="4"/>
  <c r="X81" i="4"/>
  <c r="X93" i="4"/>
  <c r="X105" i="4"/>
  <c r="X117" i="4"/>
  <c r="X36" i="4"/>
  <c r="X24" i="4"/>
  <c r="X12" i="4"/>
  <c r="X58" i="4"/>
  <c r="X106" i="4"/>
  <c r="X11" i="4"/>
  <c r="Y101" i="4"/>
  <c r="H83" i="5" s="1"/>
  <c r="Y6" i="4"/>
  <c r="Y37" i="4"/>
  <c r="Y41" i="4"/>
  <c r="H31" i="5" s="1"/>
  <c r="Y22" i="4"/>
  <c r="H14" i="5" s="1"/>
  <c r="Y77" i="4"/>
  <c r="H61" i="5" s="1"/>
  <c r="Y59" i="4"/>
  <c r="Y85" i="4"/>
  <c r="H68" i="5" s="1"/>
  <c r="Y89" i="4"/>
  <c r="H72" i="5" s="1"/>
  <c r="Z58" i="3" l="1"/>
  <c r="I46" i="5" s="1"/>
  <c r="Z30" i="3"/>
  <c r="I20" i="5" s="1"/>
  <c r="Z69" i="3"/>
  <c r="I52" i="5" s="1"/>
  <c r="Z88" i="3"/>
  <c r="I69" i="5" s="1"/>
  <c r="Z57" i="3"/>
  <c r="I45" i="5" s="1"/>
  <c r="Z24" i="3"/>
  <c r="I15" i="5" s="1"/>
  <c r="Z112" i="3"/>
  <c r="I91" i="5" s="1"/>
  <c r="Y11" i="4"/>
  <c r="H4" i="5" s="1"/>
  <c r="Y70" i="4"/>
  <c r="H54" i="5" s="1"/>
  <c r="Y111" i="4"/>
  <c r="H92" i="5" s="1"/>
  <c r="Y33" i="4"/>
  <c r="H24" i="5" s="1"/>
  <c r="Y79" i="4"/>
  <c r="H63" i="5" s="1"/>
  <c r="Z37" i="3"/>
  <c r="I27" i="5" s="1"/>
  <c r="Z32" i="3"/>
  <c r="I22" i="5" s="1"/>
  <c r="Z23" i="3"/>
  <c r="I14" i="5" s="1"/>
  <c r="Z35" i="3"/>
  <c r="I25" i="5" s="1"/>
  <c r="Z75" i="3"/>
  <c r="I57" i="5" s="1"/>
  <c r="Z95" i="3"/>
  <c r="I75" i="5" s="1"/>
  <c r="Z59" i="3"/>
  <c r="I47" i="5" s="1"/>
  <c r="Z93" i="3"/>
  <c r="Y107" i="4"/>
  <c r="H88" i="5" s="1"/>
  <c r="Y96" i="4"/>
  <c r="H78" i="5" s="1"/>
  <c r="Y7" i="4"/>
  <c r="Y52" i="4"/>
  <c r="H41" i="5" s="1"/>
  <c r="Z49" i="3"/>
  <c r="Z31" i="3"/>
  <c r="I21" i="5" s="1"/>
  <c r="Z18" i="3"/>
  <c r="I9" i="5" s="1"/>
  <c r="Z29" i="3"/>
  <c r="I19" i="5" s="1"/>
  <c r="Z68" i="3"/>
  <c r="I51" i="5" s="1"/>
  <c r="Z12" i="3"/>
  <c r="I4" i="5" s="1"/>
  <c r="Z53" i="3"/>
  <c r="I41" i="5" s="1"/>
  <c r="Z61" i="3"/>
  <c r="Z36" i="3"/>
  <c r="I26" i="5" s="1"/>
  <c r="Z119" i="3"/>
  <c r="I97" i="5" s="1"/>
  <c r="Z22" i="3"/>
  <c r="I13" i="5" s="1"/>
  <c r="Z104" i="3"/>
  <c r="Z51" i="3"/>
  <c r="I39" i="5" s="1"/>
  <c r="Z46" i="3"/>
  <c r="I35" i="5" s="1"/>
  <c r="Z109" i="3"/>
  <c r="I88" i="5" s="1"/>
  <c r="Z17" i="3"/>
  <c r="I8" i="5" s="1"/>
  <c r="Z60" i="3"/>
  <c r="Z108" i="3"/>
  <c r="I87" i="5" s="1"/>
  <c r="Z45" i="3"/>
  <c r="I34" i="5" s="1"/>
  <c r="Z125" i="3"/>
  <c r="Z8" i="3"/>
  <c r="Z10" i="3"/>
  <c r="I2" i="5" s="1"/>
  <c r="Z102" i="3"/>
  <c r="I82" i="5" s="1"/>
  <c r="Z123" i="3"/>
  <c r="Z54" i="3"/>
  <c r="I42" i="5" s="1"/>
  <c r="Z113" i="3"/>
  <c r="I92" i="5" s="1"/>
  <c r="Z83" i="3"/>
  <c r="I64" i="5" s="1"/>
  <c r="Z33" i="3"/>
  <c r="I23" i="5" s="1"/>
  <c r="Z19" i="3"/>
  <c r="I10" i="5" s="1"/>
  <c r="Z73" i="3"/>
  <c r="I55" i="5" s="1"/>
  <c r="Z85" i="3"/>
  <c r="I66" i="5" s="1"/>
  <c r="Z103" i="3"/>
  <c r="I83" i="5" s="1"/>
  <c r="Z120" i="3"/>
  <c r="Z89" i="3"/>
  <c r="I70" i="5" s="1"/>
  <c r="Z98" i="3"/>
  <c r="I78" i="5" s="1"/>
  <c r="Z47" i="3"/>
  <c r="I36" i="5" s="1"/>
  <c r="Z94" i="3"/>
  <c r="I74" i="5" s="1"/>
  <c r="Z5" i="3"/>
  <c r="Z20" i="3"/>
  <c r="I11" i="5" s="1"/>
  <c r="Z118" i="3"/>
  <c r="I96" i="5" s="1"/>
  <c r="Z121" i="3"/>
  <c r="Z105" i="3"/>
  <c r="I84" i="5" s="1"/>
  <c r="Z90" i="3"/>
  <c r="I71" i="5" s="1"/>
  <c r="Z16" i="3"/>
  <c r="Z76" i="3"/>
  <c r="I58" i="5" s="1"/>
  <c r="Z107" i="3"/>
  <c r="I86" i="5" s="1"/>
  <c r="Z41" i="3"/>
  <c r="I30" i="5" s="1"/>
  <c r="Z80" i="3"/>
  <c r="I62" i="5" s="1"/>
  <c r="Z106" i="3"/>
  <c r="I85" i="5" s="1"/>
  <c r="Z117" i="3"/>
  <c r="I95" i="5" s="1"/>
  <c r="Z3" i="3"/>
  <c r="Z66" i="3"/>
  <c r="I49" i="5" s="1"/>
  <c r="Z77" i="3"/>
  <c r="I59" i="5" s="1"/>
  <c r="Z124" i="3"/>
  <c r="Z70" i="3"/>
  <c r="I53" i="5" s="1"/>
  <c r="Z15" i="3"/>
  <c r="I7" i="5" s="1"/>
  <c r="Z34" i="3"/>
  <c r="I24" i="5" s="1"/>
  <c r="Z27" i="3"/>
  <c r="Z100" i="3"/>
  <c r="I80" i="5" s="1"/>
  <c r="Z91" i="3"/>
  <c r="I72" i="5" s="1"/>
  <c r="Z110" i="3"/>
  <c r="I89" i="5" s="1"/>
  <c r="Z84" i="3"/>
  <c r="I65" i="5" s="1"/>
  <c r="Z62" i="3"/>
  <c r="Z79" i="3"/>
  <c r="I61" i="5" s="1"/>
  <c r="Z64" i="3"/>
  <c r="Z122" i="3"/>
  <c r="Z28" i="3"/>
  <c r="I18" i="5" s="1"/>
  <c r="Z14" i="3"/>
  <c r="I6" i="5" s="1"/>
  <c r="Z87" i="3"/>
  <c r="I68" i="5" s="1"/>
  <c r="Z44" i="3"/>
  <c r="I33" i="5" s="1"/>
  <c r="Z72" i="3"/>
  <c r="I54" i="5" s="1"/>
  <c r="Z97" i="3"/>
  <c r="I77" i="5" s="1"/>
  <c r="Z71" i="3"/>
  <c r="Z56" i="3"/>
  <c r="I44" i="5" s="1"/>
  <c r="Z39" i="3"/>
  <c r="I28" i="5" s="1"/>
  <c r="Z55" i="3"/>
  <c r="I43" i="5" s="1"/>
  <c r="Z99" i="3"/>
  <c r="I79" i="5" s="1"/>
  <c r="Z21" i="3"/>
  <c r="I12" i="5" s="1"/>
  <c r="Z116" i="3"/>
  <c r="I94" i="5" s="1"/>
  <c r="Z81" i="3"/>
  <c r="I63" i="5" s="1"/>
  <c r="Z4" i="3"/>
  <c r="Z63" i="3"/>
  <c r="Z25" i="3"/>
  <c r="I16" i="5" s="1"/>
  <c r="Z65" i="3"/>
  <c r="I48" i="5" s="1"/>
  <c r="Z50" i="3"/>
  <c r="I38" i="5" s="1"/>
  <c r="Z114" i="3"/>
  <c r="I93" i="5" s="1"/>
  <c r="Z48" i="3"/>
  <c r="I37" i="5" s="1"/>
  <c r="Z111" i="3"/>
  <c r="I90" i="5" s="1"/>
  <c r="Z2" i="3"/>
  <c r="Z86" i="3"/>
  <c r="I67" i="5" s="1"/>
  <c r="Z74" i="3"/>
  <c r="I56" i="5" s="1"/>
  <c r="Z7" i="3"/>
  <c r="Z38" i="3"/>
  <c r="Z92" i="3"/>
  <c r="I73" i="5" s="1"/>
  <c r="Z43" i="3"/>
  <c r="I32" i="5" s="1"/>
  <c r="Z78" i="3"/>
  <c r="I60" i="5" s="1"/>
  <c r="Z42" i="3"/>
  <c r="I31" i="5" s="1"/>
  <c r="Z101" i="3"/>
  <c r="I81" i="5" s="1"/>
  <c r="Z115" i="3"/>
  <c r="Z52" i="3"/>
  <c r="I40" i="5" s="1"/>
  <c r="Z67" i="3"/>
  <c r="I50" i="5" s="1"/>
  <c r="Z96" i="3"/>
  <c r="I76" i="5" s="1"/>
  <c r="Z11" i="3"/>
  <c r="I3" i="5" s="1"/>
  <c r="Z6" i="3"/>
  <c r="Z9" i="3"/>
  <c r="Z82" i="3"/>
  <c r="Z40" i="3"/>
  <c r="I29" i="5" s="1"/>
  <c r="Y72" i="4"/>
  <c r="H56" i="5" s="1"/>
  <c r="Y18" i="4"/>
  <c r="H10" i="5" s="1"/>
  <c r="Y34" i="4"/>
  <c r="H25" i="5" s="1"/>
  <c r="Y32" i="4"/>
  <c r="H23" i="5" s="1"/>
  <c r="Y109" i="4"/>
  <c r="H90" i="5" s="1"/>
  <c r="Y75" i="4"/>
  <c r="H59" i="5" s="1"/>
  <c r="Y48" i="4"/>
  <c r="Y69" i="4"/>
  <c r="Y91" i="4"/>
  <c r="Y9" i="4"/>
  <c r="H2" i="5" s="1"/>
  <c r="Y17" i="4"/>
  <c r="H9" i="5" s="1"/>
  <c r="Y104" i="4"/>
  <c r="H85" i="5" s="1"/>
  <c r="Y95" i="4"/>
  <c r="H77" i="5" s="1"/>
  <c r="Y8" i="4"/>
  <c r="Y116" i="4"/>
  <c r="H96" i="5" s="1"/>
  <c r="Y92" i="4"/>
  <c r="H74" i="5" s="1"/>
  <c r="Y80" i="4"/>
  <c r="Y50" i="4"/>
  <c r="H39" i="5" s="1"/>
  <c r="Y3" i="4"/>
  <c r="Y40" i="4"/>
  <c r="H30" i="5" s="1"/>
  <c r="Y63" i="4"/>
  <c r="H48" i="5" s="1"/>
  <c r="Y27" i="4"/>
  <c r="H18" i="5" s="1"/>
  <c r="Y13" i="4"/>
  <c r="H6" i="5" s="1"/>
  <c r="Y88" i="4"/>
  <c r="H71" i="5" s="1"/>
  <c r="Y62" i="4"/>
  <c r="Y66" i="4"/>
  <c r="H51" i="5" s="1"/>
  <c r="Y58" i="4"/>
  <c r="H47" i="5" s="1"/>
  <c r="Y56" i="4"/>
  <c r="H45" i="5" s="1"/>
  <c r="Y114" i="4"/>
  <c r="H94" i="5" s="1"/>
  <c r="Y28" i="4"/>
  <c r="H19" i="5" s="1"/>
  <c r="Y31" i="4"/>
  <c r="H22" i="5" s="1"/>
  <c r="Y122" i="4"/>
  <c r="Y26" i="4"/>
  <c r="Y105" i="4"/>
  <c r="H86" i="5" s="1"/>
  <c r="Y106" i="4"/>
  <c r="H87" i="5" s="1"/>
  <c r="Y83" i="4"/>
  <c r="H66" i="5" s="1"/>
  <c r="Y21" i="4"/>
  <c r="H13" i="5" s="1"/>
  <c r="Y81" i="4"/>
  <c r="H64" i="5" s="1"/>
  <c r="Y46" i="4"/>
  <c r="H36" i="5" s="1"/>
  <c r="Y97" i="4"/>
  <c r="H79" i="5" s="1"/>
  <c r="Y29" i="4"/>
  <c r="H20" i="5" s="1"/>
  <c r="Y12" i="4"/>
  <c r="H5" i="5" s="1"/>
  <c r="Y112" i="4"/>
  <c r="H93" i="5" s="1"/>
  <c r="Y14" i="4"/>
  <c r="H7" i="5" s="1"/>
  <c r="Y110" i="4"/>
  <c r="H91" i="5" s="1"/>
  <c r="Y55" i="4"/>
  <c r="H44" i="5" s="1"/>
  <c r="Y5" i="4"/>
  <c r="Y54" i="4"/>
  <c r="H43" i="5" s="1"/>
  <c r="Y2" i="4"/>
  <c r="Y16" i="4"/>
  <c r="H8" i="5" s="1"/>
  <c r="Y15" i="4"/>
  <c r="Y68" i="4"/>
  <c r="H53" i="5" s="1"/>
  <c r="Y73" i="4"/>
  <c r="H57" i="5" s="1"/>
  <c r="Y47" i="4"/>
  <c r="H37" i="5" s="1"/>
  <c r="Y30" i="4"/>
  <c r="H21" i="5" s="1"/>
  <c r="Y71" i="4"/>
  <c r="H55" i="5" s="1"/>
  <c r="Y25" i="4"/>
  <c r="H17" i="5" s="1"/>
  <c r="Y39" i="4"/>
  <c r="H29" i="5" s="1"/>
  <c r="Y93" i="4"/>
  <c r="H75" i="5" s="1"/>
  <c r="Y117" i="4"/>
  <c r="H97" i="5" s="1"/>
  <c r="Y86" i="4"/>
  <c r="H69" i="5" s="1"/>
  <c r="Y51" i="4"/>
  <c r="H40" i="5" s="1"/>
  <c r="Y4" i="4"/>
  <c r="Y118" i="4"/>
  <c r="Y67" i="4"/>
  <c r="H52" i="5" s="1"/>
  <c r="Y60" i="4"/>
  <c r="Y19" i="4"/>
  <c r="H11" i="5" s="1"/>
  <c r="Y44" i="4"/>
  <c r="H34" i="5" s="1"/>
  <c r="Y65" i="4"/>
  <c r="H50" i="5" s="1"/>
  <c r="Y102" i="4"/>
  <c r="Y42" i="4"/>
  <c r="H32" i="5" s="1"/>
  <c r="Y74" i="4"/>
  <c r="H58" i="5" s="1"/>
  <c r="Y43" i="4"/>
  <c r="H33" i="5" s="1"/>
  <c r="Y64" i="4"/>
  <c r="H49" i="5" s="1"/>
  <c r="Y108" i="4"/>
  <c r="H89" i="5" s="1"/>
  <c r="Y36" i="4"/>
  <c r="H27" i="5" s="1"/>
  <c r="Y113" i="4"/>
  <c r="Y98" i="4"/>
  <c r="H80" i="5" s="1"/>
  <c r="Y87" i="4"/>
  <c r="H70" i="5" s="1"/>
  <c r="Y121" i="4"/>
  <c r="Y49" i="4"/>
  <c r="H38" i="5" s="1"/>
  <c r="Y10" i="4"/>
  <c r="H3" i="5" s="1"/>
  <c r="Y90" i="4"/>
  <c r="H73" i="5" s="1"/>
  <c r="Y61" i="4"/>
  <c r="Y23" i="4"/>
  <c r="H15" i="5" s="1"/>
  <c r="Y119" i="4"/>
  <c r="Y45" i="4"/>
  <c r="H35" i="5" s="1"/>
  <c r="Y100" i="4"/>
  <c r="H82" i="5" s="1"/>
  <c r="Y120" i="4"/>
  <c r="Y84" i="4"/>
  <c r="H67" i="5" s="1"/>
  <c r="Y103" i="4"/>
  <c r="H84" i="5" s="1"/>
</calcChain>
</file>

<file path=xl/sharedStrings.xml><?xml version="1.0" encoding="utf-8"?>
<sst xmlns="http://schemas.openxmlformats.org/spreadsheetml/2006/main" count="1763" uniqueCount="199">
  <si>
    <t>Row</t>
  </si>
  <si>
    <t>Identifier 1</t>
  </si>
  <si>
    <t>Amount</t>
  </si>
  <si>
    <t>Rt</t>
  </si>
  <si>
    <t>Sample Dilution</t>
  </si>
  <si>
    <t>Area All</t>
  </si>
  <si>
    <t>Area 46</t>
  </si>
  <si>
    <t>Area 44</t>
  </si>
  <si>
    <t>Area 45</t>
  </si>
  <si>
    <t>Amt%</t>
  </si>
  <si>
    <t>d 13C/12C</t>
  </si>
  <si>
    <t>Urea</t>
  </si>
  <si>
    <t>Caffeine</t>
  </si>
  <si>
    <t>Sucrose</t>
  </si>
  <si>
    <t>Spirulina</t>
  </si>
  <si>
    <t>Standards</t>
  </si>
  <si>
    <t>%N</t>
  </si>
  <si>
    <t>L-Glu</t>
  </si>
  <si>
    <t>Component Flash TCD</t>
  </si>
  <si>
    <t>rArea Flash TCD</t>
  </si>
  <si>
    <t>N2</t>
  </si>
  <si>
    <t>CO2</t>
  </si>
  <si>
    <t>mg N</t>
  </si>
  <si>
    <t>Slope</t>
  </si>
  <si>
    <t>r2</t>
  </si>
  <si>
    <t>%C</t>
  </si>
  <si>
    <t>mg C</t>
  </si>
  <si>
    <t>Calibrated 13C</t>
  </si>
  <si>
    <t>Offset</t>
  </si>
  <si>
    <t>Precision</t>
  </si>
  <si>
    <t>Area 28</t>
  </si>
  <si>
    <t>Area 29</t>
  </si>
  <si>
    <t>d 15N/14N</t>
  </si>
  <si>
    <t>Calibrated 15N</t>
  </si>
  <si>
    <t>Drift_corr d 13C/12C</t>
  </si>
  <si>
    <t>Drift_corr d 15N/14N</t>
  </si>
  <si>
    <t>Area 30</t>
  </si>
  <si>
    <t>AT% 15N/14N</t>
  </si>
  <si>
    <t>AT% 13C/12C</t>
  </si>
  <si>
    <t>Time Code</t>
  </si>
  <si>
    <t>Analysis</t>
  </si>
  <si>
    <t>Identifier 2</t>
  </si>
  <si>
    <t>Peak Nr. Flash TCD</t>
  </si>
  <si>
    <t>Rt Flash TCD</t>
  </si>
  <si>
    <t>Ampl. Flash TCD</t>
  </si>
  <si>
    <t>Amt% Flash TCD</t>
  </si>
  <si>
    <t>Conflo K Fac Flash TCD</t>
  </si>
  <si>
    <t>Peak Nr.</t>
  </si>
  <si>
    <t>Ampl. 28</t>
  </si>
  <si>
    <t>Ampl. 29</t>
  </si>
  <si>
    <t>Ampl. 30</t>
  </si>
  <si>
    <t>Ampl. 44</t>
  </si>
  <si>
    <t>Ampl. 45</t>
  </si>
  <si>
    <t>Ampl. 46</t>
  </si>
  <si>
    <t>Drift_corr offset</t>
  </si>
  <si>
    <t>Populate N</t>
  </si>
  <si>
    <t>Populate C</t>
  </si>
  <si>
    <t>QC</t>
  </si>
  <si>
    <t>To exclude references</t>
  </si>
  <si>
    <t>References</t>
  </si>
  <si>
    <t>TCD data</t>
  </si>
  <si>
    <t>Elemental analysis</t>
  </si>
  <si>
    <t>The Isodat output of the TCD data (csv format!) should be pasted in this sheet</t>
  </si>
  <si>
    <t>15N and 13C</t>
  </si>
  <si>
    <t>Sheet</t>
  </si>
  <si>
    <t>Description</t>
  </si>
  <si>
    <t>Quality control ("Extract QC" button): a reference (must be present in the "Ref" table) can be used as a QC and is extracted from the table. Precision and accuracy are then calculated either normalized raw or drift-corrected data.</t>
  </si>
  <si>
    <t>Summary</t>
  </si>
  <si>
    <t>The populate button triggers a macro that extracts and includes in the table all analyses that are not in the "Ref" table. A set of formulas display the elemental and isotopic data calculated in the other sheets.</t>
  </si>
  <si>
    <t>Data normalization ("Extract Ref" button): the isotope ratio offset is calculated for both raw and drift-corrected delta from 2 in-house reference standards usually analysed 3 times throughout the sequence. Offset = (R_measured / R_calibrated - 1) x 1000 = (delta_measured + 1000) / (delta_calibrated + 1000) - 1) x 1000. Then each analysis' offest, calculated from the regression Offset = f (delta_measured) obtained from references, is removed from the measured value.</t>
  </si>
  <si>
    <t>offset d 15N/14N</t>
  </si>
  <si>
    <t>offset Drift_corr d 15N/14N</t>
  </si>
  <si>
    <t>offset d 13C/12C</t>
  </si>
  <si>
    <t>offset Drift_corr d 13C/12C</t>
  </si>
  <si>
    <t>Drift correction ("Extract Drift" button): any trend in the data is calculated from a reference (e.g. caffeine) analyzed before and after every 10 unknown samples. The slope of the regresssion delta_ref = f (Analysis) is removed from the whole sequence.</t>
  </si>
  <si>
    <t xml:space="preserve">Linearity Check ("d15N or d13C Linearity Check"): Linearity should be minimal because the EA uses a "smart dilution" feature, where the TCD first determines how much N and C are present, and then dilutes the analyte gas with extra helium based on this quantification to tune the size of the gas pulse entering the ion source to an appropriate size. Nevertheless, it is a good idea to keep an eye on whether this is working effectively, so this macro extracts the signal from the TCD quantification and matches it with the delta value. The graphs show the information - all points in the first two plots should be within an envelope of acceptable precision around the origin of the y-axis. The third graph should be a series of linear trends with all plotting between a range of approximately 50-80 Vs for N and 50-130 Vs for C.  </t>
  </si>
  <si>
    <t>δ13C (‰ VPDB)</t>
  </si>
  <si>
    <t>δ15N (‰ AIR-N2)</t>
  </si>
  <si>
    <t>Initial Corrected δ13C (‰ VPDB)</t>
  </si>
  <si>
    <t>Initial Corrected δ15N (‰ AIR-N2)</t>
  </si>
  <si>
    <t>This sheet includes the names and isotope values of the reference standards used in this workbook. The data appear in a "table format" (named "Ref") that can be updated and where new rows and columns can be added. It also includes a formula used in the "Summary" worksheet macro to exclude references being populated in the summary table.</t>
  </si>
  <si>
    <t>This sheet consist of a series of macros triggered by buttons. If the sequence includes a subset of analyses used to calibrate the TCD (mg element = f (rArea Flash TCD)), then the calibration button can be clicked but each of these analyses must have data in the "Amount" column and the material analysed should be present in the "Ref" table. Otherwise, previous calibration data already present in the template can be used (so don't click the calibration buttons). The import buttons populate data from samples and calculate the elemental content (in mg) from the calibration curves.</t>
  </si>
  <si>
    <t>The Isodat output of the isotope data must be pasted in these sheets exactly in the same order as the headers in columns A to S. All graphs on this page are for quality control purposes.</t>
  </si>
  <si>
    <t>Mean</t>
  </si>
  <si>
    <t>offset</t>
  </si>
  <si>
    <t>Analytical Precision for Sequence</t>
  </si>
  <si>
    <t>Precision-Initial Correction</t>
  </si>
  <si>
    <t>offset Initial Corrected δ15N (‰ AIR-N2)</t>
  </si>
  <si>
    <t>offset δ15N (‰ AIR-N2)</t>
  </si>
  <si>
    <t>offset Initial Corrected δ13C (‰ VPDB)</t>
  </si>
  <si>
    <t>offset δ13C (‰ VPDB)</t>
  </si>
  <si>
    <t>mg N/
mg sample</t>
  </si>
  <si>
    <t>mg C/
mg sample</t>
  </si>
  <si>
    <t>BGD 28</t>
  </si>
  <si>
    <t>BGD 29</t>
  </si>
  <si>
    <t>TCD-15N match?</t>
  </si>
  <si>
    <t>BGD 44</t>
  </si>
  <si>
    <t>BGD 45</t>
  </si>
  <si>
    <t>BGD 46</t>
  </si>
  <si>
    <t>TCD-13C match?</t>
  </si>
  <si>
    <t>Dummy</t>
  </si>
  <si>
    <t>blank</t>
  </si>
  <si>
    <t>FS-I</t>
  </si>
  <si>
    <t>Raphi1_alpine_soils-151-A1</t>
  </si>
  <si>
    <t>Raphi1_alpine_soils-120viel-A2</t>
  </si>
  <si>
    <t>Raphi1_alpine_soils-135viel-A3</t>
  </si>
  <si>
    <t>Raphi1_alpine_soils-109-A4</t>
  </si>
  <si>
    <t>Raphi1_alpine_soils-120-A5</t>
  </si>
  <si>
    <t>Raphi1_alpine_soils-135-A6</t>
  </si>
  <si>
    <t>Raphi1_alpine_soils-143-A7</t>
  </si>
  <si>
    <t>Raphi1_alpine_soils-58-A8</t>
  </si>
  <si>
    <t>Raphi1_alpine_soils-68-A9</t>
  </si>
  <si>
    <t>Raphi1_alpine_soils-128-A10</t>
  </si>
  <si>
    <t>Raphi1_alpine_soils-75-A11</t>
  </si>
  <si>
    <t>Raphi1_alpine_soils-123-A12</t>
  </si>
  <si>
    <t>Raphi1_alpine_soils-118-B1</t>
  </si>
  <si>
    <t>Raphi1_alpine_soils-114-B2</t>
  </si>
  <si>
    <t>Raphi1_alpine_soils-117-B3</t>
  </si>
  <si>
    <t>Raphi1_alpine_soils-73-B4</t>
  </si>
  <si>
    <t>Raphi1_alpine_soils-145-B5</t>
  </si>
  <si>
    <t>Raphi1_alpine_soils-132-B6</t>
  </si>
  <si>
    <t>Raphi1_alpine_soils-50-B7</t>
  </si>
  <si>
    <t>Raphi1_alpine_soils-92-B8</t>
  </si>
  <si>
    <t>Raphi1_alpine_soils-133-B9</t>
  </si>
  <si>
    <t>Raphi1_alpine_soils-129-B10</t>
  </si>
  <si>
    <t>Raphi1_alpine_soils-96-B11</t>
  </si>
  <si>
    <t>Raphi1_alpine_soils-107-B12</t>
  </si>
  <si>
    <t>Raphi1_alpine_soils-112-C1</t>
  </si>
  <si>
    <t>Raphi1_alpine_soils-121-C2</t>
  </si>
  <si>
    <t>Raphi1_alpine_soils-126-C3</t>
  </si>
  <si>
    <t>Raphi1_alpine_soils-52-C4</t>
  </si>
  <si>
    <t>Raphi1_alpine_soils-70-C5</t>
  </si>
  <si>
    <t>Raphi1_alpine_soils-56-C6</t>
  </si>
  <si>
    <t>Raphi1_alpine_soils-153-C7</t>
  </si>
  <si>
    <t>Raphi1_alpine_soils-100-C8</t>
  </si>
  <si>
    <t>Raphi1_alpine_soils-149-C9</t>
  </si>
  <si>
    <t>Raphi1_alpine_soils-138-C10</t>
  </si>
  <si>
    <t>Raphi1_alpine_soils-99-C11</t>
  </si>
  <si>
    <t>Raphi1_alpine_soils-41-C12</t>
  </si>
  <si>
    <t>Raphi1_alpine_soils-101-D1</t>
  </si>
  <si>
    <t>Raphi1_alpine_soils-146-D2</t>
  </si>
  <si>
    <t>Raphi1_alpine_soils-131-D3</t>
  </si>
  <si>
    <t>Raphi1_alpine_soils-57-D4</t>
  </si>
  <si>
    <t>Raphi1_alpine_soils-63-D5</t>
  </si>
  <si>
    <t>Raphi1_alpine_soils-88-D6</t>
  </si>
  <si>
    <t>Raphi1_alpine_soils-69-D7</t>
  </si>
  <si>
    <t>Raphi1_alpine_soils-97-D8</t>
  </si>
  <si>
    <t>Raphi1_alpine_soils-83-D9</t>
  </si>
  <si>
    <t>Raphi1_alpine_soils-64-D10</t>
  </si>
  <si>
    <t>Raphi1_alpine_soils-45-D11</t>
  </si>
  <si>
    <t>Raphi1_alpine_soils-110-D12</t>
  </si>
  <si>
    <t>Raphi1_alpine_soils-124-E1</t>
  </si>
  <si>
    <t>Raphi1_alpine_soils-67-E2</t>
  </si>
  <si>
    <t>Raphi1_alpine_soils-139-E3</t>
  </si>
  <si>
    <t>Raphi1_alpine_soils-116-E4</t>
  </si>
  <si>
    <t>Raphi1_alpine_soils-136-E5</t>
  </si>
  <si>
    <t>Raphi1_alpine_soils-54-E6</t>
  </si>
  <si>
    <t>Raphi1_alpine_soils-72-E7</t>
  </si>
  <si>
    <t>Raphi1_alpine_soils-82-E8</t>
  </si>
  <si>
    <t>Raphi1_alpine_soils-61-E9</t>
  </si>
  <si>
    <t>Raphi1_alpine_soils-74-E10</t>
  </si>
  <si>
    <t>Raphi1_alpine_soils-55-E11</t>
  </si>
  <si>
    <t>Raphi1_alpine_soils-90-E12</t>
  </si>
  <si>
    <t>Raphi1_alpine_soils-42-F1</t>
  </si>
  <si>
    <t>Raphi1_alpine_soils-49-F2</t>
  </si>
  <si>
    <t>Raphi1_alpine_soils-125-F3</t>
  </si>
  <si>
    <t>Raphi1_alpine_soils-84-F4</t>
  </si>
  <si>
    <t>Raphi1_alpine_soils-46-F5</t>
  </si>
  <si>
    <t>Raphi1_alpine_soils-76-F6</t>
  </si>
  <si>
    <t>Raphi1_alpine_soils-127-F7</t>
  </si>
  <si>
    <t>Raphi1_alpine_soils-113-F8</t>
  </si>
  <si>
    <t>Raphi1_alpine_soils-130-F9</t>
  </si>
  <si>
    <t>Raphi1_alpine_soils-98-F10</t>
  </si>
  <si>
    <t>Raphi1_alpine_soils-62-F11</t>
  </si>
  <si>
    <t>Raphi1_alpine_soils-119-F12</t>
  </si>
  <si>
    <t>Raphi1_alpine_soils-43-G1</t>
  </si>
  <si>
    <t>Raphi1_alpine_soils-122-G2</t>
  </si>
  <si>
    <t>Raphi1_alpine_soils-141-G3</t>
  </si>
  <si>
    <t>Raphi1_alpine_soils-59-G4</t>
  </si>
  <si>
    <t>Raphi1_alpine_soils-77-G5</t>
  </si>
  <si>
    <t>Raphi1_alpine_soils-87-G6</t>
  </si>
  <si>
    <t>Raphi1_alpine_soils-66-G7</t>
  </si>
  <si>
    <t>Raphi1_alpine_soils-60-G8</t>
  </si>
  <si>
    <t>Raphi1_alpine_soils-155-G9</t>
  </si>
  <si>
    <t>Raphi1_alpine_soils-106-G10</t>
  </si>
  <si>
    <t>Raphi1_alpine_soils-134-G11</t>
  </si>
  <si>
    <t>Raphi1_alpine_soils-111-G12</t>
  </si>
  <si>
    <t>Raphi1_alpine_soils-142-H1</t>
  </si>
  <si>
    <t>Raphi1_alpine_soils-148-H2</t>
  </si>
  <si>
    <t>Raphi1_alpine_soils-105-H3</t>
  </si>
  <si>
    <t>Raphi1_alpine_soils-65-H4</t>
  </si>
  <si>
    <t>Raphi1_alpine_soils-71-H5</t>
  </si>
  <si>
    <t>Raphi1_alpine_soils-147-H6</t>
  </si>
  <si>
    <t>Raphi1_alpine_soils-47-H7</t>
  </si>
  <si>
    <t>Raphi1_alpine_soils-144-H8</t>
  </si>
  <si>
    <t>Raphi1_alpine_soils-48-H9</t>
  </si>
  <si>
    <t>Raphi1_alpine_soils-94-H10</t>
  </si>
  <si>
    <t>Raphi1_alpine_soils-79-H11</t>
  </si>
  <si>
    <t>Raphi1_alpine_soils-78-H12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</si>
</sst>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E+00"/>
    <numFmt numFmtId="167" formatCode="dd/mm/yy;@"/>
  </numFmts>
  <fonts count="7"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2"/>
      <color theme="0"/>
      <name val="Calibri"/>
      <family val="2"/>
      <scheme val="minor"/>
    </font>
    <font>
      <sz val="12"/>
      <color rgb="FF000000"/>
      <name val="Calibri"/>
      <family val="2"/>
    </font>
    <font>
      <sz val="12"/>
      <color rgb="FF000000"/>
      <name val="Helvetica"/>
      <family val="2"/>
    </font>
  </fonts>
  <fills count="9">
    <fill>
      <patternFill patternType="none"/>
    </fill>
    <fill>
      <patternFill patternType="gray125"/>
    </fill>
    <fill>
      <patternFill patternType="solid">
        <fgColor them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5" tint="0.39997558519241921"/>
      </left>
      <right/>
      <top style="thin">
        <color theme="0"/>
      </top>
      <bottom style="thin">
        <color theme="5" tint="0.39997558519241921"/>
      </bottom>
      <diagonal/>
    </border>
    <border>
      <left style="thin">
        <color theme="0"/>
      </left>
      <right style="thin">
        <color theme="5" tint="0.39997558519241921"/>
      </right>
      <top style="thin">
        <color theme="0"/>
      </top>
      <bottom style="thin">
        <color theme="5" tint="0.39997558519241921"/>
      </bottom>
      <diagonal/>
    </border>
    <border>
      <left style="thin">
        <color theme="5" tint="0.39997558519241921"/>
      </left>
      <right/>
      <top style="thin">
        <color theme="5" tint="0.39997558519241921"/>
      </top>
      <bottom/>
      <diagonal/>
    </border>
    <border>
      <left style="thin">
        <color theme="0"/>
      </left>
      <right style="thin">
        <color theme="5" tint="0.39997558519241921"/>
      </right>
      <top style="thin">
        <color theme="5" tint="0.39997558519241921"/>
      </top>
      <bottom/>
      <diagonal/>
    </border>
    <border>
      <left style="thin">
        <color theme="5" tint="0.39997558519241921"/>
      </left>
      <right/>
      <top style="thick">
        <color theme="0"/>
      </top>
      <bottom/>
      <diagonal/>
    </border>
    <border>
      <left style="thin">
        <color theme="0"/>
      </left>
      <right style="thin">
        <color theme="5" tint="0.39997558519241921"/>
      </right>
      <top style="thick">
        <color theme="0"/>
      </top>
      <bottom/>
      <diagonal/>
    </border>
    <border>
      <left style="thin">
        <color theme="5" tint="0.39997558519241921"/>
      </left>
      <right/>
      <top style="thin">
        <color theme="0"/>
      </top>
      <bottom/>
      <diagonal/>
    </border>
    <border>
      <left style="thin">
        <color theme="0"/>
      </left>
      <right style="thin">
        <color theme="5" tint="0.39997558519241921"/>
      </right>
      <top style="thin">
        <color theme="0"/>
      </top>
      <bottom/>
      <diagonal/>
    </border>
    <border>
      <left style="thin">
        <color indexed="64"/>
      </left>
      <right style="thin">
        <color indexed="64"/>
      </right>
      <top style="thin">
        <color indexed="64"/>
      </top>
      <bottom style="thin">
        <color indexed="64"/>
      </bottom>
      <diagonal/>
    </border>
  </borders>
  <cellStyleXfs count="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57">
    <xf numFmtId="0" fontId="0" fillId="0" borderId="0" xfId="0"/>
    <xf numFmtId="0" fontId="0" fillId="0" borderId="0" xfId="0" quotePrefix="1" applyNumberFormat="1"/>
    <xf numFmtId="0" fontId="0" fillId="0" borderId="0" xfId="0" applyNumberFormat="1"/>
    <xf numFmtId="0" fontId="0" fillId="0" borderId="0" xfId="0" applyAlignment="1">
      <alignment horizontal="center"/>
    </xf>
    <xf numFmtId="164" fontId="0" fillId="0" borderId="0" xfId="0" applyNumberFormat="1"/>
    <xf numFmtId="2" fontId="0" fillId="0" borderId="0" xfId="0" applyNumberFormat="1"/>
    <xf numFmtId="165" fontId="0" fillId="0" borderId="0" xfId="0" quotePrefix="1" applyNumberFormat="1"/>
    <xf numFmtId="165" fontId="0" fillId="0" borderId="0" xfId="0" quotePrefix="1" applyNumberFormat="1" applyAlignment="1">
      <alignment horizontal="center"/>
    </xf>
    <xf numFmtId="0" fontId="0" fillId="0" borderId="0" xfId="0" applyAlignment="1">
      <alignment wrapText="1"/>
    </xf>
    <xf numFmtId="0" fontId="0" fillId="0" borderId="0" xfId="0" applyAlignment="1">
      <alignment horizontal="center" wrapText="1"/>
    </xf>
    <xf numFmtId="164" fontId="0" fillId="0" borderId="0" xfId="0" quotePrefix="1" applyNumberFormat="1" applyAlignment="1">
      <alignment horizontal="center"/>
    </xf>
    <xf numFmtId="2" fontId="0" fillId="0" borderId="0" xfId="0" applyNumberFormat="1" applyAlignment="1">
      <alignment horizontal="center"/>
    </xf>
    <xf numFmtId="2" fontId="0" fillId="0" borderId="0" xfId="0" quotePrefix="1" applyNumberFormat="1"/>
    <xf numFmtId="22" fontId="0" fillId="0" borderId="0" xfId="0" applyNumberFormat="1"/>
    <xf numFmtId="0" fontId="0" fillId="0" borderId="0" xfId="0" quotePrefix="1"/>
    <xf numFmtId="0" fontId="0" fillId="2" borderId="1" xfId="0" applyFill="1" applyBorder="1"/>
    <xf numFmtId="0" fontId="0" fillId="2" borderId="2" xfId="0" applyFill="1" applyBorder="1"/>
    <xf numFmtId="0" fontId="3" fillId="2" borderId="3" xfId="0" quotePrefix="1" applyNumberFormat="1" applyFont="1" applyFill="1" applyBorder="1"/>
    <xf numFmtId="0" fontId="3" fillId="2" borderId="3" xfId="0" applyFont="1" applyFill="1" applyBorder="1" applyAlignment="1">
      <alignment horizontal="center"/>
    </xf>
    <xf numFmtId="0" fontId="0" fillId="0" borderId="0" xfId="0" applyNumberFormat="1" applyAlignment="1">
      <alignment horizontal="center"/>
    </xf>
    <xf numFmtId="0" fontId="0" fillId="0" borderId="0" xfId="0" quotePrefix="1" applyNumberFormat="1" applyAlignment="1">
      <alignment horizont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wrapText="1"/>
    </xf>
    <xf numFmtId="0" fontId="3" fillId="2" borderId="2" xfId="0" quotePrefix="1" applyNumberFormat="1" applyFont="1" applyFill="1" applyBorder="1" applyAlignment="1">
      <alignment horizontal="center" vertical="center" wrapText="1"/>
    </xf>
    <xf numFmtId="0" fontId="0" fillId="0" borderId="0" xfId="0" applyFill="1"/>
    <xf numFmtId="0" fontId="4" fillId="3" borderId="6" xfId="0" applyFont="1" applyFill="1" applyBorder="1" applyAlignment="1">
      <alignment horizontal="left" vertical="top" wrapText="1"/>
    </xf>
    <xf numFmtId="0" fontId="4" fillId="3" borderId="7" xfId="0" applyFont="1" applyFill="1" applyBorder="1" applyAlignment="1">
      <alignment horizontal="center" vertical="top" wrapText="1"/>
    </xf>
    <xf numFmtId="0" fontId="0" fillId="4" borderId="8" xfId="0" applyFont="1" applyFill="1" applyBorder="1" applyAlignment="1">
      <alignment horizontal="left" vertical="top" wrapText="1"/>
    </xf>
    <xf numFmtId="0" fontId="0" fillId="4" borderId="9" xfId="0" applyFont="1" applyFill="1" applyBorder="1" applyAlignment="1">
      <alignment horizontal="left" vertical="top" wrapText="1"/>
    </xf>
    <xf numFmtId="0" fontId="0" fillId="0" borderId="10" xfId="0" applyFont="1" applyBorder="1" applyAlignment="1">
      <alignment horizontal="left" vertical="top" wrapText="1"/>
    </xf>
    <xf numFmtId="0" fontId="0" fillId="0" borderId="11" xfId="0" applyFont="1" applyBorder="1" applyAlignment="1">
      <alignment horizontal="left" vertical="top" wrapText="1"/>
    </xf>
    <xf numFmtId="0" fontId="0" fillId="4" borderId="10" xfId="0" applyFont="1" applyFill="1" applyBorder="1" applyAlignment="1">
      <alignment horizontal="left" vertical="top" wrapText="1"/>
    </xf>
    <xf numFmtId="0" fontId="0" fillId="4" borderId="11" xfId="0" applyFont="1" applyFill="1" applyBorder="1" applyAlignment="1">
      <alignment horizontal="left" vertical="top" wrapText="1"/>
    </xf>
    <xf numFmtId="0" fontId="0" fillId="5" borderId="4" xfId="0" applyFont="1" applyFill="1" applyBorder="1" applyAlignment="1">
      <alignment horizontal="left" vertical="top" wrapText="1"/>
    </xf>
    <xf numFmtId="0" fontId="0" fillId="5" borderId="5" xfId="0" applyFont="1" applyFill="1" applyBorder="1" applyAlignment="1">
      <alignment horizontal="left" vertical="top" wrapText="1"/>
    </xf>
    <xf numFmtId="166" fontId="0" fillId="0" borderId="0" xfId="0" applyNumberFormat="1"/>
    <xf numFmtId="0" fontId="0" fillId="0" borderId="0" xfId="0" applyAlignment="1">
      <alignment horizontal="left"/>
    </xf>
    <xf numFmtId="2" fontId="3" fillId="0" borderId="0" xfId="0" applyNumberFormat="1" applyFont="1" applyAlignment="1">
      <alignment horizontal="center"/>
    </xf>
    <xf numFmtId="0" fontId="3" fillId="2" borderId="2" xfId="0" applyFont="1" applyFill="1" applyBorder="1" applyAlignment="1">
      <alignment horizontal="center" wrapText="1"/>
    </xf>
    <xf numFmtId="0" fontId="3" fillId="2" borderId="3" xfId="0" applyFont="1" applyFill="1" applyBorder="1" applyAlignment="1">
      <alignment horizontal="center" wrapText="1"/>
    </xf>
    <xf numFmtId="0" fontId="0" fillId="0" borderId="0" xfId="0" quotePrefix="1" applyNumberFormat="1" applyAlignment="1">
      <alignment horizontal="center" wrapText="1"/>
    </xf>
    <xf numFmtId="0" fontId="3" fillId="2" borderId="1" xfId="0" applyNumberFormat="1" applyFont="1" applyFill="1" applyBorder="1" applyAlignment="1">
      <alignment horizontal="center" wrapText="1"/>
    </xf>
    <xf numFmtId="0" fontId="0" fillId="0" borderId="0" xfId="0" applyNumberFormat="1" applyAlignment="1">
      <alignment horizontal="center" wrapText="1"/>
    </xf>
    <xf numFmtId="0" fontId="0" fillId="0" borderId="0" xfId="0" applyAlignment="1">
      <alignment horizontal="left" wrapText="1"/>
    </xf>
    <xf numFmtId="2" fontId="0" fillId="0" borderId="0" xfId="0" applyNumberFormat="1" applyAlignment="1">
      <alignment horizontal="left" wrapText="1"/>
    </xf>
    <xf numFmtId="2" fontId="0" fillId="0" borderId="0" xfId="0" applyNumberFormat="1" applyAlignment="1">
      <alignment horizontal="left"/>
    </xf>
    <xf numFmtId="0" fontId="3" fillId="6" borderId="12" xfId="0" applyFont="1" applyFill="1" applyBorder="1" applyAlignment="1">
      <alignment horizontal="center"/>
    </xf>
    <xf numFmtId="0" fontId="0" fillId="6" borderId="12" xfId="0" applyFill="1" applyBorder="1"/>
    <xf numFmtId="2" fontId="0" fillId="6" borderId="12" xfId="0" applyNumberFormat="1" applyFill="1" applyBorder="1"/>
    <xf numFmtId="0" fontId="3" fillId="7" borderId="12" xfId="0" applyFont="1" applyFill="1" applyBorder="1" applyAlignment="1">
      <alignment horizontal="center"/>
    </xf>
    <xf numFmtId="0" fontId="0" fillId="7" borderId="12" xfId="0" applyFill="1" applyBorder="1"/>
    <xf numFmtId="2" fontId="0" fillId="7" borderId="12" xfId="0" applyNumberFormat="1" applyFill="1" applyBorder="1"/>
    <xf numFmtId="2" fontId="3" fillId="0" borderId="12" xfId="0" applyNumberFormat="1" applyFont="1" applyBorder="1" applyAlignment="1">
      <alignment horizontal="center"/>
    </xf>
    <xf numFmtId="0" fontId="3" fillId="2" borderId="2" xfId="0" applyFont="1" applyFill="1" applyBorder="1" applyAlignment="1">
      <alignment vertical="center"/>
    </xf>
    <xf numFmtId="0" fontId="3" fillId="8" borderId="12" xfId="0" applyFont="1" applyFill="1" applyBorder="1"/>
    <xf numFmtId="167" fontId="3" fillId="0" borderId="12" xfId="0" applyNumberFormat="1" applyFont="1" applyBorder="1" applyAlignment="1">
      <alignment horizontal="right"/>
    </xf>
    <xf numFmtId="0" fontId="3" fillId="0" borderId="12" xfId="0" applyFont="1" applyBorder="1" applyAlignment="1">
      <alignment horizontal="right"/>
    </xf>
  </cellXfs>
  <cellStyles count="7">
    <cellStyle name="Followed Hyperlink" xfId="2" builtinId="9" hidden="1"/>
    <cellStyle name="Followed Hyperlink" xfId="4" builtinId="9" hidden="1"/>
    <cellStyle name="Followed Hyperlink" xfId="6" builtinId="9" hidden="1"/>
    <cellStyle name="Hyperlink" xfId="1" builtinId="8" hidden="1"/>
    <cellStyle name="Hyperlink" xfId="3" builtinId="8" hidden="1"/>
    <cellStyle name="Hyperlink" xfId="5" builtinId="8" hidden="1"/>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9" defaultPivotStyle="PivotStyleMedium7"/>
  <colors>
    <mruColors>
      <color rgb="FFFFF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N</c:v>
          </c:tx>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intercept val="0"/>
            <c:dispRSqr val="1"/>
            <c:dispEq val="1"/>
            <c:trendlineLbl>
              <c:layout>
                <c:manualLayout>
                  <c:x val="-1.7101268591426098E-2"/>
                  <c:y val="-7.744094488188979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'Elemental analysis'!$F$6:$F$14</c:f>
              <c:numCache>
                <c:formatCode>General</c:formatCode>
                <c:ptCount val="9"/>
                <c:pt idx="0">
                  <c:v>16171</c:v>
                </c:pt>
                <c:pt idx="1">
                  <c:v>37422</c:v>
                </c:pt>
                <c:pt idx="2">
                  <c:v>46585</c:v>
                </c:pt>
                <c:pt idx="3">
                  <c:v>68608</c:v>
                </c:pt>
                <c:pt idx="4">
                  <c:v>106771</c:v>
                </c:pt>
                <c:pt idx="5">
                  <c:v>122063</c:v>
                </c:pt>
                <c:pt idx="6">
                  <c:v>1074716</c:v>
                </c:pt>
                <c:pt idx="7">
                  <c:v>1463595</c:v>
                </c:pt>
                <c:pt idx="8">
                  <c:v>1835183</c:v>
                </c:pt>
              </c:numCache>
            </c:numRef>
          </c:xVal>
          <c:yVal>
            <c:numRef>
              <c:f>'Elemental analysis'!$G$6:$G$14</c:f>
              <c:numCache>
                <c:formatCode>0.000</c:formatCode>
                <c:ptCount val="9"/>
                <c:pt idx="0">
                  <c:v>1.52905E-2</c:v>
                </c:pt>
                <c:pt idx="1">
                  <c:v>3.2600500000000004E-2</c:v>
                </c:pt>
                <c:pt idx="2">
                  <c:v>4.1255499999999994E-2</c:v>
                </c:pt>
                <c:pt idx="3">
                  <c:v>6.0007999999999999E-2</c:v>
                </c:pt>
                <c:pt idx="4">
                  <c:v>8.9435000000000001E-2</c:v>
                </c:pt>
                <c:pt idx="5">
                  <c:v>0.10270600000000001</c:v>
                </c:pt>
                <c:pt idx="6">
                  <c:v>0.86463449999999997</c:v>
                </c:pt>
                <c:pt idx="7">
                  <c:v>1.1698675000000001</c:v>
                </c:pt>
                <c:pt idx="8">
                  <c:v>1.458656</c:v>
                </c:pt>
              </c:numCache>
            </c:numRef>
          </c:yVal>
          <c:smooth val="0"/>
          <c:extLst>
            <c:ext xmlns:c16="http://schemas.microsoft.com/office/drawing/2014/chart" uri="{C3380CC4-5D6E-409C-BE32-E72D297353CC}">
              <c16:uniqueId val="{00000001-B05A-C444-8D35-894CE5822D78}"/>
            </c:ext>
          </c:extLst>
        </c:ser>
        <c:ser>
          <c:idx val="1"/>
          <c:order val="1"/>
          <c:tx>
            <c:v>C</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intercept val="0"/>
            <c:dispRSqr val="1"/>
            <c:dispEq val="1"/>
            <c:trendlineLbl>
              <c:layout>
                <c:manualLayout>
                  <c:x val="3.59448818897638E-3"/>
                  <c:y val="-5.1011592300962402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'Elemental analysis'!$N$6:$N$14</c:f>
              <c:numCache>
                <c:formatCode>General</c:formatCode>
                <c:ptCount val="9"/>
                <c:pt idx="0">
                  <c:v>80818</c:v>
                </c:pt>
                <c:pt idx="1">
                  <c:v>181452</c:v>
                </c:pt>
                <c:pt idx="2">
                  <c:v>226576</c:v>
                </c:pt>
                <c:pt idx="3">
                  <c:v>328773</c:v>
                </c:pt>
                <c:pt idx="4">
                  <c:v>507290</c:v>
                </c:pt>
                <c:pt idx="5">
                  <c:v>578857</c:v>
                </c:pt>
                <c:pt idx="6">
                  <c:v>4868374</c:v>
                </c:pt>
                <c:pt idx="7">
                  <c:v>6571708</c:v>
                </c:pt>
                <c:pt idx="8">
                  <c:v>8172976</c:v>
                </c:pt>
              </c:numCache>
            </c:numRef>
          </c:xVal>
          <c:yVal>
            <c:numRef>
              <c:f>'Elemental analysis'!$O$6:$O$14</c:f>
              <c:numCache>
                <c:formatCode>0.000</c:formatCode>
                <c:ptCount val="9"/>
                <c:pt idx="0">
                  <c:v>2.6224399999999995E-2</c:v>
                </c:pt>
                <c:pt idx="1">
                  <c:v>5.5912400000000001E-2</c:v>
                </c:pt>
                <c:pt idx="2">
                  <c:v>7.0756399999999997E-2</c:v>
                </c:pt>
                <c:pt idx="3">
                  <c:v>0.10291839999999999</c:v>
                </c:pt>
                <c:pt idx="4">
                  <c:v>0.153388</c:v>
                </c:pt>
                <c:pt idx="5">
                  <c:v>0.17614879999999999</c:v>
                </c:pt>
                <c:pt idx="6">
                  <c:v>1.4829155999999997</c:v>
                </c:pt>
                <c:pt idx="7">
                  <c:v>2.0064139999999999</c:v>
                </c:pt>
                <c:pt idx="8">
                  <c:v>2.5017087999999998</c:v>
                </c:pt>
              </c:numCache>
            </c:numRef>
          </c:yVal>
          <c:smooth val="0"/>
          <c:extLst>
            <c:ext xmlns:c16="http://schemas.microsoft.com/office/drawing/2014/chart" uri="{C3380CC4-5D6E-409C-BE32-E72D297353CC}">
              <c16:uniqueId val="{00000003-B05A-C444-8D35-894CE5822D78}"/>
            </c:ext>
          </c:extLst>
        </c:ser>
        <c:dLbls>
          <c:showLegendKey val="0"/>
          <c:showVal val="0"/>
          <c:showCatName val="0"/>
          <c:showSerName val="0"/>
          <c:showPercent val="0"/>
          <c:showBubbleSize val="0"/>
        </c:dLbls>
        <c:axId val="166400040"/>
        <c:axId val="167065016"/>
      </c:scatterChart>
      <c:valAx>
        <c:axId val="1664000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TCD area</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7065016"/>
        <c:crosses val="autoZero"/>
        <c:crossBetween val="midCat"/>
      </c:valAx>
      <c:valAx>
        <c:axId val="167065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Element weight (mg)</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6400040"/>
        <c:crosses val="autoZero"/>
        <c:crossBetween val="midCat"/>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CH"/>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hr-HR"/>
              <a:t>15Ndrift</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CH"/>
        </a:p>
      </c:txPr>
    </c:title>
    <c:autoTitleDeleted val="0"/>
    <c:plotArea>
      <c:layout/>
      <c:scatterChart>
        <c:scatterStyle val="lineMarker"/>
        <c:varyColors val="0"/>
        <c:ser>
          <c:idx val="0"/>
          <c:order val="0"/>
          <c:tx>
            <c:strRef>
              <c:f>'15N'!$AE$1</c:f>
              <c:strCache>
                <c:ptCount val="1"/>
                <c:pt idx="0">
                  <c:v>d 15N/14N</c:v>
                </c:pt>
              </c:strCache>
            </c:strRef>
          </c:tx>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5.93804680664917E-2"/>
                  <c:y val="-0.39407152230971099"/>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'15N'!$AC$2:$AC$18</c:f>
              <c:numCache>
                <c:formatCode>General</c:formatCode>
                <c:ptCount val="17"/>
                <c:pt idx="0">
                  <c:v>27812</c:v>
                </c:pt>
                <c:pt idx="1">
                  <c:v>27823</c:v>
                </c:pt>
                <c:pt idx="2">
                  <c:v>27834</c:v>
                </c:pt>
                <c:pt idx="3">
                  <c:v>27845</c:v>
                </c:pt>
                <c:pt idx="4">
                  <c:v>27856</c:v>
                </c:pt>
                <c:pt idx="5">
                  <c:v>27867</c:v>
                </c:pt>
                <c:pt idx="6">
                  <c:v>27878</c:v>
                </c:pt>
                <c:pt idx="7">
                  <c:v>27889</c:v>
                </c:pt>
                <c:pt idx="8">
                  <c:v>27900</c:v>
                </c:pt>
                <c:pt idx="9">
                  <c:v>27911</c:v>
                </c:pt>
                <c:pt idx="10">
                  <c:v>27922</c:v>
                </c:pt>
                <c:pt idx="11">
                  <c:v>27931</c:v>
                </c:pt>
                <c:pt idx="12">
                  <c:v>27932</c:v>
                </c:pt>
              </c:numCache>
            </c:numRef>
          </c:xVal>
          <c:yVal>
            <c:numRef>
              <c:f>'15N'!$AE$2:$AE$18</c:f>
              <c:numCache>
                <c:formatCode>General</c:formatCode>
                <c:ptCount val="17"/>
                <c:pt idx="0">
                  <c:v>-1.294</c:v>
                </c:pt>
                <c:pt idx="1">
                  <c:v>-1.222</c:v>
                </c:pt>
                <c:pt idx="2">
                  <c:v>-1.288</c:v>
                </c:pt>
                <c:pt idx="3">
                  <c:v>-1.2010000000000001</c:v>
                </c:pt>
                <c:pt idx="4">
                  <c:v>-1.2350000000000001</c:v>
                </c:pt>
                <c:pt idx="5">
                  <c:v>-1.2150000000000001</c:v>
                </c:pt>
                <c:pt idx="6">
                  <c:v>-1.2370000000000001</c:v>
                </c:pt>
                <c:pt idx="7">
                  <c:v>-1.2170000000000001</c:v>
                </c:pt>
                <c:pt idx="8">
                  <c:v>-1.2430000000000001</c:v>
                </c:pt>
                <c:pt idx="9">
                  <c:v>-1.2669999999999999</c:v>
                </c:pt>
                <c:pt idx="10">
                  <c:v>-1.26</c:v>
                </c:pt>
                <c:pt idx="11">
                  <c:v>-1.2210000000000001</c:v>
                </c:pt>
                <c:pt idx="12">
                  <c:v>-1.2789999999999999</c:v>
                </c:pt>
              </c:numCache>
            </c:numRef>
          </c:yVal>
          <c:smooth val="0"/>
          <c:extLst>
            <c:ext xmlns:c16="http://schemas.microsoft.com/office/drawing/2014/chart" uri="{C3380CC4-5D6E-409C-BE32-E72D297353CC}">
              <c16:uniqueId val="{00000001-BEFA-FD40-9343-36F8FBB11C0C}"/>
            </c:ext>
          </c:extLst>
        </c:ser>
        <c:dLbls>
          <c:showLegendKey val="0"/>
          <c:showVal val="0"/>
          <c:showCatName val="0"/>
          <c:showSerName val="0"/>
          <c:showPercent val="0"/>
          <c:showBubbleSize val="0"/>
        </c:dLbls>
        <c:axId val="166927640"/>
        <c:axId val="167034352"/>
      </c:scatterChart>
      <c:valAx>
        <c:axId val="1669276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Analysis #</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7034352"/>
        <c:crosses val="autoZero"/>
        <c:crossBetween val="midCat"/>
      </c:valAx>
      <c:valAx>
        <c:axId val="167034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d15N</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6927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CH"/>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'15N'!$AQ$1</c:f>
              <c:strCache>
                <c:ptCount val="1"/>
                <c:pt idx="0">
                  <c:v>Calibrated 15N</c:v>
                </c:pt>
              </c:strCache>
            </c:strRef>
          </c:tx>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27466699475065598"/>
                  <c:y val="-6.9444444444444397E-3"/>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'15N'!$AO$2:$AO$21</c:f>
              <c:numCache>
                <c:formatCode>General</c:formatCode>
                <c:ptCount val="20"/>
                <c:pt idx="0">
                  <c:v>-1.294</c:v>
                </c:pt>
                <c:pt idx="1">
                  <c:v>9.2010000000000005</c:v>
                </c:pt>
                <c:pt idx="2">
                  <c:v>-1.222</c:v>
                </c:pt>
                <c:pt idx="3">
                  <c:v>-1.288</c:v>
                </c:pt>
                <c:pt idx="4">
                  <c:v>-1.2010000000000001</c:v>
                </c:pt>
                <c:pt idx="5">
                  <c:v>-1.2350000000000001</c:v>
                </c:pt>
                <c:pt idx="6">
                  <c:v>-1.2150000000000001</c:v>
                </c:pt>
                <c:pt idx="7">
                  <c:v>9.0869999999999997</c:v>
                </c:pt>
                <c:pt idx="8">
                  <c:v>-1.2370000000000001</c:v>
                </c:pt>
                <c:pt idx="9">
                  <c:v>-1.2170000000000001</c:v>
                </c:pt>
                <c:pt idx="10">
                  <c:v>-1.2430000000000001</c:v>
                </c:pt>
                <c:pt idx="11">
                  <c:v>-1.2669999999999999</c:v>
                </c:pt>
                <c:pt idx="12">
                  <c:v>-1.26</c:v>
                </c:pt>
                <c:pt idx="13">
                  <c:v>9.6020000000000003</c:v>
                </c:pt>
                <c:pt idx="14">
                  <c:v>-1.2210000000000001</c:v>
                </c:pt>
                <c:pt idx="15">
                  <c:v>-1.2789999999999999</c:v>
                </c:pt>
              </c:numCache>
            </c:numRef>
          </c:xVal>
          <c:yVal>
            <c:numRef>
              <c:f>'15N'!$AQ$2:$AQ$21</c:f>
              <c:numCache>
                <c:formatCode>General</c:formatCode>
                <c:ptCount val="20"/>
                <c:pt idx="0">
                  <c:v>-1.8</c:v>
                </c:pt>
                <c:pt idx="1">
                  <c:v>8.6999999999999993</c:v>
                </c:pt>
                <c:pt idx="2">
                  <c:v>-1.8</c:v>
                </c:pt>
                <c:pt idx="3">
                  <c:v>-1.8</c:v>
                </c:pt>
                <c:pt idx="4">
                  <c:v>-1.8</c:v>
                </c:pt>
                <c:pt idx="5">
                  <c:v>-1.8</c:v>
                </c:pt>
                <c:pt idx="6">
                  <c:v>-1.8</c:v>
                </c:pt>
                <c:pt idx="7">
                  <c:v>8.6999999999999993</c:v>
                </c:pt>
                <c:pt idx="8">
                  <c:v>-1.8</c:v>
                </c:pt>
                <c:pt idx="9">
                  <c:v>-1.8</c:v>
                </c:pt>
                <c:pt idx="10">
                  <c:v>-1.8</c:v>
                </c:pt>
                <c:pt idx="11">
                  <c:v>-1.8</c:v>
                </c:pt>
                <c:pt idx="12">
                  <c:v>-1.8</c:v>
                </c:pt>
                <c:pt idx="13">
                  <c:v>8.6999999999999993</c:v>
                </c:pt>
                <c:pt idx="14">
                  <c:v>-1.8</c:v>
                </c:pt>
                <c:pt idx="15">
                  <c:v>-1.8</c:v>
                </c:pt>
                <c:pt idx="16">
                  <c:v>0</c:v>
                </c:pt>
                <c:pt idx="17">
                  <c:v>0</c:v>
                </c:pt>
                <c:pt idx="18">
                  <c:v>0</c:v>
                </c:pt>
                <c:pt idx="19">
                  <c:v>0</c:v>
                </c:pt>
              </c:numCache>
            </c:numRef>
          </c:yVal>
          <c:smooth val="0"/>
          <c:extLst>
            <c:ext xmlns:c16="http://schemas.microsoft.com/office/drawing/2014/chart" uri="{C3380CC4-5D6E-409C-BE32-E72D297353CC}">
              <c16:uniqueId val="{00000001-25E0-2D40-B3FE-B2EA525C68EB}"/>
            </c:ext>
          </c:extLst>
        </c:ser>
        <c:dLbls>
          <c:showLegendKey val="0"/>
          <c:showVal val="0"/>
          <c:showCatName val="0"/>
          <c:showSerName val="0"/>
          <c:showPercent val="0"/>
          <c:showBubbleSize val="0"/>
        </c:dLbls>
        <c:axId val="167463784"/>
        <c:axId val="165415800"/>
      </c:scatterChart>
      <c:valAx>
        <c:axId val="1674637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Measured 15N</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5415800"/>
        <c:crosses val="autoZero"/>
        <c:crossBetween val="midCat"/>
      </c:valAx>
      <c:valAx>
        <c:axId val="165415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Calibrated</a:t>
                </a:r>
                <a:r>
                  <a:rPr lang="en-US" baseline="0"/>
                  <a:t> 15N</a:t>
                </a:r>
                <a:endParaRPr lang="en-US"/>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674637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CH"/>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tx>
            <c:strRef>
              <c:f>'15N'!$Y$1</c:f>
              <c:strCache>
                <c:ptCount val="1"/>
                <c:pt idx="0">
                  <c:v>δ15N (‰ AIR-N2)</c:v>
                </c:pt>
              </c:strCache>
            </c:strRef>
          </c:tx>
          <c:spPr>
            <a:ln w="25400" cap="rnd">
              <a:noFill/>
              <a:round/>
            </a:ln>
            <a:effectLst/>
          </c:spPr>
          <c:marker>
            <c:symbol val="circle"/>
            <c:size val="7"/>
            <c:spPr>
              <a:noFill/>
              <a:ln w="9525">
                <a:solidFill>
                  <a:srgbClr val="FF0000"/>
                </a:solidFill>
              </a:ln>
              <a:effectLst/>
            </c:spPr>
          </c:marker>
          <c:xVal>
            <c:numRef>
              <c:f>'15N'!$B$2:$B$125</c:f>
              <c:numCache>
                <c:formatCode>General</c:formatCode>
                <c:ptCount val="124"/>
                <c:pt idx="0">
                  <c:v>27808</c:v>
                </c:pt>
                <c:pt idx="1">
                  <c:v>27809</c:v>
                </c:pt>
                <c:pt idx="2">
                  <c:v>27810</c:v>
                </c:pt>
                <c:pt idx="3">
                  <c:v>27812</c:v>
                </c:pt>
                <c:pt idx="4">
                  <c:v>27813</c:v>
                </c:pt>
                <c:pt idx="5">
                  <c:v>27815</c:v>
                </c:pt>
                <c:pt idx="6">
                  <c:v>27816</c:v>
                </c:pt>
                <c:pt idx="7">
                  <c:v>27817</c:v>
                </c:pt>
                <c:pt idx="8">
                  <c:v>27818</c:v>
                </c:pt>
                <c:pt idx="9">
                  <c:v>27819</c:v>
                </c:pt>
                <c:pt idx="10">
                  <c:v>27820</c:v>
                </c:pt>
                <c:pt idx="11">
                  <c:v>27821</c:v>
                </c:pt>
                <c:pt idx="12">
                  <c:v>27822</c:v>
                </c:pt>
                <c:pt idx="13">
                  <c:v>27823</c:v>
                </c:pt>
                <c:pt idx="14">
                  <c:v>27824</c:v>
                </c:pt>
                <c:pt idx="15">
                  <c:v>27825</c:v>
                </c:pt>
                <c:pt idx="16">
                  <c:v>27826</c:v>
                </c:pt>
                <c:pt idx="17">
                  <c:v>27827</c:v>
                </c:pt>
                <c:pt idx="18">
                  <c:v>27828</c:v>
                </c:pt>
                <c:pt idx="19">
                  <c:v>27829</c:v>
                </c:pt>
                <c:pt idx="20">
                  <c:v>27830</c:v>
                </c:pt>
                <c:pt idx="21">
                  <c:v>27831</c:v>
                </c:pt>
                <c:pt idx="22">
                  <c:v>27832</c:v>
                </c:pt>
                <c:pt idx="23">
                  <c:v>27833</c:v>
                </c:pt>
                <c:pt idx="24">
                  <c:v>27834</c:v>
                </c:pt>
                <c:pt idx="25">
                  <c:v>27835</c:v>
                </c:pt>
                <c:pt idx="26">
                  <c:v>27836</c:v>
                </c:pt>
                <c:pt idx="27">
                  <c:v>27837</c:v>
                </c:pt>
                <c:pt idx="28">
                  <c:v>27838</c:v>
                </c:pt>
                <c:pt idx="29">
                  <c:v>27839</c:v>
                </c:pt>
                <c:pt idx="30">
                  <c:v>27840</c:v>
                </c:pt>
                <c:pt idx="31">
                  <c:v>27841</c:v>
                </c:pt>
                <c:pt idx="32">
                  <c:v>27842</c:v>
                </c:pt>
                <c:pt idx="33">
                  <c:v>27843</c:v>
                </c:pt>
                <c:pt idx="34">
                  <c:v>27844</c:v>
                </c:pt>
                <c:pt idx="35">
                  <c:v>27845</c:v>
                </c:pt>
                <c:pt idx="36">
                  <c:v>27846</c:v>
                </c:pt>
                <c:pt idx="37">
                  <c:v>27847</c:v>
                </c:pt>
                <c:pt idx="38">
                  <c:v>27848</c:v>
                </c:pt>
                <c:pt idx="39">
                  <c:v>27849</c:v>
                </c:pt>
                <c:pt idx="40">
                  <c:v>27850</c:v>
                </c:pt>
                <c:pt idx="41">
                  <c:v>27851</c:v>
                </c:pt>
                <c:pt idx="42">
                  <c:v>27852</c:v>
                </c:pt>
                <c:pt idx="43">
                  <c:v>27853</c:v>
                </c:pt>
                <c:pt idx="44">
                  <c:v>27854</c:v>
                </c:pt>
                <c:pt idx="45">
                  <c:v>27855</c:v>
                </c:pt>
                <c:pt idx="46">
                  <c:v>27856</c:v>
                </c:pt>
                <c:pt idx="47">
                  <c:v>27857</c:v>
                </c:pt>
                <c:pt idx="48">
                  <c:v>27858</c:v>
                </c:pt>
                <c:pt idx="49">
                  <c:v>27859</c:v>
                </c:pt>
                <c:pt idx="50">
                  <c:v>27860</c:v>
                </c:pt>
                <c:pt idx="51">
                  <c:v>27861</c:v>
                </c:pt>
                <c:pt idx="52">
                  <c:v>27862</c:v>
                </c:pt>
                <c:pt idx="53">
                  <c:v>27863</c:v>
                </c:pt>
                <c:pt idx="54">
                  <c:v>27864</c:v>
                </c:pt>
                <c:pt idx="55">
                  <c:v>27865</c:v>
                </c:pt>
                <c:pt idx="56">
                  <c:v>27866</c:v>
                </c:pt>
                <c:pt idx="57">
                  <c:v>27867</c:v>
                </c:pt>
                <c:pt idx="58">
                  <c:v>27868</c:v>
                </c:pt>
                <c:pt idx="59">
                  <c:v>27869</c:v>
                </c:pt>
                <c:pt idx="60">
                  <c:v>27871</c:v>
                </c:pt>
                <c:pt idx="61">
                  <c:v>27872</c:v>
                </c:pt>
                <c:pt idx="62">
                  <c:v>27873</c:v>
                </c:pt>
                <c:pt idx="63">
                  <c:v>27874</c:v>
                </c:pt>
                <c:pt idx="64">
                  <c:v>27875</c:v>
                </c:pt>
                <c:pt idx="65">
                  <c:v>27876</c:v>
                </c:pt>
                <c:pt idx="66">
                  <c:v>27877</c:v>
                </c:pt>
                <c:pt idx="67">
                  <c:v>27878</c:v>
                </c:pt>
                <c:pt idx="68">
                  <c:v>27879</c:v>
                </c:pt>
                <c:pt idx="69">
                  <c:v>27880</c:v>
                </c:pt>
                <c:pt idx="70">
                  <c:v>27881</c:v>
                </c:pt>
                <c:pt idx="71">
                  <c:v>27882</c:v>
                </c:pt>
                <c:pt idx="72">
                  <c:v>27883</c:v>
                </c:pt>
                <c:pt idx="73">
                  <c:v>27884</c:v>
                </c:pt>
                <c:pt idx="74">
                  <c:v>27885</c:v>
                </c:pt>
                <c:pt idx="75">
                  <c:v>27886</c:v>
                </c:pt>
                <c:pt idx="76">
                  <c:v>27887</c:v>
                </c:pt>
                <c:pt idx="77">
                  <c:v>27888</c:v>
                </c:pt>
                <c:pt idx="78">
                  <c:v>27889</c:v>
                </c:pt>
                <c:pt idx="79">
                  <c:v>27890</c:v>
                </c:pt>
                <c:pt idx="80">
                  <c:v>27891</c:v>
                </c:pt>
                <c:pt idx="81">
                  <c:v>27892</c:v>
                </c:pt>
                <c:pt idx="82">
                  <c:v>27893</c:v>
                </c:pt>
                <c:pt idx="83">
                  <c:v>27894</c:v>
                </c:pt>
                <c:pt idx="84">
                  <c:v>27895</c:v>
                </c:pt>
                <c:pt idx="85">
                  <c:v>27896</c:v>
                </c:pt>
                <c:pt idx="86">
                  <c:v>27897</c:v>
                </c:pt>
                <c:pt idx="87">
                  <c:v>27898</c:v>
                </c:pt>
                <c:pt idx="88">
                  <c:v>27899</c:v>
                </c:pt>
                <c:pt idx="89">
                  <c:v>27900</c:v>
                </c:pt>
                <c:pt idx="90">
                  <c:v>27901</c:v>
                </c:pt>
                <c:pt idx="91">
                  <c:v>27902</c:v>
                </c:pt>
                <c:pt idx="92">
                  <c:v>27903</c:v>
                </c:pt>
                <c:pt idx="93">
                  <c:v>27904</c:v>
                </c:pt>
                <c:pt idx="94">
                  <c:v>27905</c:v>
                </c:pt>
                <c:pt idx="95">
                  <c:v>27906</c:v>
                </c:pt>
                <c:pt idx="96">
                  <c:v>27907</c:v>
                </c:pt>
                <c:pt idx="97">
                  <c:v>27908</c:v>
                </c:pt>
                <c:pt idx="98">
                  <c:v>27909</c:v>
                </c:pt>
                <c:pt idx="99">
                  <c:v>27910</c:v>
                </c:pt>
                <c:pt idx="100">
                  <c:v>27911</c:v>
                </c:pt>
                <c:pt idx="101">
                  <c:v>27912</c:v>
                </c:pt>
                <c:pt idx="102">
                  <c:v>27913</c:v>
                </c:pt>
                <c:pt idx="103">
                  <c:v>27914</c:v>
                </c:pt>
                <c:pt idx="104">
                  <c:v>27915</c:v>
                </c:pt>
                <c:pt idx="105">
                  <c:v>27916</c:v>
                </c:pt>
                <c:pt idx="106">
                  <c:v>27917</c:v>
                </c:pt>
                <c:pt idx="107">
                  <c:v>27918</c:v>
                </c:pt>
                <c:pt idx="108">
                  <c:v>27919</c:v>
                </c:pt>
                <c:pt idx="109">
                  <c:v>27920</c:v>
                </c:pt>
                <c:pt idx="110">
                  <c:v>27921</c:v>
                </c:pt>
                <c:pt idx="111">
                  <c:v>27922</c:v>
                </c:pt>
                <c:pt idx="112">
                  <c:v>27923</c:v>
                </c:pt>
                <c:pt idx="113">
                  <c:v>27924</c:v>
                </c:pt>
                <c:pt idx="114">
                  <c:v>27925</c:v>
                </c:pt>
                <c:pt idx="115">
                  <c:v>27926</c:v>
                </c:pt>
                <c:pt idx="116">
                  <c:v>27927</c:v>
                </c:pt>
                <c:pt idx="117">
                  <c:v>27928</c:v>
                </c:pt>
                <c:pt idx="118">
                  <c:v>27930</c:v>
                </c:pt>
                <c:pt idx="119">
                  <c:v>27931</c:v>
                </c:pt>
                <c:pt idx="120">
                  <c:v>27932</c:v>
                </c:pt>
              </c:numCache>
            </c:numRef>
          </c:xVal>
          <c:yVal>
            <c:numRef>
              <c:f>'15N'!$Y$2:$Y$125</c:f>
              <c:numCache>
                <c:formatCode>0.00</c:formatCode>
                <c:ptCount val="124"/>
                <c:pt idx="0">
                  <c:v>8.565825422807734</c:v>
                </c:pt>
                <c:pt idx="1">
                  <c:v>8.3687091971943346</c:v>
                </c:pt>
                <c:pt idx="2">
                  <c:v>9.0157507444403109</c:v>
                </c:pt>
                <c:pt idx="3">
                  <c:v>-1.8472644653930956</c:v>
                </c:pt>
                <c:pt idx="4">
                  <c:v>-0.28924987743596375</c:v>
                </c:pt>
                <c:pt idx="5">
                  <c:v>8.6005752752067792</c:v>
                </c:pt>
                <c:pt idx="6">
                  <c:v>2.5907719853471463</c:v>
                </c:pt>
                <c:pt idx="7">
                  <c:v>3.5096171194602448</c:v>
                </c:pt>
                <c:pt idx="8">
                  <c:v>4.4802217249604155</c:v>
                </c:pt>
                <c:pt idx="9">
                  <c:v>4.8833861258812021</c:v>
                </c:pt>
                <c:pt idx="10">
                  <c:v>2.0551307674433019</c:v>
                </c:pt>
                <c:pt idx="11">
                  <c:v>4.8385625239220644</c:v>
                </c:pt>
                <c:pt idx="12">
                  <c:v>5.200910466454161</c:v>
                </c:pt>
                <c:pt idx="13">
                  <c:v>-1.7757287433959164</c:v>
                </c:pt>
                <c:pt idx="14">
                  <c:v>1.9326293574684996</c:v>
                </c:pt>
                <c:pt idx="15">
                  <c:v>3.7056275957916114</c:v>
                </c:pt>
                <c:pt idx="16">
                  <c:v>3.0216989715009959</c:v>
                </c:pt>
                <c:pt idx="17">
                  <c:v>4.8972184360441133</c:v>
                </c:pt>
                <c:pt idx="18">
                  <c:v>3.3730883803749521</c:v>
                </c:pt>
                <c:pt idx="19">
                  <c:v>4.5527493994346742</c:v>
                </c:pt>
                <c:pt idx="20">
                  <c:v>4.8434222676445415</c:v>
                </c:pt>
                <c:pt idx="21">
                  <c:v>2.448216824291876</c:v>
                </c:pt>
                <c:pt idx="22">
                  <c:v>3.8240013588075499</c:v>
                </c:pt>
                <c:pt idx="23">
                  <c:v>3.1709342372923857</c:v>
                </c:pt>
                <c:pt idx="24">
                  <c:v>-1.8415790081215846</c:v>
                </c:pt>
                <c:pt idx="25">
                  <c:v>3.0643882682611547</c:v>
                </c:pt>
                <c:pt idx="26">
                  <c:v>3.6487397332693945</c:v>
                </c:pt>
                <c:pt idx="27">
                  <c:v>1.83888022276426</c:v>
                </c:pt>
                <c:pt idx="28">
                  <c:v>4.3266527290998056</c:v>
                </c:pt>
                <c:pt idx="29">
                  <c:v>2.7457715093247543</c:v>
                </c:pt>
                <c:pt idx="30">
                  <c:v>3.0016055424888464</c:v>
                </c:pt>
                <c:pt idx="31">
                  <c:v>3.8567353234423081</c:v>
                </c:pt>
                <c:pt idx="32">
                  <c:v>1.7492177797073509</c:v>
                </c:pt>
                <c:pt idx="33">
                  <c:v>4.5854177603263224</c:v>
                </c:pt>
                <c:pt idx="34">
                  <c:v>3.282287586609641</c:v>
                </c:pt>
                <c:pt idx="35">
                  <c:v>-1.7551100354539813</c:v>
                </c:pt>
                <c:pt idx="36">
                  <c:v>4.1304338728158427</c:v>
                </c:pt>
                <c:pt idx="37">
                  <c:v>2.536608504642345</c:v>
                </c:pt>
                <c:pt idx="38">
                  <c:v>1.7790049598755786</c:v>
                </c:pt>
                <c:pt idx="39">
                  <c:v>3.4454858497495024</c:v>
                </c:pt>
                <c:pt idx="40">
                  <c:v>4.2249544093384657</c:v>
                </c:pt>
                <c:pt idx="41">
                  <c:v>5.0293056393638835</c:v>
                </c:pt>
                <c:pt idx="42">
                  <c:v>3.2503265664945502</c:v>
                </c:pt>
                <c:pt idx="43">
                  <c:v>5.1099147244651704</c:v>
                </c:pt>
                <c:pt idx="44">
                  <c:v>3.8705023278456565</c:v>
                </c:pt>
                <c:pt idx="45">
                  <c:v>2.3294361936320911</c:v>
                </c:pt>
                <c:pt idx="46">
                  <c:v>-1.7891026707000037</c:v>
                </c:pt>
                <c:pt idx="47">
                  <c:v>4.1721011278011702</c:v>
                </c:pt>
                <c:pt idx="48">
                  <c:v>3.4403905504379964</c:v>
                </c:pt>
                <c:pt idx="49">
                  <c:v>3.9500773893697669</c:v>
                </c:pt>
                <c:pt idx="50">
                  <c:v>1.8445524321124367</c:v>
                </c:pt>
                <c:pt idx="51">
                  <c:v>3.5339291728364515</c:v>
                </c:pt>
                <c:pt idx="52">
                  <c:v>2.3004745740166754</c:v>
                </c:pt>
                <c:pt idx="53">
                  <c:v>4.023692454208458</c:v>
                </c:pt>
                <c:pt idx="54">
                  <c:v>5.1475996742494772</c:v>
                </c:pt>
                <c:pt idx="55">
                  <c:v>3.9310842797265195</c:v>
                </c:pt>
                <c:pt idx="56">
                  <c:v>2.9365570048692007</c:v>
                </c:pt>
                <c:pt idx="57">
                  <c:v>-1.7693355869359948</c:v>
                </c:pt>
                <c:pt idx="58">
                  <c:v>2.5054727283710463</c:v>
                </c:pt>
                <c:pt idx="59">
                  <c:v>-0.29993796080020729</c:v>
                </c:pt>
                <c:pt idx="60">
                  <c:v>8.4863590708081347</c:v>
                </c:pt>
                <c:pt idx="61">
                  <c:v>1.4043738988073073</c:v>
                </c:pt>
                <c:pt idx="62">
                  <c:v>3.3147600207522601</c:v>
                </c:pt>
                <c:pt idx="63">
                  <c:v>2.6338158485482381</c:v>
                </c:pt>
                <c:pt idx="64">
                  <c:v>3.9090523156567087</c:v>
                </c:pt>
                <c:pt idx="65">
                  <c:v>6.4206761223597368</c:v>
                </c:pt>
                <c:pt idx="66">
                  <c:v>3.2599545904087108</c:v>
                </c:pt>
                <c:pt idx="67">
                  <c:v>-1.7913816196286234</c:v>
                </c:pt>
                <c:pt idx="68">
                  <c:v>4.6725507929146488</c:v>
                </c:pt>
                <c:pt idx="69">
                  <c:v>2.6247777034520823</c:v>
                </c:pt>
                <c:pt idx="70">
                  <c:v>2.4714550613932715</c:v>
                </c:pt>
                <c:pt idx="71">
                  <c:v>3.4908475294949994</c:v>
                </c:pt>
                <c:pt idx="72">
                  <c:v>2.9751596089836312</c:v>
                </c:pt>
                <c:pt idx="73">
                  <c:v>1.8034220121548969</c:v>
                </c:pt>
                <c:pt idx="74">
                  <c:v>1.6968879844826006</c:v>
                </c:pt>
                <c:pt idx="75">
                  <c:v>4.8406986043652296</c:v>
                </c:pt>
                <c:pt idx="76">
                  <c:v>1.6431035499722384</c:v>
                </c:pt>
                <c:pt idx="77">
                  <c:v>2.5420451789765366</c:v>
                </c:pt>
                <c:pt idx="78">
                  <c:v>-1.7716145355112758</c:v>
                </c:pt>
                <c:pt idx="79">
                  <c:v>3.185121153847831</c:v>
                </c:pt>
                <c:pt idx="80">
                  <c:v>2.5818265885508254</c:v>
                </c:pt>
                <c:pt idx="81">
                  <c:v>1.7236755241233368</c:v>
                </c:pt>
                <c:pt idx="82">
                  <c:v>3.1791088333868629</c:v>
                </c:pt>
                <c:pt idx="83">
                  <c:v>5.1083828128874984</c:v>
                </c:pt>
                <c:pt idx="84">
                  <c:v>4.1616489192520021</c:v>
                </c:pt>
                <c:pt idx="85">
                  <c:v>1.8082426206254922</c:v>
                </c:pt>
                <c:pt idx="86">
                  <c:v>4.5100486839136238</c:v>
                </c:pt>
                <c:pt idx="87">
                  <c:v>3.8460345040508628</c:v>
                </c:pt>
                <c:pt idx="88">
                  <c:v>2.7768429757783224</c:v>
                </c:pt>
                <c:pt idx="89">
                  <c:v>-1.7976427706595359</c:v>
                </c:pt>
                <c:pt idx="90">
                  <c:v>1.8350563041357191</c:v>
                </c:pt>
                <c:pt idx="91">
                  <c:v>2.1824799877800842</c:v>
                </c:pt>
                <c:pt idx="92">
                  <c:v>5.9833036020230566</c:v>
                </c:pt>
                <c:pt idx="93">
                  <c:v>1.6100288423450593</c:v>
                </c:pt>
                <c:pt idx="94">
                  <c:v>2.1953824894275158</c:v>
                </c:pt>
                <c:pt idx="95">
                  <c:v>2.1067681514271044</c:v>
                </c:pt>
                <c:pt idx="96">
                  <c:v>2.6055096419539723</c:v>
                </c:pt>
                <c:pt idx="97">
                  <c:v>1.8638348586840721</c:v>
                </c:pt>
                <c:pt idx="98">
                  <c:v>4.0668928346473194</c:v>
                </c:pt>
                <c:pt idx="99">
                  <c:v>2.3336941884484759</c:v>
                </c:pt>
                <c:pt idx="100">
                  <c:v>-1.8216799096665</c:v>
                </c:pt>
                <c:pt idx="101">
                  <c:v>3.412805279925351</c:v>
                </c:pt>
                <c:pt idx="102">
                  <c:v>4.8174488820484385</c:v>
                </c:pt>
                <c:pt idx="103">
                  <c:v>5.2922878913761906</c:v>
                </c:pt>
                <c:pt idx="104">
                  <c:v>4.4062810059854201</c:v>
                </c:pt>
                <c:pt idx="105">
                  <c:v>2.8413290033107614</c:v>
                </c:pt>
                <c:pt idx="106">
                  <c:v>3.3788925226758693</c:v>
                </c:pt>
                <c:pt idx="107">
                  <c:v>3.3559827041643757</c:v>
                </c:pt>
                <c:pt idx="108">
                  <c:v>2.199181396572385</c:v>
                </c:pt>
                <c:pt idx="109">
                  <c:v>2.6959314948586552</c:v>
                </c:pt>
                <c:pt idx="110">
                  <c:v>2.0040332900658768</c:v>
                </c:pt>
                <c:pt idx="111">
                  <c:v>-1.8148549788458013</c:v>
                </c:pt>
                <c:pt idx="112">
                  <c:v>2.8203316160830809</c:v>
                </c:pt>
                <c:pt idx="113">
                  <c:v>3.4743698751193506</c:v>
                </c:pt>
                <c:pt idx="114">
                  <c:v>3.5231367421847608</c:v>
                </c:pt>
                <c:pt idx="115">
                  <c:v>1.799885932344182</c:v>
                </c:pt>
                <c:pt idx="116">
                  <c:v>2.6659744427666965</c:v>
                </c:pt>
                <c:pt idx="117">
                  <c:v>-0.28179467103063871</c:v>
                </c:pt>
                <c:pt idx="118">
                  <c:v>8.9982533381527219</c:v>
                </c:pt>
                <c:pt idx="119">
                  <c:v>-1.776146264788963</c:v>
                </c:pt>
                <c:pt idx="120">
                  <c:v>-1.833901282925126</c:v>
                </c:pt>
                <c:pt idx="121">
                  <c:v>0</c:v>
                </c:pt>
                <c:pt idx="122">
                  <c:v>0</c:v>
                </c:pt>
                <c:pt idx="123">
                  <c:v>0</c:v>
                </c:pt>
              </c:numCache>
            </c:numRef>
          </c:yVal>
          <c:smooth val="0"/>
          <c:extLst>
            <c:ext xmlns:c16="http://schemas.microsoft.com/office/drawing/2014/chart" uri="{C3380CC4-5D6E-409C-BE32-E72D297353CC}">
              <c16:uniqueId val="{00000000-1EE9-1F4B-AFF3-AD2EB716133C}"/>
            </c:ext>
          </c:extLst>
        </c:ser>
        <c:ser>
          <c:idx val="1"/>
          <c:order val="1"/>
          <c:tx>
            <c:strRef>
              <c:f>'15N'!$X$1</c:f>
              <c:strCache>
                <c:ptCount val="1"/>
                <c:pt idx="0">
                  <c:v>Initial Corrected δ15N (‰ AIR-N2)</c:v>
                </c:pt>
              </c:strCache>
            </c:strRef>
          </c:tx>
          <c:spPr>
            <a:ln w="25400" cap="rnd">
              <a:noFill/>
              <a:round/>
            </a:ln>
            <a:effectLst/>
          </c:spPr>
          <c:marker>
            <c:symbol val="circle"/>
            <c:size val="5"/>
            <c:spPr>
              <a:noFill/>
              <a:ln w="9525">
                <a:solidFill>
                  <a:srgbClr val="00B0F0"/>
                </a:solidFill>
              </a:ln>
              <a:effectLst/>
            </c:spPr>
          </c:marker>
          <c:xVal>
            <c:numRef>
              <c:f>'15N'!$B$2:$B$125</c:f>
              <c:numCache>
                <c:formatCode>General</c:formatCode>
                <c:ptCount val="124"/>
                <c:pt idx="0">
                  <c:v>27808</c:v>
                </c:pt>
                <c:pt idx="1">
                  <c:v>27809</c:v>
                </c:pt>
                <c:pt idx="2">
                  <c:v>27810</c:v>
                </c:pt>
                <c:pt idx="3">
                  <c:v>27812</c:v>
                </c:pt>
                <c:pt idx="4">
                  <c:v>27813</c:v>
                </c:pt>
                <c:pt idx="5">
                  <c:v>27815</c:v>
                </c:pt>
                <c:pt idx="6">
                  <c:v>27816</c:v>
                </c:pt>
                <c:pt idx="7">
                  <c:v>27817</c:v>
                </c:pt>
                <c:pt idx="8">
                  <c:v>27818</c:v>
                </c:pt>
                <c:pt idx="9">
                  <c:v>27819</c:v>
                </c:pt>
                <c:pt idx="10">
                  <c:v>27820</c:v>
                </c:pt>
                <c:pt idx="11">
                  <c:v>27821</c:v>
                </c:pt>
                <c:pt idx="12">
                  <c:v>27822</c:v>
                </c:pt>
                <c:pt idx="13">
                  <c:v>27823</c:v>
                </c:pt>
                <c:pt idx="14">
                  <c:v>27824</c:v>
                </c:pt>
                <c:pt idx="15">
                  <c:v>27825</c:v>
                </c:pt>
                <c:pt idx="16">
                  <c:v>27826</c:v>
                </c:pt>
                <c:pt idx="17">
                  <c:v>27827</c:v>
                </c:pt>
                <c:pt idx="18">
                  <c:v>27828</c:v>
                </c:pt>
                <c:pt idx="19">
                  <c:v>27829</c:v>
                </c:pt>
                <c:pt idx="20">
                  <c:v>27830</c:v>
                </c:pt>
                <c:pt idx="21">
                  <c:v>27831</c:v>
                </c:pt>
                <c:pt idx="22">
                  <c:v>27832</c:v>
                </c:pt>
                <c:pt idx="23">
                  <c:v>27833</c:v>
                </c:pt>
                <c:pt idx="24">
                  <c:v>27834</c:v>
                </c:pt>
                <c:pt idx="25">
                  <c:v>27835</c:v>
                </c:pt>
                <c:pt idx="26">
                  <c:v>27836</c:v>
                </c:pt>
                <c:pt idx="27">
                  <c:v>27837</c:v>
                </c:pt>
                <c:pt idx="28">
                  <c:v>27838</c:v>
                </c:pt>
                <c:pt idx="29">
                  <c:v>27839</c:v>
                </c:pt>
                <c:pt idx="30">
                  <c:v>27840</c:v>
                </c:pt>
                <c:pt idx="31">
                  <c:v>27841</c:v>
                </c:pt>
                <c:pt idx="32">
                  <c:v>27842</c:v>
                </c:pt>
                <c:pt idx="33">
                  <c:v>27843</c:v>
                </c:pt>
                <c:pt idx="34">
                  <c:v>27844</c:v>
                </c:pt>
                <c:pt idx="35">
                  <c:v>27845</c:v>
                </c:pt>
                <c:pt idx="36">
                  <c:v>27846</c:v>
                </c:pt>
                <c:pt idx="37">
                  <c:v>27847</c:v>
                </c:pt>
                <c:pt idx="38">
                  <c:v>27848</c:v>
                </c:pt>
                <c:pt idx="39">
                  <c:v>27849</c:v>
                </c:pt>
                <c:pt idx="40">
                  <c:v>27850</c:v>
                </c:pt>
                <c:pt idx="41">
                  <c:v>27851</c:v>
                </c:pt>
                <c:pt idx="42">
                  <c:v>27852</c:v>
                </c:pt>
                <c:pt idx="43">
                  <c:v>27853</c:v>
                </c:pt>
                <c:pt idx="44">
                  <c:v>27854</c:v>
                </c:pt>
                <c:pt idx="45">
                  <c:v>27855</c:v>
                </c:pt>
                <c:pt idx="46">
                  <c:v>27856</c:v>
                </c:pt>
                <c:pt idx="47">
                  <c:v>27857</c:v>
                </c:pt>
                <c:pt idx="48">
                  <c:v>27858</c:v>
                </c:pt>
                <c:pt idx="49">
                  <c:v>27859</c:v>
                </c:pt>
                <c:pt idx="50">
                  <c:v>27860</c:v>
                </c:pt>
                <c:pt idx="51">
                  <c:v>27861</c:v>
                </c:pt>
                <c:pt idx="52">
                  <c:v>27862</c:v>
                </c:pt>
                <c:pt idx="53">
                  <c:v>27863</c:v>
                </c:pt>
                <c:pt idx="54">
                  <c:v>27864</c:v>
                </c:pt>
                <c:pt idx="55">
                  <c:v>27865</c:v>
                </c:pt>
                <c:pt idx="56">
                  <c:v>27866</c:v>
                </c:pt>
                <c:pt idx="57">
                  <c:v>27867</c:v>
                </c:pt>
                <c:pt idx="58">
                  <c:v>27868</c:v>
                </c:pt>
                <c:pt idx="59">
                  <c:v>27869</c:v>
                </c:pt>
                <c:pt idx="60">
                  <c:v>27871</c:v>
                </c:pt>
                <c:pt idx="61">
                  <c:v>27872</c:v>
                </c:pt>
                <c:pt idx="62">
                  <c:v>27873</c:v>
                </c:pt>
                <c:pt idx="63">
                  <c:v>27874</c:v>
                </c:pt>
                <c:pt idx="64">
                  <c:v>27875</c:v>
                </c:pt>
                <c:pt idx="65">
                  <c:v>27876</c:v>
                </c:pt>
                <c:pt idx="66">
                  <c:v>27877</c:v>
                </c:pt>
                <c:pt idx="67">
                  <c:v>27878</c:v>
                </c:pt>
                <c:pt idx="68">
                  <c:v>27879</c:v>
                </c:pt>
                <c:pt idx="69">
                  <c:v>27880</c:v>
                </c:pt>
                <c:pt idx="70">
                  <c:v>27881</c:v>
                </c:pt>
                <c:pt idx="71">
                  <c:v>27882</c:v>
                </c:pt>
                <c:pt idx="72">
                  <c:v>27883</c:v>
                </c:pt>
                <c:pt idx="73">
                  <c:v>27884</c:v>
                </c:pt>
                <c:pt idx="74">
                  <c:v>27885</c:v>
                </c:pt>
                <c:pt idx="75">
                  <c:v>27886</c:v>
                </c:pt>
                <c:pt idx="76">
                  <c:v>27887</c:v>
                </c:pt>
                <c:pt idx="77">
                  <c:v>27888</c:v>
                </c:pt>
                <c:pt idx="78">
                  <c:v>27889</c:v>
                </c:pt>
                <c:pt idx="79">
                  <c:v>27890</c:v>
                </c:pt>
                <c:pt idx="80">
                  <c:v>27891</c:v>
                </c:pt>
                <c:pt idx="81">
                  <c:v>27892</c:v>
                </c:pt>
                <c:pt idx="82">
                  <c:v>27893</c:v>
                </c:pt>
                <c:pt idx="83">
                  <c:v>27894</c:v>
                </c:pt>
                <c:pt idx="84">
                  <c:v>27895</c:v>
                </c:pt>
                <c:pt idx="85">
                  <c:v>27896</c:v>
                </c:pt>
                <c:pt idx="86">
                  <c:v>27897</c:v>
                </c:pt>
                <c:pt idx="87">
                  <c:v>27898</c:v>
                </c:pt>
                <c:pt idx="88">
                  <c:v>27899</c:v>
                </c:pt>
                <c:pt idx="89">
                  <c:v>27900</c:v>
                </c:pt>
                <c:pt idx="90">
                  <c:v>27901</c:v>
                </c:pt>
                <c:pt idx="91">
                  <c:v>27902</c:v>
                </c:pt>
                <c:pt idx="92">
                  <c:v>27903</c:v>
                </c:pt>
                <c:pt idx="93">
                  <c:v>27904</c:v>
                </c:pt>
                <c:pt idx="94">
                  <c:v>27905</c:v>
                </c:pt>
                <c:pt idx="95">
                  <c:v>27906</c:v>
                </c:pt>
                <c:pt idx="96">
                  <c:v>27907</c:v>
                </c:pt>
                <c:pt idx="97">
                  <c:v>27908</c:v>
                </c:pt>
                <c:pt idx="98">
                  <c:v>27909</c:v>
                </c:pt>
                <c:pt idx="99">
                  <c:v>27910</c:v>
                </c:pt>
                <c:pt idx="100">
                  <c:v>27911</c:v>
                </c:pt>
                <c:pt idx="101">
                  <c:v>27912</c:v>
                </c:pt>
                <c:pt idx="102">
                  <c:v>27913</c:v>
                </c:pt>
                <c:pt idx="103">
                  <c:v>27914</c:v>
                </c:pt>
                <c:pt idx="104">
                  <c:v>27915</c:v>
                </c:pt>
                <c:pt idx="105">
                  <c:v>27916</c:v>
                </c:pt>
                <c:pt idx="106">
                  <c:v>27917</c:v>
                </c:pt>
                <c:pt idx="107">
                  <c:v>27918</c:v>
                </c:pt>
                <c:pt idx="108">
                  <c:v>27919</c:v>
                </c:pt>
                <c:pt idx="109">
                  <c:v>27920</c:v>
                </c:pt>
                <c:pt idx="110">
                  <c:v>27921</c:v>
                </c:pt>
                <c:pt idx="111">
                  <c:v>27922</c:v>
                </c:pt>
                <c:pt idx="112">
                  <c:v>27923</c:v>
                </c:pt>
                <c:pt idx="113">
                  <c:v>27924</c:v>
                </c:pt>
                <c:pt idx="114">
                  <c:v>27925</c:v>
                </c:pt>
                <c:pt idx="115">
                  <c:v>27926</c:v>
                </c:pt>
                <c:pt idx="116">
                  <c:v>27927</c:v>
                </c:pt>
                <c:pt idx="117">
                  <c:v>27928</c:v>
                </c:pt>
                <c:pt idx="118">
                  <c:v>27930</c:v>
                </c:pt>
                <c:pt idx="119">
                  <c:v>27931</c:v>
                </c:pt>
                <c:pt idx="120">
                  <c:v>27932</c:v>
                </c:pt>
              </c:numCache>
            </c:numRef>
          </c:xVal>
          <c:yVal>
            <c:numRef>
              <c:f>'15N'!$X$2:$X$125</c:f>
              <c:numCache>
                <c:formatCode>0.00</c:formatCode>
                <c:ptCount val="124"/>
                <c:pt idx="0">
                  <c:v>8.5649681425246627</c:v>
                </c:pt>
                <c:pt idx="1">
                  <c:v>8.3678642284163516</c:v>
                </c:pt>
                <c:pt idx="2">
                  <c:v>9.014921392405995</c:v>
                </c:pt>
                <c:pt idx="3">
                  <c:v>-1.8481096618107813</c:v>
                </c:pt>
                <c:pt idx="4">
                  <c:v>-0.2900760333669723</c:v>
                </c:pt>
                <c:pt idx="5">
                  <c:v>8.5998097118631449</c:v>
                </c:pt>
                <c:pt idx="6">
                  <c:v>2.5899961513546259</c:v>
                </c:pt>
                <c:pt idx="7">
                  <c:v>3.5088579173747121</c:v>
                </c:pt>
                <c:pt idx="8">
                  <c:v>4.4794793631562015</c:v>
                </c:pt>
                <c:pt idx="9">
                  <c:v>4.8826584105347592</c:v>
                </c:pt>
                <c:pt idx="10">
                  <c:v>2.0544052032203126</c:v>
                </c:pt>
                <c:pt idx="11">
                  <c:v>4.8378608014602378</c:v>
                </c:pt>
                <c:pt idx="12">
                  <c:v>5.2002232332187077</c:v>
                </c:pt>
                <c:pt idx="13">
                  <c:v>-1.7764297422982054</c:v>
                </c:pt>
                <c:pt idx="14">
                  <c:v>1.9319556561159743</c:v>
                </c:pt>
                <c:pt idx="15">
                  <c:v>3.7049738195642021</c:v>
                </c:pt>
                <c:pt idx="16">
                  <c:v>3.021055636229903</c:v>
                </c:pt>
                <c:pt idx="17">
                  <c:v>4.8965954412641395</c:v>
                </c:pt>
                <c:pt idx="18">
                  <c:v>3.3724725692715083</c:v>
                </c:pt>
                <c:pt idx="19">
                  <c:v>4.5521512361029863</c:v>
                </c:pt>
                <c:pt idx="20">
                  <c:v>4.8428383143558449</c:v>
                </c:pt>
                <c:pt idx="21">
                  <c:v>2.4476366947192219</c:v>
                </c:pt>
                <c:pt idx="22">
                  <c:v>3.8234396247263476</c:v>
                </c:pt>
                <c:pt idx="23">
                  <c:v>3.170383063036752</c:v>
                </c:pt>
                <c:pt idx="24">
                  <c:v>-1.8421363336481136</c:v>
                </c:pt>
                <c:pt idx="25">
                  <c:v>3.063862849766906</c:v>
                </c:pt>
                <c:pt idx="26">
                  <c:v>3.6482296554775075</c:v>
                </c:pt>
                <c:pt idx="27">
                  <c:v>1.8383762482870907</c:v>
                </c:pt>
                <c:pt idx="28">
                  <c:v>4.3261714407530008</c:v>
                </c:pt>
                <c:pt idx="29">
                  <c:v>2.7452971957906129</c:v>
                </c:pt>
                <c:pt idx="30">
                  <c:v>3.0011452994633601</c:v>
                </c:pt>
                <c:pt idx="31">
                  <c:v>3.8562914671996396</c:v>
                </c:pt>
                <c:pt idx="32">
                  <c:v>1.7487788786633018</c:v>
                </c:pt>
                <c:pt idx="33">
                  <c:v>4.5850028911230538</c:v>
                </c:pt>
                <c:pt idx="34">
                  <c:v>3.2818807611951115</c:v>
                </c:pt>
                <c:pt idx="35">
                  <c:v>-1.7555231066855868</c:v>
                </c:pt>
                <c:pt idx="36">
                  <c:v>4.130056492502149</c:v>
                </c:pt>
                <c:pt idx="37">
                  <c:v>2.5362380535109423</c:v>
                </c:pt>
                <c:pt idx="38">
                  <c:v>1.7786446755221732</c:v>
                </c:pt>
                <c:pt idx="39">
                  <c:v>3.4451450721550145</c:v>
                </c:pt>
                <c:pt idx="40">
                  <c:v>4.2246297284949605</c:v>
                </c:pt>
                <c:pt idx="41">
                  <c:v>5.028997157334743</c:v>
                </c:pt>
                <c:pt idx="42">
                  <c:v>3.2500242859401851</c:v>
                </c:pt>
                <c:pt idx="43">
                  <c:v>5.1096327216704367</c:v>
                </c:pt>
                <c:pt idx="44">
                  <c:v>3.8702286099384082</c:v>
                </c:pt>
                <c:pt idx="45">
                  <c:v>2.3291696133273945</c:v>
                </c:pt>
                <c:pt idx="46">
                  <c:v>-1.789371947011773</c:v>
                </c:pt>
                <c:pt idx="47">
                  <c:v>4.171867826525272</c:v>
                </c:pt>
                <c:pt idx="48">
                  <c:v>3.4401675047836306</c:v>
                </c:pt>
                <c:pt idx="49">
                  <c:v>3.94986939640944</c:v>
                </c:pt>
                <c:pt idx="50">
                  <c:v>1.8443494040268433</c:v>
                </c:pt>
                <c:pt idx="51">
                  <c:v>3.5337457389053952</c:v>
                </c:pt>
                <c:pt idx="52">
                  <c:v>2.3002994675950958</c:v>
                </c:pt>
                <c:pt idx="53">
                  <c:v>4.023537079677908</c:v>
                </c:pt>
                <c:pt idx="54">
                  <c:v>5.1474617343070577</c:v>
                </c:pt>
                <c:pt idx="55">
                  <c:v>3.9309547141194798</c:v>
                </c:pt>
                <c:pt idx="56">
                  <c:v>2.9364366835338842</c:v>
                </c:pt>
                <c:pt idx="57">
                  <c:v>-1.7694608633804592</c:v>
                </c:pt>
                <c:pt idx="58">
                  <c:v>2.505376913043051</c:v>
                </c:pt>
                <c:pt idx="59">
                  <c:v>-0.30003145947227949</c:v>
                </c:pt>
                <c:pt idx="60">
                  <c:v>8.486325708218601</c:v>
                </c:pt>
                <c:pt idx="61">
                  <c:v>1.4043261834298164</c:v>
                </c:pt>
                <c:pt idx="62">
                  <c:v>3.3147327429790039</c:v>
                </c:pt>
                <c:pt idx="63">
                  <c:v>2.6337990291629012</c:v>
                </c:pt>
                <c:pt idx="64">
                  <c:v>3.9090534995472126</c:v>
                </c:pt>
                <c:pt idx="65">
                  <c:v>6.4207001240018826</c:v>
                </c:pt>
                <c:pt idx="66">
                  <c:v>3.2599794353108109</c:v>
                </c:pt>
                <c:pt idx="67">
                  <c:v>-1.7913630555457303</c:v>
                </c:pt>
                <c:pt idx="68">
                  <c:v>4.6726072631948909</c:v>
                </c:pt>
                <c:pt idx="69">
                  <c:v>2.6248393508334402</c:v>
                </c:pt>
                <c:pt idx="70">
                  <c:v>2.4715292020193829</c:v>
                </c:pt>
                <c:pt idx="71">
                  <c:v>3.4909386828693414</c:v>
                </c:pt>
                <c:pt idx="72">
                  <c:v>2.975261857026112</c:v>
                </c:pt>
                <c:pt idx="73">
                  <c:v>1.8035328342360799</c:v>
                </c:pt>
                <c:pt idx="74">
                  <c:v>1.6970114808963217</c:v>
                </c:pt>
                <c:pt idx="75">
                  <c:v>4.8408473092208624</c:v>
                </c:pt>
                <c:pt idx="76">
                  <c:v>1.6432530071589326</c:v>
                </c:pt>
                <c:pt idx="77">
                  <c:v>2.5422111766110902</c:v>
                </c:pt>
                <c:pt idx="78">
                  <c:v>-1.7714519716038239</c:v>
                </c:pt>
                <c:pt idx="79">
                  <c:v>3.1853157961143097</c:v>
                </c:pt>
                <c:pt idx="80">
                  <c:v>2.5820319901390576</c:v>
                </c:pt>
                <c:pt idx="81">
                  <c:v>1.7238907092792033</c:v>
                </c:pt>
                <c:pt idx="82">
                  <c:v>3.1793427030927432</c:v>
                </c:pt>
                <c:pt idx="83">
                  <c:v>5.1086372211864273</c:v>
                </c:pt>
                <c:pt idx="84">
                  <c:v>4.1619127482376825</c:v>
                </c:pt>
                <c:pt idx="85">
                  <c:v>1.8085104653968074</c:v>
                </c:pt>
                <c:pt idx="86">
                  <c:v>4.5103400265826394</c:v>
                </c:pt>
                <c:pt idx="87">
                  <c:v>3.8463363643124922</c:v>
                </c:pt>
                <c:pt idx="88">
                  <c:v>2.777153796947232</c:v>
                </c:pt>
                <c:pt idx="89">
                  <c:v>-1.7973363813337073</c:v>
                </c:pt>
                <c:pt idx="90">
                  <c:v>1.8353896703122246</c:v>
                </c:pt>
                <c:pt idx="91">
                  <c:v>2.1828277728278636</c:v>
                </c:pt>
                <c:pt idx="92">
                  <c:v>5.9836791520662018</c:v>
                </c:pt>
                <c:pt idx="93">
                  <c:v>1.6104005954016429</c:v>
                </c:pt>
                <c:pt idx="94">
                  <c:v>2.1957695750054427</c:v>
                </c:pt>
                <c:pt idx="95">
                  <c:v>2.107167980006011</c:v>
                </c:pt>
                <c:pt idx="96">
                  <c:v>2.6059244722960102</c:v>
                </c:pt>
                <c:pt idx="97">
                  <c:v>1.8642599211422066</c:v>
                </c:pt>
                <c:pt idx="98">
                  <c:v>4.0673394658003872</c:v>
                </c:pt>
                <c:pt idx="99">
                  <c:v>2.3341472240008443</c:v>
                </c:pt>
                <c:pt idx="100">
                  <c:v>-1.8212296872789011</c:v>
                </c:pt>
                <c:pt idx="101">
                  <c:v>3.4132886376255556</c:v>
                </c:pt>
                <c:pt idx="102">
                  <c:v>4.8179507479387667</c:v>
                </c:pt>
                <c:pt idx="103">
                  <c:v>5.292804678626112</c:v>
                </c:pt>
                <c:pt idx="104">
                  <c:v>4.4068074488559432</c:v>
                </c:pt>
                <c:pt idx="105">
                  <c:v>2.8418624935827665</c:v>
                </c:pt>
                <c:pt idx="106">
                  <c:v>3.3794411672308797</c:v>
                </c:pt>
                <c:pt idx="107">
                  <c:v>3.3565443439360934</c:v>
                </c:pt>
                <c:pt idx="108">
                  <c:v>2.1997516677191697</c:v>
                </c:pt>
                <c:pt idx="109">
                  <c:v>2.6965167598689277</c:v>
                </c:pt>
                <c:pt idx="110">
                  <c:v>2.0046289787225078</c:v>
                </c:pt>
                <c:pt idx="111">
                  <c:v>-1.8142608059164331</c:v>
                </c:pt>
                <c:pt idx="112">
                  <c:v>2.8209566105626891</c:v>
                </c:pt>
                <c:pt idx="113">
                  <c:v>3.4750104723094637</c:v>
                </c:pt>
                <c:pt idx="114">
                  <c:v>3.5237906108751531</c:v>
                </c:pt>
                <c:pt idx="115">
                  <c:v>1.8005462554463065</c:v>
                </c:pt>
                <c:pt idx="116">
                  <c:v>2.6666511776597872</c:v>
                </c:pt>
                <c:pt idx="117">
                  <c:v>-0.28111615053569494</c:v>
                </c:pt>
                <c:pt idx="118">
                  <c:v>8.9989938708034742</c:v>
                </c:pt>
                <c:pt idx="119">
                  <c:v>-1.7754341881440041</c:v>
                </c:pt>
                <c:pt idx="120">
                  <c:v>-1.8331763419279241</c:v>
                </c:pt>
                <c:pt idx="121">
                  <c:v>0</c:v>
                </c:pt>
                <c:pt idx="122">
                  <c:v>0</c:v>
                </c:pt>
                <c:pt idx="123">
                  <c:v>0</c:v>
                </c:pt>
              </c:numCache>
            </c:numRef>
          </c:yVal>
          <c:smooth val="0"/>
          <c:extLst>
            <c:ext xmlns:c16="http://schemas.microsoft.com/office/drawing/2014/chart" uri="{C3380CC4-5D6E-409C-BE32-E72D297353CC}">
              <c16:uniqueId val="{00000001-1EE9-1F4B-AFF3-AD2EB716133C}"/>
            </c:ext>
          </c:extLst>
        </c:ser>
        <c:ser>
          <c:idx val="0"/>
          <c:order val="2"/>
          <c:tx>
            <c:strRef>
              <c:f>'15N'!$S$1</c:f>
              <c:strCache>
                <c:ptCount val="1"/>
                <c:pt idx="0">
                  <c:v>Amt%</c:v>
                </c:pt>
              </c:strCache>
            </c:strRef>
          </c:tx>
          <c:spPr>
            <a:ln w="19050" cap="rnd">
              <a:noFill/>
              <a:round/>
            </a:ln>
            <a:effectLst/>
          </c:spPr>
          <c:marker>
            <c:symbol val="circle"/>
            <c:size val="3"/>
            <c:spPr>
              <a:solidFill>
                <a:schemeClr val="tx1"/>
              </a:solidFill>
              <a:ln w="9525">
                <a:noFill/>
              </a:ln>
              <a:effectLst/>
            </c:spPr>
          </c:marker>
          <c:xVal>
            <c:numRef>
              <c:f>'15N'!$B$2:$B$125</c:f>
              <c:numCache>
                <c:formatCode>General</c:formatCode>
                <c:ptCount val="124"/>
                <c:pt idx="0">
                  <c:v>27808</c:v>
                </c:pt>
                <c:pt idx="1">
                  <c:v>27809</c:v>
                </c:pt>
                <c:pt idx="2">
                  <c:v>27810</c:v>
                </c:pt>
                <c:pt idx="3">
                  <c:v>27812</c:v>
                </c:pt>
                <c:pt idx="4">
                  <c:v>27813</c:v>
                </c:pt>
                <c:pt idx="5">
                  <c:v>27815</c:v>
                </c:pt>
                <c:pt idx="6">
                  <c:v>27816</c:v>
                </c:pt>
                <c:pt idx="7">
                  <c:v>27817</c:v>
                </c:pt>
                <c:pt idx="8">
                  <c:v>27818</c:v>
                </c:pt>
                <c:pt idx="9">
                  <c:v>27819</c:v>
                </c:pt>
                <c:pt idx="10">
                  <c:v>27820</c:v>
                </c:pt>
                <c:pt idx="11">
                  <c:v>27821</c:v>
                </c:pt>
                <c:pt idx="12">
                  <c:v>27822</c:v>
                </c:pt>
                <c:pt idx="13">
                  <c:v>27823</c:v>
                </c:pt>
                <c:pt idx="14">
                  <c:v>27824</c:v>
                </c:pt>
                <c:pt idx="15">
                  <c:v>27825</c:v>
                </c:pt>
                <c:pt idx="16">
                  <c:v>27826</c:v>
                </c:pt>
                <c:pt idx="17">
                  <c:v>27827</c:v>
                </c:pt>
                <c:pt idx="18">
                  <c:v>27828</c:v>
                </c:pt>
                <c:pt idx="19">
                  <c:v>27829</c:v>
                </c:pt>
                <c:pt idx="20">
                  <c:v>27830</c:v>
                </c:pt>
                <c:pt idx="21">
                  <c:v>27831</c:v>
                </c:pt>
                <c:pt idx="22">
                  <c:v>27832</c:v>
                </c:pt>
                <c:pt idx="23">
                  <c:v>27833</c:v>
                </c:pt>
                <c:pt idx="24">
                  <c:v>27834</c:v>
                </c:pt>
                <c:pt idx="25">
                  <c:v>27835</c:v>
                </c:pt>
                <c:pt idx="26">
                  <c:v>27836</c:v>
                </c:pt>
                <c:pt idx="27">
                  <c:v>27837</c:v>
                </c:pt>
                <c:pt idx="28">
                  <c:v>27838</c:v>
                </c:pt>
                <c:pt idx="29">
                  <c:v>27839</c:v>
                </c:pt>
                <c:pt idx="30">
                  <c:v>27840</c:v>
                </c:pt>
                <c:pt idx="31">
                  <c:v>27841</c:v>
                </c:pt>
                <c:pt idx="32">
                  <c:v>27842</c:v>
                </c:pt>
                <c:pt idx="33">
                  <c:v>27843</c:v>
                </c:pt>
                <c:pt idx="34">
                  <c:v>27844</c:v>
                </c:pt>
                <c:pt idx="35">
                  <c:v>27845</c:v>
                </c:pt>
                <c:pt idx="36">
                  <c:v>27846</c:v>
                </c:pt>
                <c:pt idx="37">
                  <c:v>27847</c:v>
                </c:pt>
                <c:pt idx="38">
                  <c:v>27848</c:v>
                </c:pt>
                <c:pt idx="39">
                  <c:v>27849</c:v>
                </c:pt>
                <c:pt idx="40">
                  <c:v>27850</c:v>
                </c:pt>
                <c:pt idx="41">
                  <c:v>27851</c:v>
                </c:pt>
                <c:pt idx="42">
                  <c:v>27852</c:v>
                </c:pt>
                <c:pt idx="43">
                  <c:v>27853</c:v>
                </c:pt>
                <c:pt idx="44">
                  <c:v>27854</c:v>
                </c:pt>
                <c:pt idx="45">
                  <c:v>27855</c:v>
                </c:pt>
                <c:pt idx="46">
                  <c:v>27856</c:v>
                </c:pt>
                <c:pt idx="47">
                  <c:v>27857</c:v>
                </c:pt>
                <c:pt idx="48">
                  <c:v>27858</c:v>
                </c:pt>
                <c:pt idx="49">
                  <c:v>27859</c:v>
                </c:pt>
                <c:pt idx="50">
                  <c:v>27860</c:v>
                </c:pt>
                <c:pt idx="51">
                  <c:v>27861</c:v>
                </c:pt>
                <c:pt idx="52">
                  <c:v>27862</c:v>
                </c:pt>
                <c:pt idx="53">
                  <c:v>27863</c:v>
                </c:pt>
                <c:pt idx="54">
                  <c:v>27864</c:v>
                </c:pt>
                <c:pt idx="55">
                  <c:v>27865</c:v>
                </c:pt>
                <c:pt idx="56">
                  <c:v>27866</c:v>
                </c:pt>
                <c:pt idx="57">
                  <c:v>27867</c:v>
                </c:pt>
                <c:pt idx="58">
                  <c:v>27868</c:v>
                </c:pt>
                <c:pt idx="59">
                  <c:v>27869</c:v>
                </c:pt>
                <c:pt idx="60">
                  <c:v>27871</c:v>
                </c:pt>
                <c:pt idx="61">
                  <c:v>27872</c:v>
                </c:pt>
                <c:pt idx="62">
                  <c:v>27873</c:v>
                </c:pt>
                <c:pt idx="63">
                  <c:v>27874</c:v>
                </c:pt>
                <c:pt idx="64">
                  <c:v>27875</c:v>
                </c:pt>
                <c:pt idx="65">
                  <c:v>27876</c:v>
                </c:pt>
                <c:pt idx="66">
                  <c:v>27877</c:v>
                </c:pt>
                <c:pt idx="67">
                  <c:v>27878</c:v>
                </c:pt>
                <c:pt idx="68">
                  <c:v>27879</c:v>
                </c:pt>
                <c:pt idx="69">
                  <c:v>27880</c:v>
                </c:pt>
                <c:pt idx="70">
                  <c:v>27881</c:v>
                </c:pt>
                <c:pt idx="71">
                  <c:v>27882</c:v>
                </c:pt>
                <c:pt idx="72">
                  <c:v>27883</c:v>
                </c:pt>
                <c:pt idx="73">
                  <c:v>27884</c:v>
                </c:pt>
                <c:pt idx="74">
                  <c:v>27885</c:v>
                </c:pt>
                <c:pt idx="75">
                  <c:v>27886</c:v>
                </c:pt>
                <c:pt idx="76">
                  <c:v>27887</c:v>
                </c:pt>
                <c:pt idx="77">
                  <c:v>27888</c:v>
                </c:pt>
                <c:pt idx="78">
                  <c:v>27889</c:v>
                </c:pt>
                <c:pt idx="79">
                  <c:v>27890</c:v>
                </c:pt>
                <c:pt idx="80">
                  <c:v>27891</c:v>
                </c:pt>
                <c:pt idx="81">
                  <c:v>27892</c:v>
                </c:pt>
                <c:pt idx="82">
                  <c:v>27893</c:v>
                </c:pt>
                <c:pt idx="83">
                  <c:v>27894</c:v>
                </c:pt>
                <c:pt idx="84">
                  <c:v>27895</c:v>
                </c:pt>
                <c:pt idx="85">
                  <c:v>27896</c:v>
                </c:pt>
                <c:pt idx="86">
                  <c:v>27897</c:v>
                </c:pt>
                <c:pt idx="87">
                  <c:v>27898</c:v>
                </c:pt>
                <c:pt idx="88">
                  <c:v>27899</c:v>
                </c:pt>
                <c:pt idx="89">
                  <c:v>27900</c:v>
                </c:pt>
                <c:pt idx="90">
                  <c:v>27901</c:v>
                </c:pt>
                <c:pt idx="91">
                  <c:v>27902</c:v>
                </c:pt>
                <c:pt idx="92">
                  <c:v>27903</c:v>
                </c:pt>
                <c:pt idx="93">
                  <c:v>27904</c:v>
                </c:pt>
                <c:pt idx="94">
                  <c:v>27905</c:v>
                </c:pt>
                <c:pt idx="95">
                  <c:v>27906</c:v>
                </c:pt>
                <c:pt idx="96">
                  <c:v>27907</c:v>
                </c:pt>
                <c:pt idx="97">
                  <c:v>27908</c:v>
                </c:pt>
                <c:pt idx="98">
                  <c:v>27909</c:v>
                </c:pt>
                <c:pt idx="99">
                  <c:v>27910</c:v>
                </c:pt>
                <c:pt idx="100">
                  <c:v>27911</c:v>
                </c:pt>
                <c:pt idx="101">
                  <c:v>27912</c:v>
                </c:pt>
                <c:pt idx="102">
                  <c:v>27913</c:v>
                </c:pt>
                <c:pt idx="103">
                  <c:v>27914</c:v>
                </c:pt>
                <c:pt idx="104">
                  <c:v>27915</c:v>
                </c:pt>
                <c:pt idx="105">
                  <c:v>27916</c:v>
                </c:pt>
                <c:pt idx="106">
                  <c:v>27917</c:v>
                </c:pt>
                <c:pt idx="107">
                  <c:v>27918</c:v>
                </c:pt>
                <c:pt idx="108">
                  <c:v>27919</c:v>
                </c:pt>
                <c:pt idx="109">
                  <c:v>27920</c:v>
                </c:pt>
                <c:pt idx="110">
                  <c:v>27921</c:v>
                </c:pt>
                <c:pt idx="111">
                  <c:v>27922</c:v>
                </c:pt>
                <c:pt idx="112">
                  <c:v>27923</c:v>
                </c:pt>
                <c:pt idx="113">
                  <c:v>27924</c:v>
                </c:pt>
                <c:pt idx="114">
                  <c:v>27925</c:v>
                </c:pt>
                <c:pt idx="115">
                  <c:v>27926</c:v>
                </c:pt>
                <c:pt idx="116">
                  <c:v>27927</c:v>
                </c:pt>
                <c:pt idx="117">
                  <c:v>27928</c:v>
                </c:pt>
                <c:pt idx="118">
                  <c:v>27930</c:v>
                </c:pt>
                <c:pt idx="119">
                  <c:v>27931</c:v>
                </c:pt>
                <c:pt idx="120">
                  <c:v>27932</c:v>
                </c:pt>
              </c:numCache>
            </c:numRef>
          </c:xVal>
          <c:yVal>
            <c:numRef>
              <c:f>'15N'!$S$2:$S$125</c:f>
              <c:numCache>
                <c:formatCode>General</c:formatCode>
                <c:ptCount val="124"/>
              </c:numCache>
            </c:numRef>
          </c:yVal>
          <c:smooth val="0"/>
          <c:extLst>
            <c:ext xmlns:c16="http://schemas.microsoft.com/office/drawing/2014/chart" uri="{C3380CC4-5D6E-409C-BE32-E72D297353CC}">
              <c16:uniqueId val="{00000002-1EE9-1F4B-AFF3-AD2EB716133C}"/>
            </c:ext>
          </c:extLst>
        </c:ser>
        <c:dLbls>
          <c:showLegendKey val="0"/>
          <c:showVal val="0"/>
          <c:showCatName val="0"/>
          <c:showSerName val="0"/>
          <c:showPercent val="0"/>
          <c:showBubbleSize val="0"/>
        </c:dLbls>
        <c:axId val="165510056"/>
        <c:axId val="165510440"/>
      </c:scatterChart>
      <c:valAx>
        <c:axId val="1655100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5510440"/>
        <c:crosses val="autoZero"/>
        <c:crossBetween val="midCat"/>
      </c:valAx>
      <c:valAx>
        <c:axId val="165510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d15N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551005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1"/>
          <c:tx>
            <c:strRef>
              <c:f>'15N'!$M$1</c:f>
              <c:strCache>
                <c:ptCount val="1"/>
                <c:pt idx="0">
                  <c:v>Ampl. 29</c:v>
                </c:pt>
              </c:strCache>
            </c:strRef>
          </c:tx>
          <c:spPr>
            <a:ln w="25400" cap="rnd">
              <a:noFill/>
              <a:round/>
            </a:ln>
            <a:effectLst/>
          </c:spPr>
          <c:marker>
            <c:symbol val="circle"/>
            <c:size val="7"/>
            <c:spPr>
              <a:noFill/>
              <a:ln w="9525">
                <a:solidFill>
                  <a:srgbClr val="FF0000"/>
                </a:solidFill>
              </a:ln>
              <a:effectLst/>
            </c:spPr>
          </c:marker>
          <c:xVal>
            <c:numRef>
              <c:f>'15N'!$B$2:$B$125</c:f>
              <c:numCache>
                <c:formatCode>General</c:formatCode>
                <c:ptCount val="124"/>
                <c:pt idx="0">
                  <c:v>27808</c:v>
                </c:pt>
                <c:pt idx="1">
                  <c:v>27809</c:v>
                </c:pt>
                <c:pt idx="2">
                  <c:v>27810</c:v>
                </c:pt>
                <c:pt idx="3">
                  <c:v>27812</c:v>
                </c:pt>
                <c:pt idx="4">
                  <c:v>27813</c:v>
                </c:pt>
                <c:pt idx="5">
                  <c:v>27815</c:v>
                </c:pt>
                <c:pt idx="6">
                  <c:v>27816</c:v>
                </c:pt>
                <c:pt idx="7">
                  <c:v>27817</c:v>
                </c:pt>
                <c:pt idx="8">
                  <c:v>27818</c:v>
                </c:pt>
                <c:pt idx="9">
                  <c:v>27819</c:v>
                </c:pt>
                <c:pt idx="10">
                  <c:v>27820</c:v>
                </c:pt>
                <c:pt idx="11">
                  <c:v>27821</c:v>
                </c:pt>
                <c:pt idx="12">
                  <c:v>27822</c:v>
                </c:pt>
                <c:pt idx="13">
                  <c:v>27823</c:v>
                </c:pt>
                <c:pt idx="14">
                  <c:v>27824</c:v>
                </c:pt>
                <c:pt idx="15">
                  <c:v>27825</c:v>
                </c:pt>
                <c:pt idx="16">
                  <c:v>27826</c:v>
                </c:pt>
                <c:pt idx="17">
                  <c:v>27827</c:v>
                </c:pt>
                <c:pt idx="18">
                  <c:v>27828</c:v>
                </c:pt>
                <c:pt idx="19">
                  <c:v>27829</c:v>
                </c:pt>
                <c:pt idx="20">
                  <c:v>27830</c:v>
                </c:pt>
                <c:pt idx="21">
                  <c:v>27831</c:v>
                </c:pt>
                <c:pt idx="22">
                  <c:v>27832</c:v>
                </c:pt>
                <c:pt idx="23">
                  <c:v>27833</c:v>
                </c:pt>
                <c:pt idx="24">
                  <c:v>27834</c:v>
                </c:pt>
                <c:pt idx="25">
                  <c:v>27835</c:v>
                </c:pt>
                <c:pt idx="26">
                  <c:v>27836</c:v>
                </c:pt>
                <c:pt idx="27">
                  <c:v>27837</c:v>
                </c:pt>
                <c:pt idx="28">
                  <c:v>27838</c:v>
                </c:pt>
                <c:pt idx="29">
                  <c:v>27839</c:v>
                </c:pt>
                <c:pt idx="30">
                  <c:v>27840</c:v>
                </c:pt>
                <c:pt idx="31">
                  <c:v>27841</c:v>
                </c:pt>
                <c:pt idx="32">
                  <c:v>27842</c:v>
                </c:pt>
                <c:pt idx="33">
                  <c:v>27843</c:v>
                </c:pt>
                <c:pt idx="34">
                  <c:v>27844</c:v>
                </c:pt>
                <c:pt idx="35">
                  <c:v>27845</c:v>
                </c:pt>
                <c:pt idx="36">
                  <c:v>27846</c:v>
                </c:pt>
                <c:pt idx="37">
                  <c:v>27847</c:v>
                </c:pt>
                <c:pt idx="38">
                  <c:v>27848</c:v>
                </c:pt>
                <c:pt idx="39">
                  <c:v>27849</c:v>
                </c:pt>
                <c:pt idx="40">
                  <c:v>27850</c:v>
                </c:pt>
                <c:pt idx="41">
                  <c:v>27851</c:v>
                </c:pt>
                <c:pt idx="42">
                  <c:v>27852</c:v>
                </c:pt>
                <c:pt idx="43">
                  <c:v>27853</c:v>
                </c:pt>
                <c:pt idx="44">
                  <c:v>27854</c:v>
                </c:pt>
                <c:pt idx="45">
                  <c:v>27855</c:v>
                </c:pt>
                <c:pt idx="46">
                  <c:v>27856</c:v>
                </c:pt>
                <c:pt idx="47">
                  <c:v>27857</c:v>
                </c:pt>
                <c:pt idx="48">
                  <c:v>27858</c:v>
                </c:pt>
                <c:pt idx="49">
                  <c:v>27859</c:v>
                </c:pt>
                <c:pt idx="50">
                  <c:v>27860</c:v>
                </c:pt>
                <c:pt idx="51">
                  <c:v>27861</c:v>
                </c:pt>
                <c:pt idx="52">
                  <c:v>27862</c:v>
                </c:pt>
                <c:pt idx="53">
                  <c:v>27863</c:v>
                </c:pt>
                <c:pt idx="54">
                  <c:v>27864</c:v>
                </c:pt>
                <c:pt idx="55">
                  <c:v>27865</c:v>
                </c:pt>
                <c:pt idx="56">
                  <c:v>27866</c:v>
                </c:pt>
                <c:pt idx="57">
                  <c:v>27867</c:v>
                </c:pt>
                <c:pt idx="58">
                  <c:v>27868</c:v>
                </c:pt>
                <c:pt idx="59">
                  <c:v>27869</c:v>
                </c:pt>
                <c:pt idx="60">
                  <c:v>27871</c:v>
                </c:pt>
                <c:pt idx="61">
                  <c:v>27872</c:v>
                </c:pt>
                <c:pt idx="62">
                  <c:v>27873</c:v>
                </c:pt>
                <c:pt idx="63">
                  <c:v>27874</c:v>
                </c:pt>
                <c:pt idx="64">
                  <c:v>27875</c:v>
                </c:pt>
                <c:pt idx="65">
                  <c:v>27876</c:v>
                </c:pt>
                <c:pt idx="66">
                  <c:v>27877</c:v>
                </c:pt>
                <c:pt idx="67">
                  <c:v>27878</c:v>
                </c:pt>
                <c:pt idx="68">
                  <c:v>27879</c:v>
                </c:pt>
                <c:pt idx="69">
                  <c:v>27880</c:v>
                </c:pt>
                <c:pt idx="70">
                  <c:v>27881</c:v>
                </c:pt>
                <c:pt idx="71">
                  <c:v>27882</c:v>
                </c:pt>
                <c:pt idx="72">
                  <c:v>27883</c:v>
                </c:pt>
                <c:pt idx="73">
                  <c:v>27884</c:v>
                </c:pt>
                <c:pt idx="74">
                  <c:v>27885</c:v>
                </c:pt>
                <c:pt idx="75">
                  <c:v>27886</c:v>
                </c:pt>
                <c:pt idx="76">
                  <c:v>27887</c:v>
                </c:pt>
                <c:pt idx="77">
                  <c:v>27888</c:v>
                </c:pt>
                <c:pt idx="78">
                  <c:v>27889</c:v>
                </c:pt>
                <c:pt idx="79">
                  <c:v>27890</c:v>
                </c:pt>
                <c:pt idx="80">
                  <c:v>27891</c:v>
                </c:pt>
                <c:pt idx="81">
                  <c:v>27892</c:v>
                </c:pt>
                <c:pt idx="82">
                  <c:v>27893</c:v>
                </c:pt>
                <c:pt idx="83">
                  <c:v>27894</c:v>
                </c:pt>
                <c:pt idx="84">
                  <c:v>27895</c:v>
                </c:pt>
                <c:pt idx="85">
                  <c:v>27896</c:v>
                </c:pt>
                <c:pt idx="86">
                  <c:v>27897</c:v>
                </c:pt>
                <c:pt idx="87">
                  <c:v>27898</c:v>
                </c:pt>
                <c:pt idx="88">
                  <c:v>27899</c:v>
                </c:pt>
                <c:pt idx="89">
                  <c:v>27900</c:v>
                </c:pt>
                <c:pt idx="90">
                  <c:v>27901</c:v>
                </c:pt>
                <c:pt idx="91">
                  <c:v>27902</c:v>
                </c:pt>
                <c:pt idx="92">
                  <c:v>27903</c:v>
                </c:pt>
                <c:pt idx="93">
                  <c:v>27904</c:v>
                </c:pt>
                <c:pt idx="94">
                  <c:v>27905</c:v>
                </c:pt>
                <c:pt idx="95">
                  <c:v>27906</c:v>
                </c:pt>
                <c:pt idx="96">
                  <c:v>27907</c:v>
                </c:pt>
                <c:pt idx="97">
                  <c:v>27908</c:v>
                </c:pt>
                <c:pt idx="98">
                  <c:v>27909</c:v>
                </c:pt>
                <c:pt idx="99">
                  <c:v>27910</c:v>
                </c:pt>
                <c:pt idx="100">
                  <c:v>27911</c:v>
                </c:pt>
                <c:pt idx="101">
                  <c:v>27912</c:v>
                </c:pt>
                <c:pt idx="102">
                  <c:v>27913</c:v>
                </c:pt>
                <c:pt idx="103">
                  <c:v>27914</c:v>
                </c:pt>
                <c:pt idx="104">
                  <c:v>27915</c:v>
                </c:pt>
                <c:pt idx="105">
                  <c:v>27916</c:v>
                </c:pt>
                <c:pt idx="106">
                  <c:v>27917</c:v>
                </c:pt>
                <c:pt idx="107">
                  <c:v>27918</c:v>
                </c:pt>
                <c:pt idx="108">
                  <c:v>27919</c:v>
                </c:pt>
                <c:pt idx="109">
                  <c:v>27920</c:v>
                </c:pt>
                <c:pt idx="110">
                  <c:v>27921</c:v>
                </c:pt>
                <c:pt idx="111">
                  <c:v>27922</c:v>
                </c:pt>
                <c:pt idx="112">
                  <c:v>27923</c:v>
                </c:pt>
                <c:pt idx="113">
                  <c:v>27924</c:v>
                </c:pt>
                <c:pt idx="114">
                  <c:v>27925</c:v>
                </c:pt>
                <c:pt idx="115">
                  <c:v>27926</c:v>
                </c:pt>
                <c:pt idx="116">
                  <c:v>27927</c:v>
                </c:pt>
                <c:pt idx="117">
                  <c:v>27928</c:v>
                </c:pt>
                <c:pt idx="118">
                  <c:v>27930</c:v>
                </c:pt>
                <c:pt idx="119">
                  <c:v>27931</c:v>
                </c:pt>
                <c:pt idx="120">
                  <c:v>27932</c:v>
                </c:pt>
              </c:numCache>
            </c:numRef>
          </c:xVal>
          <c:yVal>
            <c:numRef>
              <c:f>'15N'!$M$2:$M$125</c:f>
              <c:numCache>
                <c:formatCode>General</c:formatCode>
                <c:ptCount val="124"/>
                <c:pt idx="0">
                  <c:v>1433</c:v>
                </c:pt>
                <c:pt idx="1">
                  <c:v>1308</c:v>
                </c:pt>
                <c:pt idx="2">
                  <c:v>1044</c:v>
                </c:pt>
                <c:pt idx="3">
                  <c:v>2423</c:v>
                </c:pt>
                <c:pt idx="4">
                  <c:v>2237</c:v>
                </c:pt>
                <c:pt idx="5">
                  <c:v>1642</c:v>
                </c:pt>
                <c:pt idx="6">
                  <c:v>728</c:v>
                </c:pt>
                <c:pt idx="7">
                  <c:v>944</c:v>
                </c:pt>
                <c:pt idx="8">
                  <c:v>936</c:v>
                </c:pt>
                <c:pt idx="9">
                  <c:v>1369</c:v>
                </c:pt>
                <c:pt idx="10">
                  <c:v>1083</c:v>
                </c:pt>
                <c:pt idx="11">
                  <c:v>730</c:v>
                </c:pt>
                <c:pt idx="12">
                  <c:v>1359</c:v>
                </c:pt>
                <c:pt idx="13">
                  <c:v>2422</c:v>
                </c:pt>
                <c:pt idx="14">
                  <c:v>1246</c:v>
                </c:pt>
                <c:pt idx="15">
                  <c:v>1860</c:v>
                </c:pt>
                <c:pt idx="16">
                  <c:v>885</c:v>
                </c:pt>
                <c:pt idx="17">
                  <c:v>1161</c:v>
                </c:pt>
                <c:pt idx="18">
                  <c:v>1077</c:v>
                </c:pt>
                <c:pt idx="19">
                  <c:v>905</c:v>
                </c:pt>
                <c:pt idx="20">
                  <c:v>2774</c:v>
                </c:pt>
                <c:pt idx="21">
                  <c:v>1044</c:v>
                </c:pt>
                <c:pt idx="22">
                  <c:v>1114</c:v>
                </c:pt>
                <c:pt idx="23">
                  <c:v>1596</c:v>
                </c:pt>
                <c:pt idx="24">
                  <c:v>2369</c:v>
                </c:pt>
                <c:pt idx="25">
                  <c:v>603</c:v>
                </c:pt>
                <c:pt idx="26">
                  <c:v>542</c:v>
                </c:pt>
                <c:pt idx="27">
                  <c:v>860</c:v>
                </c:pt>
                <c:pt idx="28">
                  <c:v>1332</c:v>
                </c:pt>
                <c:pt idx="29">
                  <c:v>760</c:v>
                </c:pt>
                <c:pt idx="30">
                  <c:v>588</c:v>
                </c:pt>
                <c:pt idx="31">
                  <c:v>1083</c:v>
                </c:pt>
                <c:pt idx="32">
                  <c:v>618</c:v>
                </c:pt>
                <c:pt idx="33">
                  <c:v>1144</c:v>
                </c:pt>
                <c:pt idx="34">
                  <c:v>1338</c:v>
                </c:pt>
                <c:pt idx="35">
                  <c:v>2484</c:v>
                </c:pt>
                <c:pt idx="36">
                  <c:v>2090</c:v>
                </c:pt>
                <c:pt idx="37">
                  <c:v>566</c:v>
                </c:pt>
                <c:pt idx="38">
                  <c:v>2441</c:v>
                </c:pt>
                <c:pt idx="39">
                  <c:v>2043</c:v>
                </c:pt>
                <c:pt idx="40">
                  <c:v>1033</c:v>
                </c:pt>
                <c:pt idx="41">
                  <c:v>887</c:v>
                </c:pt>
                <c:pt idx="42">
                  <c:v>1275</c:v>
                </c:pt>
                <c:pt idx="43">
                  <c:v>776</c:v>
                </c:pt>
                <c:pt idx="44">
                  <c:v>1168</c:v>
                </c:pt>
                <c:pt idx="45">
                  <c:v>1792</c:v>
                </c:pt>
                <c:pt idx="46">
                  <c:v>2352</c:v>
                </c:pt>
                <c:pt idx="47">
                  <c:v>653</c:v>
                </c:pt>
                <c:pt idx="48">
                  <c:v>801</c:v>
                </c:pt>
                <c:pt idx="49">
                  <c:v>527</c:v>
                </c:pt>
                <c:pt idx="50">
                  <c:v>2071</c:v>
                </c:pt>
                <c:pt idx="51">
                  <c:v>1596</c:v>
                </c:pt>
                <c:pt idx="52">
                  <c:v>930</c:v>
                </c:pt>
                <c:pt idx="53">
                  <c:v>1526</c:v>
                </c:pt>
                <c:pt idx="54">
                  <c:v>869</c:v>
                </c:pt>
                <c:pt idx="55">
                  <c:v>638</c:v>
                </c:pt>
                <c:pt idx="56">
                  <c:v>1457</c:v>
                </c:pt>
                <c:pt idx="57">
                  <c:v>2526</c:v>
                </c:pt>
                <c:pt idx="58">
                  <c:v>757</c:v>
                </c:pt>
                <c:pt idx="59">
                  <c:v>2105</c:v>
                </c:pt>
                <c:pt idx="60">
                  <c:v>1469</c:v>
                </c:pt>
                <c:pt idx="61">
                  <c:v>414</c:v>
                </c:pt>
                <c:pt idx="62">
                  <c:v>973</c:v>
                </c:pt>
                <c:pt idx="63">
                  <c:v>611</c:v>
                </c:pt>
                <c:pt idx="64">
                  <c:v>839</c:v>
                </c:pt>
                <c:pt idx="65">
                  <c:v>1190</c:v>
                </c:pt>
                <c:pt idx="66">
                  <c:v>1290</c:v>
                </c:pt>
                <c:pt idx="67">
                  <c:v>2352</c:v>
                </c:pt>
                <c:pt idx="68">
                  <c:v>932</c:v>
                </c:pt>
                <c:pt idx="69">
                  <c:v>586</c:v>
                </c:pt>
                <c:pt idx="70">
                  <c:v>2152</c:v>
                </c:pt>
                <c:pt idx="71">
                  <c:v>797</c:v>
                </c:pt>
                <c:pt idx="72">
                  <c:v>1525</c:v>
                </c:pt>
                <c:pt idx="73">
                  <c:v>1855</c:v>
                </c:pt>
                <c:pt idx="74">
                  <c:v>600</c:v>
                </c:pt>
                <c:pt idx="75">
                  <c:v>737</c:v>
                </c:pt>
                <c:pt idx="76">
                  <c:v>1291</c:v>
                </c:pt>
                <c:pt idx="77">
                  <c:v>688</c:v>
                </c:pt>
                <c:pt idx="78">
                  <c:v>2416</c:v>
                </c:pt>
                <c:pt idx="79">
                  <c:v>694</c:v>
                </c:pt>
                <c:pt idx="80">
                  <c:v>1014</c:v>
                </c:pt>
                <c:pt idx="81">
                  <c:v>829</c:v>
                </c:pt>
                <c:pt idx="82">
                  <c:v>1483</c:v>
                </c:pt>
                <c:pt idx="83">
                  <c:v>544</c:v>
                </c:pt>
                <c:pt idx="84">
                  <c:v>1471</c:v>
                </c:pt>
                <c:pt idx="85">
                  <c:v>401</c:v>
                </c:pt>
                <c:pt idx="86">
                  <c:v>882</c:v>
                </c:pt>
                <c:pt idx="87">
                  <c:v>1407</c:v>
                </c:pt>
                <c:pt idx="88">
                  <c:v>1466</c:v>
                </c:pt>
                <c:pt idx="89">
                  <c:v>2469</c:v>
                </c:pt>
                <c:pt idx="90">
                  <c:v>629</c:v>
                </c:pt>
                <c:pt idx="91">
                  <c:v>1640</c:v>
                </c:pt>
                <c:pt idx="92">
                  <c:v>1026</c:v>
                </c:pt>
                <c:pt idx="93">
                  <c:v>2096</c:v>
                </c:pt>
                <c:pt idx="94">
                  <c:v>420</c:v>
                </c:pt>
                <c:pt idx="95">
                  <c:v>818</c:v>
                </c:pt>
                <c:pt idx="96">
                  <c:v>1761</c:v>
                </c:pt>
                <c:pt idx="97">
                  <c:v>1542</c:v>
                </c:pt>
                <c:pt idx="98">
                  <c:v>931</c:v>
                </c:pt>
                <c:pt idx="99">
                  <c:v>737</c:v>
                </c:pt>
                <c:pt idx="100">
                  <c:v>2480</c:v>
                </c:pt>
                <c:pt idx="101">
                  <c:v>619</c:v>
                </c:pt>
                <c:pt idx="102">
                  <c:v>1285</c:v>
                </c:pt>
                <c:pt idx="103">
                  <c:v>803</c:v>
                </c:pt>
                <c:pt idx="104">
                  <c:v>933</c:v>
                </c:pt>
                <c:pt idx="105">
                  <c:v>698</c:v>
                </c:pt>
                <c:pt idx="106">
                  <c:v>1447</c:v>
                </c:pt>
                <c:pt idx="107">
                  <c:v>1723</c:v>
                </c:pt>
                <c:pt idx="108">
                  <c:v>808</c:v>
                </c:pt>
                <c:pt idx="109">
                  <c:v>1026</c:v>
                </c:pt>
                <c:pt idx="110">
                  <c:v>1213</c:v>
                </c:pt>
                <c:pt idx="111">
                  <c:v>2546</c:v>
                </c:pt>
                <c:pt idx="112">
                  <c:v>626</c:v>
                </c:pt>
                <c:pt idx="113">
                  <c:v>1851</c:v>
                </c:pt>
                <c:pt idx="114">
                  <c:v>557</c:v>
                </c:pt>
                <c:pt idx="115">
                  <c:v>727</c:v>
                </c:pt>
                <c:pt idx="116">
                  <c:v>797</c:v>
                </c:pt>
                <c:pt idx="117">
                  <c:v>2275</c:v>
                </c:pt>
                <c:pt idx="118">
                  <c:v>1642</c:v>
                </c:pt>
                <c:pt idx="119">
                  <c:v>2339</c:v>
                </c:pt>
                <c:pt idx="120">
                  <c:v>2429</c:v>
                </c:pt>
              </c:numCache>
            </c:numRef>
          </c:yVal>
          <c:smooth val="0"/>
          <c:extLst>
            <c:ext xmlns:c16="http://schemas.microsoft.com/office/drawing/2014/chart" uri="{C3380CC4-5D6E-409C-BE32-E72D297353CC}">
              <c16:uniqueId val="{00000000-C992-0448-931F-066265FADC83}"/>
            </c:ext>
          </c:extLst>
        </c:ser>
        <c:dLbls>
          <c:showLegendKey val="0"/>
          <c:showVal val="0"/>
          <c:showCatName val="0"/>
          <c:showSerName val="0"/>
          <c:showPercent val="0"/>
          <c:showBubbleSize val="0"/>
        </c:dLbls>
        <c:axId val="165497728"/>
        <c:axId val="168246736"/>
      </c:scatterChart>
      <c:scatterChart>
        <c:scatterStyle val="lineMarker"/>
        <c:varyColors val="0"/>
        <c:ser>
          <c:idx val="1"/>
          <c:order val="0"/>
          <c:tx>
            <c:strRef>
              <c:f>'15N'!$H$1</c:f>
              <c:strCache>
                <c:ptCount val="1"/>
                <c:pt idx="0">
                  <c:v>Rt</c:v>
                </c:pt>
              </c:strCache>
            </c:strRef>
          </c:tx>
          <c:spPr>
            <a:ln w="25400" cap="rnd">
              <a:noFill/>
              <a:round/>
            </a:ln>
            <a:effectLst/>
          </c:spPr>
          <c:marker>
            <c:symbol val="circle"/>
            <c:size val="5"/>
            <c:spPr>
              <a:noFill/>
              <a:ln w="9525">
                <a:solidFill>
                  <a:srgbClr val="00B0F0"/>
                </a:solidFill>
              </a:ln>
              <a:effectLst/>
            </c:spPr>
          </c:marker>
          <c:xVal>
            <c:numRef>
              <c:f>'15N'!$B$2:$B$125</c:f>
              <c:numCache>
                <c:formatCode>General</c:formatCode>
                <c:ptCount val="124"/>
                <c:pt idx="0">
                  <c:v>27808</c:v>
                </c:pt>
                <c:pt idx="1">
                  <c:v>27809</c:v>
                </c:pt>
                <c:pt idx="2">
                  <c:v>27810</c:v>
                </c:pt>
                <c:pt idx="3">
                  <c:v>27812</c:v>
                </c:pt>
                <c:pt idx="4">
                  <c:v>27813</c:v>
                </c:pt>
                <c:pt idx="5">
                  <c:v>27815</c:v>
                </c:pt>
                <c:pt idx="6">
                  <c:v>27816</c:v>
                </c:pt>
                <c:pt idx="7">
                  <c:v>27817</c:v>
                </c:pt>
                <c:pt idx="8">
                  <c:v>27818</c:v>
                </c:pt>
                <c:pt idx="9">
                  <c:v>27819</c:v>
                </c:pt>
                <c:pt idx="10">
                  <c:v>27820</c:v>
                </c:pt>
                <c:pt idx="11">
                  <c:v>27821</c:v>
                </c:pt>
                <c:pt idx="12">
                  <c:v>27822</c:v>
                </c:pt>
                <c:pt idx="13">
                  <c:v>27823</c:v>
                </c:pt>
                <c:pt idx="14">
                  <c:v>27824</c:v>
                </c:pt>
                <c:pt idx="15">
                  <c:v>27825</c:v>
                </c:pt>
                <c:pt idx="16">
                  <c:v>27826</c:v>
                </c:pt>
                <c:pt idx="17">
                  <c:v>27827</c:v>
                </c:pt>
                <c:pt idx="18">
                  <c:v>27828</c:v>
                </c:pt>
                <c:pt idx="19">
                  <c:v>27829</c:v>
                </c:pt>
                <c:pt idx="20">
                  <c:v>27830</c:v>
                </c:pt>
                <c:pt idx="21">
                  <c:v>27831</c:v>
                </c:pt>
                <c:pt idx="22">
                  <c:v>27832</c:v>
                </c:pt>
                <c:pt idx="23">
                  <c:v>27833</c:v>
                </c:pt>
                <c:pt idx="24">
                  <c:v>27834</c:v>
                </c:pt>
                <c:pt idx="25">
                  <c:v>27835</c:v>
                </c:pt>
                <c:pt idx="26">
                  <c:v>27836</c:v>
                </c:pt>
                <c:pt idx="27">
                  <c:v>27837</c:v>
                </c:pt>
                <c:pt idx="28">
                  <c:v>27838</c:v>
                </c:pt>
                <c:pt idx="29">
                  <c:v>27839</c:v>
                </c:pt>
                <c:pt idx="30">
                  <c:v>27840</c:v>
                </c:pt>
                <c:pt idx="31">
                  <c:v>27841</c:v>
                </c:pt>
                <c:pt idx="32">
                  <c:v>27842</c:v>
                </c:pt>
                <c:pt idx="33">
                  <c:v>27843</c:v>
                </c:pt>
                <c:pt idx="34">
                  <c:v>27844</c:v>
                </c:pt>
                <c:pt idx="35">
                  <c:v>27845</c:v>
                </c:pt>
                <c:pt idx="36">
                  <c:v>27846</c:v>
                </c:pt>
                <c:pt idx="37">
                  <c:v>27847</c:v>
                </c:pt>
                <c:pt idx="38">
                  <c:v>27848</c:v>
                </c:pt>
                <c:pt idx="39">
                  <c:v>27849</c:v>
                </c:pt>
                <c:pt idx="40">
                  <c:v>27850</c:v>
                </c:pt>
                <c:pt idx="41">
                  <c:v>27851</c:v>
                </c:pt>
                <c:pt idx="42">
                  <c:v>27852</c:v>
                </c:pt>
                <c:pt idx="43">
                  <c:v>27853</c:v>
                </c:pt>
                <c:pt idx="44">
                  <c:v>27854</c:v>
                </c:pt>
                <c:pt idx="45">
                  <c:v>27855</c:v>
                </c:pt>
                <c:pt idx="46">
                  <c:v>27856</c:v>
                </c:pt>
                <c:pt idx="47">
                  <c:v>27857</c:v>
                </c:pt>
                <c:pt idx="48">
                  <c:v>27858</c:v>
                </c:pt>
                <c:pt idx="49">
                  <c:v>27859</c:v>
                </c:pt>
                <c:pt idx="50">
                  <c:v>27860</c:v>
                </c:pt>
                <c:pt idx="51">
                  <c:v>27861</c:v>
                </c:pt>
                <c:pt idx="52">
                  <c:v>27862</c:v>
                </c:pt>
                <c:pt idx="53">
                  <c:v>27863</c:v>
                </c:pt>
                <c:pt idx="54">
                  <c:v>27864</c:v>
                </c:pt>
                <c:pt idx="55">
                  <c:v>27865</c:v>
                </c:pt>
                <c:pt idx="56">
                  <c:v>27866</c:v>
                </c:pt>
                <c:pt idx="57">
                  <c:v>27867</c:v>
                </c:pt>
                <c:pt idx="58">
                  <c:v>27868</c:v>
                </c:pt>
                <c:pt idx="59">
                  <c:v>27869</c:v>
                </c:pt>
                <c:pt idx="60">
                  <c:v>27871</c:v>
                </c:pt>
                <c:pt idx="61">
                  <c:v>27872</c:v>
                </c:pt>
                <c:pt idx="62">
                  <c:v>27873</c:v>
                </c:pt>
                <c:pt idx="63">
                  <c:v>27874</c:v>
                </c:pt>
                <c:pt idx="64">
                  <c:v>27875</c:v>
                </c:pt>
                <c:pt idx="65">
                  <c:v>27876</c:v>
                </c:pt>
                <c:pt idx="66">
                  <c:v>27877</c:v>
                </c:pt>
                <c:pt idx="67">
                  <c:v>27878</c:v>
                </c:pt>
                <c:pt idx="68">
                  <c:v>27879</c:v>
                </c:pt>
                <c:pt idx="69">
                  <c:v>27880</c:v>
                </c:pt>
                <c:pt idx="70">
                  <c:v>27881</c:v>
                </c:pt>
                <c:pt idx="71">
                  <c:v>27882</c:v>
                </c:pt>
                <c:pt idx="72">
                  <c:v>27883</c:v>
                </c:pt>
                <c:pt idx="73">
                  <c:v>27884</c:v>
                </c:pt>
                <c:pt idx="74">
                  <c:v>27885</c:v>
                </c:pt>
                <c:pt idx="75">
                  <c:v>27886</c:v>
                </c:pt>
                <c:pt idx="76">
                  <c:v>27887</c:v>
                </c:pt>
                <c:pt idx="77">
                  <c:v>27888</c:v>
                </c:pt>
                <c:pt idx="78">
                  <c:v>27889</c:v>
                </c:pt>
                <c:pt idx="79">
                  <c:v>27890</c:v>
                </c:pt>
                <c:pt idx="80">
                  <c:v>27891</c:v>
                </c:pt>
                <c:pt idx="81">
                  <c:v>27892</c:v>
                </c:pt>
                <c:pt idx="82">
                  <c:v>27893</c:v>
                </c:pt>
                <c:pt idx="83">
                  <c:v>27894</c:v>
                </c:pt>
                <c:pt idx="84">
                  <c:v>27895</c:v>
                </c:pt>
                <c:pt idx="85">
                  <c:v>27896</c:v>
                </c:pt>
                <c:pt idx="86">
                  <c:v>27897</c:v>
                </c:pt>
                <c:pt idx="87">
                  <c:v>27898</c:v>
                </c:pt>
                <c:pt idx="88">
                  <c:v>27899</c:v>
                </c:pt>
                <c:pt idx="89">
                  <c:v>27900</c:v>
                </c:pt>
                <c:pt idx="90">
                  <c:v>27901</c:v>
                </c:pt>
                <c:pt idx="91">
                  <c:v>27902</c:v>
                </c:pt>
                <c:pt idx="92">
                  <c:v>27903</c:v>
                </c:pt>
                <c:pt idx="93">
                  <c:v>27904</c:v>
                </c:pt>
                <c:pt idx="94">
                  <c:v>27905</c:v>
                </c:pt>
                <c:pt idx="95">
                  <c:v>27906</c:v>
                </c:pt>
                <c:pt idx="96">
                  <c:v>27907</c:v>
                </c:pt>
                <c:pt idx="97">
                  <c:v>27908</c:v>
                </c:pt>
                <c:pt idx="98">
                  <c:v>27909</c:v>
                </c:pt>
                <c:pt idx="99">
                  <c:v>27910</c:v>
                </c:pt>
                <c:pt idx="100">
                  <c:v>27911</c:v>
                </c:pt>
                <c:pt idx="101">
                  <c:v>27912</c:v>
                </c:pt>
                <c:pt idx="102">
                  <c:v>27913</c:v>
                </c:pt>
                <c:pt idx="103">
                  <c:v>27914</c:v>
                </c:pt>
                <c:pt idx="104">
                  <c:v>27915</c:v>
                </c:pt>
                <c:pt idx="105">
                  <c:v>27916</c:v>
                </c:pt>
                <c:pt idx="106">
                  <c:v>27917</c:v>
                </c:pt>
                <c:pt idx="107">
                  <c:v>27918</c:v>
                </c:pt>
                <c:pt idx="108">
                  <c:v>27919</c:v>
                </c:pt>
                <c:pt idx="109">
                  <c:v>27920</c:v>
                </c:pt>
                <c:pt idx="110">
                  <c:v>27921</c:v>
                </c:pt>
                <c:pt idx="111">
                  <c:v>27922</c:v>
                </c:pt>
                <c:pt idx="112">
                  <c:v>27923</c:v>
                </c:pt>
                <c:pt idx="113">
                  <c:v>27924</c:v>
                </c:pt>
                <c:pt idx="114">
                  <c:v>27925</c:v>
                </c:pt>
                <c:pt idx="115">
                  <c:v>27926</c:v>
                </c:pt>
                <c:pt idx="116">
                  <c:v>27927</c:v>
                </c:pt>
                <c:pt idx="117">
                  <c:v>27928</c:v>
                </c:pt>
                <c:pt idx="118">
                  <c:v>27930</c:v>
                </c:pt>
                <c:pt idx="119">
                  <c:v>27931</c:v>
                </c:pt>
                <c:pt idx="120">
                  <c:v>27932</c:v>
                </c:pt>
              </c:numCache>
            </c:numRef>
          </c:xVal>
          <c:yVal>
            <c:numRef>
              <c:f>'15N'!$H$2:$H$125</c:f>
              <c:numCache>
                <c:formatCode>General</c:formatCode>
                <c:ptCount val="124"/>
                <c:pt idx="0">
                  <c:v>231.2</c:v>
                </c:pt>
                <c:pt idx="1">
                  <c:v>231.2</c:v>
                </c:pt>
                <c:pt idx="2">
                  <c:v>230.9</c:v>
                </c:pt>
                <c:pt idx="3">
                  <c:v>232.8</c:v>
                </c:pt>
                <c:pt idx="4">
                  <c:v>231.4</c:v>
                </c:pt>
                <c:pt idx="5">
                  <c:v>231.2</c:v>
                </c:pt>
                <c:pt idx="6">
                  <c:v>231.6</c:v>
                </c:pt>
                <c:pt idx="7">
                  <c:v>231.2</c:v>
                </c:pt>
                <c:pt idx="8">
                  <c:v>231.6</c:v>
                </c:pt>
                <c:pt idx="9">
                  <c:v>231.4</c:v>
                </c:pt>
                <c:pt idx="10">
                  <c:v>231.4</c:v>
                </c:pt>
                <c:pt idx="11">
                  <c:v>230.9</c:v>
                </c:pt>
                <c:pt idx="12">
                  <c:v>231.4</c:v>
                </c:pt>
                <c:pt idx="13">
                  <c:v>232.4</c:v>
                </c:pt>
                <c:pt idx="14">
                  <c:v>231.6</c:v>
                </c:pt>
                <c:pt idx="15">
                  <c:v>231.8</c:v>
                </c:pt>
                <c:pt idx="16">
                  <c:v>230.9</c:v>
                </c:pt>
                <c:pt idx="17">
                  <c:v>231.2</c:v>
                </c:pt>
                <c:pt idx="18">
                  <c:v>231.4</c:v>
                </c:pt>
                <c:pt idx="19">
                  <c:v>230.9</c:v>
                </c:pt>
                <c:pt idx="20">
                  <c:v>232</c:v>
                </c:pt>
                <c:pt idx="21">
                  <c:v>231.4</c:v>
                </c:pt>
                <c:pt idx="22">
                  <c:v>231.4</c:v>
                </c:pt>
                <c:pt idx="23">
                  <c:v>231.4</c:v>
                </c:pt>
                <c:pt idx="24">
                  <c:v>232.2</c:v>
                </c:pt>
                <c:pt idx="25">
                  <c:v>230.9</c:v>
                </c:pt>
                <c:pt idx="26">
                  <c:v>231.6</c:v>
                </c:pt>
                <c:pt idx="27">
                  <c:v>230.7</c:v>
                </c:pt>
                <c:pt idx="28">
                  <c:v>232</c:v>
                </c:pt>
                <c:pt idx="29">
                  <c:v>230.9</c:v>
                </c:pt>
                <c:pt idx="30">
                  <c:v>231.4</c:v>
                </c:pt>
                <c:pt idx="31">
                  <c:v>231.4</c:v>
                </c:pt>
                <c:pt idx="32">
                  <c:v>231.2</c:v>
                </c:pt>
                <c:pt idx="33">
                  <c:v>231.2</c:v>
                </c:pt>
                <c:pt idx="34">
                  <c:v>231.2</c:v>
                </c:pt>
                <c:pt idx="35">
                  <c:v>232.4</c:v>
                </c:pt>
                <c:pt idx="36">
                  <c:v>232.2</c:v>
                </c:pt>
                <c:pt idx="37">
                  <c:v>230.7</c:v>
                </c:pt>
                <c:pt idx="38">
                  <c:v>232</c:v>
                </c:pt>
                <c:pt idx="39">
                  <c:v>231.8</c:v>
                </c:pt>
                <c:pt idx="40">
                  <c:v>231.4</c:v>
                </c:pt>
                <c:pt idx="41">
                  <c:v>231.6</c:v>
                </c:pt>
                <c:pt idx="42">
                  <c:v>232</c:v>
                </c:pt>
                <c:pt idx="43">
                  <c:v>230.9</c:v>
                </c:pt>
                <c:pt idx="44">
                  <c:v>231.6</c:v>
                </c:pt>
                <c:pt idx="45">
                  <c:v>231.6</c:v>
                </c:pt>
                <c:pt idx="46">
                  <c:v>232.4</c:v>
                </c:pt>
                <c:pt idx="47">
                  <c:v>231.4</c:v>
                </c:pt>
                <c:pt idx="48">
                  <c:v>231.2</c:v>
                </c:pt>
                <c:pt idx="49">
                  <c:v>231.4</c:v>
                </c:pt>
                <c:pt idx="50">
                  <c:v>232.2</c:v>
                </c:pt>
                <c:pt idx="51">
                  <c:v>231.2</c:v>
                </c:pt>
                <c:pt idx="52">
                  <c:v>231.2</c:v>
                </c:pt>
                <c:pt idx="53">
                  <c:v>231.8</c:v>
                </c:pt>
                <c:pt idx="54">
                  <c:v>231.4</c:v>
                </c:pt>
                <c:pt idx="55">
                  <c:v>231.2</c:v>
                </c:pt>
                <c:pt idx="56">
                  <c:v>231.4</c:v>
                </c:pt>
                <c:pt idx="57">
                  <c:v>232.6</c:v>
                </c:pt>
                <c:pt idx="58">
                  <c:v>230.9</c:v>
                </c:pt>
                <c:pt idx="59">
                  <c:v>231.2</c:v>
                </c:pt>
                <c:pt idx="60">
                  <c:v>231.2</c:v>
                </c:pt>
                <c:pt idx="61">
                  <c:v>231.4</c:v>
                </c:pt>
                <c:pt idx="62">
                  <c:v>231.6</c:v>
                </c:pt>
                <c:pt idx="63">
                  <c:v>231.4</c:v>
                </c:pt>
                <c:pt idx="64">
                  <c:v>231.4</c:v>
                </c:pt>
                <c:pt idx="65">
                  <c:v>231.4</c:v>
                </c:pt>
                <c:pt idx="66">
                  <c:v>232</c:v>
                </c:pt>
                <c:pt idx="67">
                  <c:v>232.4</c:v>
                </c:pt>
                <c:pt idx="68">
                  <c:v>231.2</c:v>
                </c:pt>
                <c:pt idx="69">
                  <c:v>231.2</c:v>
                </c:pt>
                <c:pt idx="70">
                  <c:v>231.6</c:v>
                </c:pt>
                <c:pt idx="71">
                  <c:v>231.2</c:v>
                </c:pt>
                <c:pt idx="72">
                  <c:v>230.9</c:v>
                </c:pt>
                <c:pt idx="73">
                  <c:v>231.8</c:v>
                </c:pt>
                <c:pt idx="74">
                  <c:v>231.4</c:v>
                </c:pt>
                <c:pt idx="75">
                  <c:v>231.2</c:v>
                </c:pt>
                <c:pt idx="76">
                  <c:v>231.8</c:v>
                </c:pt>
                <c:pt idx="77">
                  <c:v>231.2</c:v>
                </c:pt>
                <c:pt idx="78">
                  <c:v>232.6</c:v>
                </c:pt>
                <c:pt idx="79">
                  <c:v>231.2</c:v>
                </c:pt>
                <c:pt idx="80">
                  <c:v>231.4</c:v>
                </c:pt>
                <c:pt idx="81">
                  <c:v>231.4</c:v>
                </c:pt>
                <c:pt idx="82">
                  <c:v>231.4</c:v>
                </c:pt>
                <c:pt idx="83">
                  <c:v>230.9</c:v>
                </c:pt>
                <c:pt idx="84">
                  <c:v>231.6</c:v>
                </c:pt>
                <c:pt idx="85">
                  <c:v>231.2</c:v>
                </c:pt>
                <c:pt idx="86">
                  <c:v>231.6</c:v>
                </c:pt>
                <c:pt idx="87">
                  <c:v>231.6</c:v>
                </c:pt>
                <c:pt idx="88">
                  <c:v>231.8</c:v>
                </c:pt>
                <c:pt idx="89">
                  <c:v>232</c:v>
                </c:pt>
                <c:pt idx="90">
                  <c:v>230.9</c:v>
                </c:pt>
                <c:pt idx="91">
                  <c:v>231.6</c:v>
                </c:pt>
                <c:pt idx="92">
                  <c:v>231.2</c:v>
                </c:pt>
                <c:pt idx="93">
                  <c:v>231.4</c:v>
                </c:pt>
                <c:pt idx="94">
                  <c:v>231.2</c:v>
                </c:pt>
                <c:pt idx="95">
                  <c:v>230.7</c:v>
                </c:pt>
                <c:pt idx="96">
                  <c:v>231.6</c:v>
                </c:pt>
                <c:pt idx="97">
                  <c:v>231.6</c:v>
                </c:pt>
                <c:pt idx="98">
                  <c:v>231.4</c:v>
                </c:pt>
                <c:pt idx="99">
                  <c:v>231.4</c:v>
                </c:pt>
                <c:pt idx="100">
                  <c:v>232.2</c:v>
                </c:pt>
                <c:pt idx="101">
                  <c:v>231.2</c:v>
                </c:pt>
                <c:pt idx="102">
                  <c:v>231.2</c:v>
                </c:pt>
                <c:pt idx="103">
                  <c:v>231.4</c:v>
                </c:pt>
                <c:pt idx="104">
                  <c:v>231.4</c:v>
                </c:pt>
                <c:pt idx="105">
                  <c:v>231.2</c:v>
                </c:pt>
                <c:pt idx="106">
                  <c:v>231.4</c:v>
                </c:pt>
                <c:pt idx="107">
                  <c:v>231.6</c:v>
                </c:pt>
                <c:pt idx="108">
                  <c:v>230.9</c:v>
                </c:pt>
                <c:pt idx="109">
                  <c:v>231.2</c:v>
                </c:pt>
                <c:pt idx="110">
                  <c:v>231.6</c:v>
                </c:pt>
                <c:pt idx="111">
                  <c:v>232.2</c:v>
                </c:pt>
                <c:pt idx="112">
                  <c:v>230.7</c:v>
                </c:pt>
                <c:pt idx="113">
                  <c:v>231.2</c:v>
                </c:pt>
                <c:pt idx="114">
                  <c:v>230.7</c:v>
                </c:pt>
                <c:pt idx="115">
                  <c:v>231.4</c:v>
                </c:pt>
                <c:pt idx="116">
                  <c:v>231.2</c:v>
                </c:pt>
                <c:pt idx="117">
                  <c:v>231.2</c:v>
                </c:pt>
                <c:pt idx="118">
                  <c:v>230.7</c:v>
                </c:pt>
                <c:pt idx="119">
                  <c:v>231.8</c:v>
                </c:pt>
                <c:pt idx="120">
                  <c:v>232.2</c:v>
                </c:pt>
              </c:numCache>
            </c:numRef>
          </c:yVal>
          <c:smooth val="0"/>
          <c:extLst>
            <c:ext xmlns:c16="http://schemas.microsoft.com/office/drawing/2014/chart" uri="{C3380CC4-5D6E-409C-BE32-E72D297353CC}">
              <c16:uniqueId val="{00000001-C992-0448-931F-066265FADC83}"/>
            </c:ext>
          </c:extLst>
        </c:ser>
        <c:dLbls>
          <c:showLegendKey val="0"/>
          <c:showVal val="0"/>
          <c:showCatName val="0"/>
          <c:showSerName val="0"/>
          <c:showPercent val="0"/>
          <c:showBubbleSize val="0"/>
        </c:dLbls>
        <c:axId val="122151312"/>
        <c:axId val="168311752"/>
      </c:scatterChart>
      <c:valAx>
        <c:axId val="1654977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246736"/>
        <c:crosses val="autoZero"/>
        <c:crossBetween val="midCat"/>
      </c:valAx>
      <c:valAx>
        <c:axId val="168246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5497728"/>
        <c:crosses val="autoZero"/>
        <c:crossBetween val="midCat"/>
      </c:valAx>
      <c:valAx>
        <c:axId val="16831175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retention time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51312"/>
        <c:crosses val="max"/>
        <c:crossBetween val="midCat"/>
      </c:valAx>
      <c:valAx>
        <c:axId val="122151312"/>
        <c:scaling>
          <c:orientation val="minMax"/>
        </c:scaling>
        <c:delete val="1"/>
        <c:axPos val="b"/>
        <c:numFmt formatCode="General" sourceLinked="1"/>
        <c:majorTickMark val="out"/>
        <c:minorTickMark val="none"/>
        <c:tickLblPos val="nextTo"/>
        <c:crossAx val="168311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'15N'!$I$2:$I$125</c:f>
              <c:numCache>
                <c:formatCode>General</c:formatCode>
                <c:ptCount val="124"/>
                <c:pt idx="0">
                  <c:v>0</c:v>
                </c:pt>
                <c:pt idx="1">
                  <c:v>0</c:v>
                </c:pt>
                <c:pt idx="2">
                  <c:v>0</c:v>
                </c:pt>
                <c:pt idx="3">
                  <c:v>57</c:v>
                </c:pt>
                <c:pt idx="4">
                  <c:v>33</c:v>
                </c:pt>
                <c:pt idx="5">
                  <c:v>0</c:v>
                </c:pt>
                <c:pt idx="6">
                  <c:v>0</c:v>
                </c:pt>
                <c:pt idx="7">
                  <c:v>0</c:v>
                </c:pt>
                <c:pt idx="8">
                  <c:v>0</c:v>
                </c:pt>
                <c:pt idx="9">
                  <c:v>0</c:v>
                </c:pt>
                <c:pt idx="10">
                  <c:v>0</c:v>
                </c:pt>
                <c:pt idx="11">
                  <c:v>0</c:v>
                </c:pt>
                <c:pt idx="12">
                  <c:v>0</c:v>
                </c:pt>
                <c:pt idx="13">
                  <c:v>57</c:v>
                </c:pt>
                <c:pt idx="14">
                  <c:v>0</c:v>
                </c:pt>
                <c:pt idx="15">
                  <c:v>0</c:v>
                </c:pt>
                <c:pt idx="16">
                  <c:v>0</c:v>
                </c:pt>
                <c:pt idx="17">
                  <c:v>0</c:v>
                </c:pt>
                <c:pt idx="18">
                  <c:v>0</c:v>
                </c:pt>
                <c:pt idx="19">
                  <c:v>0</c:v>
                </c:pt>
                <c:pt idx="20">
                  <c:v>0</c:v>
                </c:pt>
                <c:pt idx="21">
                  <c:v>0</c:v>
                </c:pt>
                <c:pt idx="22">
                  <c:v>0</c:v>
                </c:pt>
                <c:pt idx="23">
                  <c:v>0</c:v>
                </c:pt>
                <c:pt idx="24">
                  <c:v>57</c:v>
                </c:pt>
                <c:pt idx="25">
                  <c:v>0</c:v>
                </c:pt>
                <c:pt idx="26">
                  <c:v>0</c:v>
                </c:pt>
                <c:pt idx="27">
                  <c:v>0</c:v>
                </c:pt>
                <c:pt idx="28">
                  <c:v>0</c:v>
                </c:pt>
                <c:pt idx="29">
                  <c:v>0</c:v>
                </c:pt>
                <c:pt idx="30">
                  <c:v>0</c:v>
                </c:pt>
                <c:pt idx="31">
                  <c:v>0</c:v>
                </c:pt>
                <c:pt idx="32">
                  <c:v>0</c:v>
                </c:pt>
                <c:pt idx="33">
                  <c:v>0</c:v>
                </c:pt>
                <c:pt idx="34">
                  <c:v>0</c:v>
                </c:pt>
                <c:pt idx="35">
                  <c:v>57</c:v>
                </c:pt>
                <c:pt idx="36">
                  <c:v>0</c:v>
                </c:pt>
                <c:pt idx="37">
                  <c:v>0</c:v>
                </c:pt>
                <c:pt idx="38">
                  <c:v>0</c:v>
                </c:pt>
                <c:pt idx="39">
                  <c:v>0</c:v>
                </c:pt>
                <c:pt idx="40">
                  <c:v>0</c:v>
                </c:pt>
                <c:pt idx="41">
                  <c:v>0</c:v>
                </c:pt>
                <c:pt idx="42">
                  <c:v>0</c:v>
                </c:pt>
                <c:pt idx="43">
                  <c:v>0</c:v>
                </c:pt>
                <c:pt idx="44">
                  <c:v>0</c:v>
                </c:pt>
                <c:pt idx="45">
                  <c:v>0</c:v>
                </c:pt>
                <c:pt idx="46">
                  <c:v>57</c:v>
                </c:pt>
                <c:pt idx="47">
                  <c:v>0</c:v>
                </c:pt>
                <c:pt idx="48">
                  <c:v>0</c:v>
                </c:pt>
                <c:pt idx="49">
                  <c:v>0</c:v>
                </c:pt>
                <c:pt idx="50">
                  <c:v>0</c:v>
                </c:pt>
                <c:pt idx="51">
                  <c:v>0</c:v>
                </c:pt>
                <c:pt idx="52">
                  <c:v>0</c:v>
                </c:pt>
                <c:pt idx="53">
                  <c:v>0</c:v>
                </c:pt>
                <c:pt idx="54">
                  <c:v>0</c:v>
                </c:pt>
                <c:pt idx="55">
                  <c:v>0</c:v>
                </c:pt>
                <c:pt idx="56">
                  <c:v>0</c:v>
                </c:pt>
                <c:pt idx="57">
                  <c:v>57</c:v>
                </c:pt>
                <c:pt idx="58">
                  <c:v>0</c:v>
                </c:pt>
                <c:pt idx="59">
                  <c:v>50</c:v>
                </c:pt>
                <c:pt idx="60">
                  <c:v>0</c:v>
                </c:pt>
                <c:pt idx="61">
                  <c:v>0</c:v>
                </c:pt>
                <c:pt idx="62">
                  <c:v>0</c:v>
                </c:pt>
                <c:pt idx="63">
                  <c:v>0</c:v>
                </c:pt>
                <c:pt idx="64">
                  <c:v>0</c:v>
                </c:pt>
                <c:pt idx="65">
                  <c:v>0</c:v>
                </c:pt>
                <c:pt idx="66">
                  <c:v>0</c:v>
                </c:pt>
                <c:pt idx="67">
                  <c:v>57</c:v>
                </c:pt>
                <c:pt idx="68">
                  <c:v>0</c:v>
                </c:pt>
                <c:pt idx="69">
                  <c:v>0</c:v>
                </c:pt>
                <c:pt idx="70">
                  <c:v>0</c:v>
                </c:pt>
                <c:pt idx="71">
                  <c:v>0</c:v>
                </c:pt>
                <c:pt idx="72">
                  <c:v>0</c:v>
                </c:pt>
                <c:pt idx="73">
                  <c:v>0</c:v>
                </c:pt>
                <c:pt idx="74">
                  <c:v>0</c:v>
                </c:pt>
                <c:pt idx="75">
                  <c:v>0</c:v>
                </c:pt>
                <c:pt idx="76">
                  <c:v>0</c:v>
                </c:pt>
                <c:pt idx="77">
                  <c:v>0</c:v>
                </c:pt>
                <c:pt idx="78">
                  <c:v>57</c:v>
                </c:pt>
                <c:pt idx="79">
                  <c:v>0</c:v>
                </c:pt>
                <c:pt idx="80">
                  <c:v>0</c:v>
                </c:pt>
                <c:pt idx="81">
                  <c:v>0</c:v>
                </c:pt>
                <c:pt idx="82">
                  <c:v>0</c:v>
                </c:pt>
                <c:pt idx="83">
                  <c:v>0</c:v>
                </c:pt>
                <c:pt idx="84">
                  <c:v>0</c:v>
                </c:pt>
                <c:pt idx="85">
                  <c:v>0</c:v>
                </c:pt>
                <c:pt idx="86">
                  <c:v>0</c:v>
                </c:pt>
                <c:pt idx="87">
                  <c:v>0</c:v>
                </c:pt>
                <c:pt idx="88">
                  <c:v>0</c:v>
                </c:pt>
                <c:pt idx="89">
                  <c:v>57</c:v>
                </c:pt>
                <c:pt idx="90">
                  <c:v>0</c:v>
                </c:pt>
                <c:pt idx="91">
                  <c:v>0</c:v>
                </c:pt>
                <c:pt idx="92">
                  <c:v>0</c:v>
                </c:pt>
                <c:pt idx="93">
                  <c:v>0</c:v>
                </c:pt>
                <c:pt idx="94">
                  <c:v>0</c:v>
                </c:pt>
                <c:pt idx="95">
                  <c:v>0</c:v>
                </c:pt>
                <c:pt idx="96">
                  <c:v>0</c:v>
                </c:pt>
                <c:pt idx="97">
                  <c:v>0</c:v>
                </c:pt>
                <c:pt idx="98">
                  <c:v>0</c:v>
                </c:pt>
                <c:pt idx="99">
                  <c:v>0</c:v>
                </c:pt>
                <c:pt idx="100">
                  <c:v>57</c:v>
                </c:pt>
                <c:pt idx="101">
                  <c:v>0</c:v>
                </c:pt>
                <c:pt idx="102">
                  <c:v>0</c:v>
                </c:pt>
                <c:pt idx="103">
                  <c:v>0</c:v>
                </c:pt>
                <c:pt idx="104">
                  <c:v>0</c:v>
                </c:pt>
                <c:pt idx="105">
                  <c:v>0</c:v>
                </c:pt>
                <c:pt idx="106">
                  <c:v>0</c:v>
                </c:pt>
                <c:pt idx="107">
                  <c:v>0</c:v>
                </c:pt>
                <c:pt idx="108">
                  <c:v>0</c:v>
                </c:pt>
                <c:pt idx="109">
                  <c:v>0</c:v>
                </c:pt>
                <c:pt idx="110">
                  <c:v>0</c:v>
                </c:pt>
                <c:pt idx="111">
                  <c:v>57</c:v>
                </c:pt>
                <c:pt idx="112">
                  <c:v>0</c:v>
                </c:pt>
                <c:pt idx="113">
                  <c:v>0</c:v>
                </c:pt>
                <c:pt idx="114">
                  <c:v>0</c:v>
                </c:pt>
                <c:pt idx="115">
                  <c:v>0</c:v>
                </c:pt>
                <c:pt idx="116">
                  <c:v>0</c:v>
                </c:pt>
                <c:pt idx="117">
                  <c:v>50</c:v>
                </c:pt>
                <c:pt idx="118">
                  <c:v>0</c:v>
                </c:pt>
                <c:pt idx="119">
                  <c:v>57</c:v>
                </c:pt>
                <c:pt idx="120">
                  <c:v>57</c:v>
                </c:pt>
              </c:numCache>
            </c:numRef>
          </c:xVal>
          <c:yVal>
            <c:numRef>
              <c:f>'15N'!$M$2:$M$125</c:f>
              <c:numCache>
                <c:formatCode>General</c:formatCode>
                <c:ptCount val="124"/>
                <c:pt idx="0">
                  <c:v>1433</c:v>
                </c:pt>
                <c:pt idx="1">
                  <c:v>1308</c:v>
                </c:pt>
                <c:pt idx="2">
                  <c:v>1044</c:v>
                </c:pt>
                <c:pt idx="3">
                  <c:v>2423</c:v>
                </c:pt>
                <c:pt idx="4">
                  <c:v>2237</c:v>
                </c:pt>
                <c:pt idx="5">
                  <c:v>1642</c:v>
                </c:pt>
                <c:pt idx="6">
                  <c:v>728</c:v>
                </c:pt>
                <c:pt idx="7">
                  <c:v>944</c:v>
                </c:pt>
                <c:pt idx="8">
                  <c:v>936</c:v>
                </c:pt>
                <c:pt idx="9">
                  <c:v>1369</c:v>
                </c:pt>
                <c:pt idx="10">
                  <c:v>1083</c:v>
                </c:pt>
                <c:pt idx="11">
                  <c:v>730</c:v>
                </c:pt>
                <c:pt idx="12">
                  <c:v>1359</c:v>
                </c:pt>
                <c:pt idx="13">
                  <c:v>2422</c:v>
                </c:pt>
                <c:pt idx="14">
                  <c:v>1246</c:v>
                </c:pt>
                <c:pt idx="15">
                  <c:v>1860</c:v>
                </c:pt>
                <c:pt idx="16">
                  <c:v>885</c:v>
                </c:pt>
                <c:pt idx="17">
                  <c:v>1161</c:v>
                </c:pt>
                <c:pt idx="18">
                  <c:v>1077</c:v>
                </c:pt>
                <c:pt idx="19">
                  <c:v>905</c:v>
                </c:pt>
                <c:pt idx="20">
                  <c:v>2774</c:v>
                </c:pt>
                <c:pt idx="21">
                  <c:v>1044</c:v>
                </c:pt>
                <c:pt idx="22">
                  <c:v>1114</c:v>
                </c:pt>
                <c:pt idx="23">
                  <c:v>1596</c:v>
                </c:pt>
                <c:pt idx="24">
                  <c:v>2369</c:v>
                </c:pt>
                <c:pt idx="25">
                  <c:v>603</c:v>
                </c:pt>
                <c:pt idx="26">
                  <c:v>542</c:v>
                </c:pt>
                <c:pt idx="27">
                  <c:v>860</c:v>
                </c:pt>
                <c:pt idx="28">
                  <c:v>1332</c:v>
                </c:pt>
                <c:pt idx="29">
                  <c:v>760</c:v>
                </c:pt>
                <c:pt idx="30">
                  <c:v>588</c:v>
                </c:pt>
                <c:pt idx="31">
                  <c:v>1083</c:v>
                </c:pt>
                <c:pt idx="32">
                  <c:v>618</c:v>
                </c:pt>
                <c:pt idx="33">
                  <c:v>1144</c:v>
                </c:pt>
                <c:pt idx="34">
                  <c:v>1338</c:v>
                </c:pt>
                <c:pt idx="35">
                  <c:v>2484</c:v>
                </c:pt>
                <c:pt idx="36">
                  <c:v>2090</c:v>
                </c:pt>
                <c:pt idx="37">
                  <c:v>566</c:v>
                </c:pt>
                <c:pt idx="38">
                  <c:v>2441</c:v>
                </c:pt>
                <c:pt idx="39">
                  <c:v>2043</c:v>
                </c:pt>
                <c:pt idx="40">
                  <c:v>1033</c:v>
                </c:pt>
                <c:pt idx="41">
                  <c:v>887</c:v>
                </c:pt>
                <c:pt idx="42">
                  <c:v>1275</c:v>
                </c:pt>
                <c:pt idx="43">
                  <c:v>776</c:v>
                </c:pt>
                <c:pt idx="44">
                  <c:v>1168</c:v>
                </c:pt>
                <c:pt idx="45">
                  <c:v>1792</c:v>
                </c:pt>
                <c:pt idx="46">
                  <c:v>2352</c:v>
                </c:pt>
                <c:pt idx="47">
                  <c:v>653</c:v>
                </c:pt>
                <c:pt idx="48">
                  <c:v>801</c:v>
                </c:pt>
                <c:pt idx="49">
                  <c:v>527</c:v>
                </c:pt>
                <c:pt idx="50">
                  <c:v>2071</c:v>
                </c:pt>
                <c:pt idx="51">
                  <c:v>1596</c:v>
                </c:pt>
                <c:pt idx="52">
                  <c:v>930</c:v>
                </c:pt>
                <c:pt idx="53">
                  <c:v>1526</c:v>
                </c:pt>
                <c:pt idx="54">
                  <c:v>869</c:v>
                </c:pt>
                <c:pt idx="55">
                  <c:v>638</c:v>
                </c:pt>
                <c:pt idx="56">
                  <c:v>1457</c:v>
                </c:pt>
                <c:pt idx="57">
                  <c:v>2526</c:v>
                </c:pt>
                <c:pt idx="58">
                  <c:v>757</c:v>
                </c:pt>
                <c:pt idx="59">
                  <c:v>2105</c:v>
                </c:pt>
                <c:pt idx="60">
                  <c:v>1469</c:v>
                </c:pt>
                <c:pt idx="61">
                  <c:v>414</c:v>
                </c:pt>
                <c:pt idx="62">
                  <c:v>973</c:v>
                </c:pt>
                <c:pt idx="63">
                  <c:v>611</c:v>
                </c:pt>
                <c:pt idx="64">
                  <c:v>839</c:v>
                </c:pt>
                <c:pt idx="65">
                  <c:v>1190</c:v>
                </c:pt>
                <c:pt idx="66">
                  <c:v>1290</c:v>
                </c:pt>
                <c:pt idx="67">
                  <c:v>2352</c:v>
                </c:pt>
                <c:pt idx="68">
                  <c:v>932</c:v>
                </c:pt>
                <c:pt idx="69">
                  <c:v>586</c:v>
                </c:pt>
                <c:pt idx="70">
                  <c:v>2152</c:v>
                </c:pt>
                <c:pt idx="71">
                  <c:v>797</c:v>
                </c:pt>
                <c:pt idx="72">
                  <c:v>1525</c:v>
                </c:pt>
                <c:pt idx="73">
                  <c:v>1855</c:v>
                </c:pt>
                <c:pt idx="74">
                  <c:v>600</c:v>
                </c:pt>
                <c:pt idx="75">
                  <c:v>737</c:v>
                </c:pt>
                <c:pt idx="76">
                  <c:v>1291</c:v>
                </c:pt>
                <c:pt idx="77">
                  <c:v>688</c:v>
                </c:pt>
                <c:pt idx="78">
                  <c:v>2416</c:v>
                </c:pt>
                <c:pt idx="79">
                  <c:v>694</c:v>
                </c:pt>
                <c:pt idx="80">
                  <c:v>1014</c:v>
                </c:pt>
                <c:pt idx="81">
                  <c:v>829</c:v>
                </c:pt>
                <c:pt idx="82">
                  <c:v>1483</c:v>
                </c:pt>
                <c:pt idx="83">
                  <c:v>544</c:v>
                </c:pt>
                <c:pt idx="84">
                  <c:v>1471</c:v>
                </c:pt>
                <c:pt idx="85">
                  <c:v>401</c:v>
                </c:pt>
                <c:pt idx="86">
                  <c:v>882</c:v>
                </c:pt>
                <c:pt idx="87">
                  <c:v>1407</c:v>
                </c:pt>
                <c:pt idx="88">
                  <c:v>1466</c:v>
                </c:pt>
                <c:pt idx="89">
                  <c:v>2469</c:v>
                </c:pt>
                <c:pt idx="90">
                  <c:v>629</c:v>
                </c:pt>
                <c:pt idx="91">
                  <c:v>1640</c:v>
                </c:pt>
                <c:pt idx="92">
                  <c:v>1026</c:v>
                </c:pt>
                <c:pt idx="93">
                  <c:v>2096</c:v>
                </c:pt>
                <c:pt idx="94">
                  <c:v>420</c:v>
                </c:pt>
                <c:pt idx="95">
                  <c:v>818</c:v>
                </c:pt>
                <c:pt idx="96">
                  <c:v>1761</c:v>
                </c:pt>
                <c:pt idx="97">
                  <c:v>1542</c:v>
                </c:pt>
                <c:pt idx="98">
                  <c:v>931</c:v>
                </c:pt>
                <c:pt idx="99">
                  <c:v>737</c:v>
                </c:pt>
                <c:pt idx="100">
                  <c:v>2480</c:v>
                </c:pt>
                <c:pt idx="101">
                  <c:v>619</c:v>
                </c:pt>
                <c:pt idx="102">
                  <c:v>1285</c:v>
                </c:pt>
                <c:pt idx="103">
                  <c:v>803</c:v>
                </c:pt>
                <c:pt idx="104">
                  <c:v>933</c:v>
                </c:pt>
                <c:pt idx="105">
                  <c:v>698</c:v>
                </c:pt>
                <c:pt idx="106">
                  <c:v>1447</c:v>
                </c:pt>
                <c:pt idx="107">
                  <c:v>1723</c:v>
                </c:pt>
                <c:pt idx="108">
                  <c:v>808</c:v>
                </c:pt>
                <c:pt idx="109">
                  <c:v>1026</c:v>
                </c:pt>
                <c:pt idx="110">
                  <c:v>1213</c:v>
                </c:pt>
                <c:pt idx="111">
                  <c:v>2546</c:v>
                </c:pt>
                <c:pt idx="112">
                  <c:v>626</c:v>
                </c:pt>
                <c:pt idx="113">
                  <c:v>1851</c:v>
                </c:pt>
                <c:pt idx="114">
                  <c:v>557</c:v>
                </c:pt>
                <c:pt idx="115">
                  <c:v>727</c:v>
                </c:pt>
                <c:pt idx="116">
                  <c:v>797</c:v>
                </c:pt>
                <c:pt idx="117">
                  <c:v>2275</c:v>
                </c:pt>
                <c:pt idx="118">
                  <c:v>1642</c:v>
                </c:pt>
                <c:pt idx="119">
                  <c:v>2339</c:v>
                </c:pt>
                <c:pt idx="120">
                  <c:v>2429</c:v>
                </c:pt>
              </c:numCache>
            </c:numRef>
          </c:yVal>
          <c:smooth val="0"/>
          <c:extLst>
            <c:ext xmlns:c16="http://schemas.microsoft.com/office/drawing/2014/chart" uri="{C3380CC4-5D6E-409C-BE32-E72D297353CC}">
              <c16:uniqueId val="{00000000-3273-924A-8848-B3920A5DABCC}"/>
            </c:ext>
          </c:extLst>
        </c:ser>
        <c:dLbls>
          <c:showLegendKey val="0"/>
          <c:showVal val="0"/>
          <c:showCatName val="0"/>
          <c:showSerName val="0"/>
          <c:showPercent val="0"/>
          <c:showBubbleSize val="0"/>
        </c:dLbls>
        <c:axId val="122152096"/>
        <c:axId val="122152488"/>
      </c:scatterChart>
      <c:valAx>
        <c:axId val="1221520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sample dilution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52488"/>
        <c:crosses val="autoZero"/>
        <c:crossBetween val="midCat"/>
      </c:valAx>
      <c:valAx>
        <c:axId val="1221524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52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'15N'!$BZ$1</c:f>
              <c:strCache>
                <c:ptCount val="1"/>
                <c:pt idx="0">
                  <c:v>offset Initial Corrected δ15N (‰ AIR-N2)</c:v>
                </c:pt>
              </c:strCache>
            </c:strRef>
          </c:tx>
          <c:spPr>
            <a:ln w="25400" cap="rnd">
              <a:noFill/>
              <a:round/>
            </a:ln>
            <a:effectLst/>
          </c:spPr>
          <c:marker>
            <c:symbol val="circle"/>
            <c:size val="5"/>
            <c:spPr>
              <a:noFill/>
              <a:ln w="9525">
                <a:solidFill>
                  <a:srgbClr val="00B0F0"/>
                </a:solidFill>
              </a:ln>
              <a:effectLst/>
            </c:spPr>
          </c:marker>
          <c:xVal>
            <c:numRef>
              <c:f>'15N'!$BO$2:$BO$25</c:f>
              <c:numCache>
                <c:formatCode>General</c:formatCode>
                <c:ptCount val="24"/>
                <c:pt idx="0">
                  <c:v>74.903000000000006</c:v>
                </c:pt>
                <c:pt idx="1">
                  <c:v>69.239000000000004</c:v>
                </c:pt>
                <c:pt idx="2">
                  <c:v>49.631</c:v>
                </c:pt>
                <c:pt idx="3">
                  <c:v>73.512</c:v>
                </c:pt>
                <c:pt idx="4">
                  <c:v>72.108000000000004</c:v>
                </c:pt>
                <c:pt idx="5">
                  <c:v>75.454999999999998</c:v>
                </c:pt>
                <c:pt idx="6">
                  <c:v>71.501000000000005</c:v>
                </c:pt>
                <c:pt idx="7">
                  <c:v>76.603999999999999</c:v>
                </c:pt>
                <c:pt idx="8">
                  <c:v>64.861000000000004</c:v>
                </c:pt>
                <c:pt idx="9">
                  <c:v>43.945999999999998</c:v>
                </c:pt>
                <c:pt idx="10">
                  <c:v>71.611000000000004</c:v>
                </c:pt>
                <c:pt idx="11">
                  <c:v>73.463999999999999</c:v>
                </c:pt>
                <c:pt idx="12">
                  <c:v>74.994</c:v>
                </c:pt>
                <c:pt idx="13">
                  <c:v>75.691000000000003</c:v>
                </c:pt>
                <c:pt idx="14">
                  <c:v>77.34</c:v>
                </c:pt>
                <c:pt idx="15">
                  <c:v>70.09</c:v>
                </c:pt>
                <c:pt idx="16">
                  <c:v>49.122999999999998</c:v>
                </c:pt>
                <c:pt idx="17">
                  <c:v>71.271000000000001</c:v>
                </c:pt>
                <c:pt idx="18">
                  <c:v>73.921000000000006</c:v>
                </c:pt>
              </c:numCache>
            </c:numRef>
          </c:xVal>
          <c:yVal>
            <c:numRef>
              <c:f>'15N'!$BZ$2:$BZ$25</c:f>
              <c:numCache>
                <c:formatCode>General</c:formatCode>
                <c:ptCount val="24"/>
                <c:pt idx="0">
                  <c:v>-4.819641535847019E-2</c:v>
                </c:pt>
                <c:pt idx="1">
                  <c:v>0.10996795381457147</c:v>
                </c:pt>
                <c:pt idx="2">
                  <c:v>-9.9326150626466436E-2</c:v>
                </c:pt>
                <c:pt idx="3">
                  <c:v>2.361276067097684E-2</c:v>
                </c:pt>
                <c:pt idx="4">
                  <c:v>-4.2212315816581025E-2</c:v>
                </c:pt>
                <c:pt idx="5">
                  <c:v>4.4557096087416426E-2</c:v>
                </c:pt>
                <c:pt idx="6">
                  <c:v>1.0647217980608303E-2</c:v>
                </c:pt>
                <c:pt idx="7">
                  <c:v>3.0594206190670548E-2</c:v>
                </c:pt>
                <c:pt idx="8">
                  <c:v>0.100008543945318</c:v>
                </c:pt>
                <c:pt idx="9">
                  <c:v>-0.21183135895852523</c:v>
                </c:pt>
                <c:pt idx="10">
                  <c:v>8.6525189884056886E-3</c:v>
                </c:pt>
                <c:pt idx="11">
                  <c:v>2.8599507509552424E-2</c:v>
                </c:pt>
                <c:pt idx="12">
                  <c:v>2.6684218255024206E-3</c:v>
                </c:pt>
                <c:pt idx="13">
                  <c:v>-2.1267969624316763E-2</c:v>
                </c:pt>
                <c:pt idx="14">
                  <c:v>-1.4286521655471063E-2</c:v>
                </c:pt>
                <c:pt idx="15">
                  <c:v>0.11893142203311946</c:v>
                </c:pt>
                <c:pt idx="16">
                  <c:v>0.29641505978328375</c:v>
                </c:pt>
                <c:pt idx="17">
                  <c:v>2.4610110054057444E-2</c:v>
                </c:pt>
                <c:pt idx="18">
                  <c:v>-3.3236167028660724E-2</c:v>
                </c:pt>
                <c:pt idx="19">
                  <c:v>0</c:v>
                </c:pt>
                <c:pt idx="20">
                  <c:v>0</c:v>
                </c:pt>
                <c:pt idx="21">
                  <c:v>0</c:v>
                </c:pt>
                <c:pt idx="22">
                  <c:v>0</c:v>
                </c:pt>
                <c:pt idx="23">
                  <c:v>0</c:v>
                </c:pt>
              </c:numCache>
            </c:numRef>
          </c:yVal>
          <c:smooth val="0"/>
          <c:extLst>
            <c:ext xmlns:c16="http://schemas.microsoft.com/office/drawing/2014/chart" uri="{C3380CC4-5D6E-409C-BE32-E72D297353CC}">
              <c16:uniqueId val="{00000001-CFEE-EB48-8D3D-8464EB7FBF63}"/>
            </c:ext>
          </c:extLst>
        </c:ser>
        <c:ser>
          <c:idx val="2"/>
          <c:order val="1"/>
          <c:tx>
            <c:strRef>
              <c:f>'15N'!$CA$1</c:f>
              <c:strCache>
                <c:ptCount val="1"/>
                <c:pt idx="0">
                  <c:v>offset δ15N (‰ AIR-N2)</c:v>
                </c:pt>
              </c:strCache>
            </c:strRef>
          </c:tx>
          <c:spPr>
            <a:ln w="25400" cap="rnd">
              <a:noFill/>
              <a:round/>
            </a:ln>
            <a:effectLst/>
          </c:spPr>
          <c:marker>
            <c:symbol val="circle"/>
            <c:size val="7"/>
            <c:spPr>
              <a:noFill/>
              <a:ln w="9525">
                <a:solidFill>
                  <a:srgbClr val="FF0000"/>
                </a:solidFill>
              </a:ln>
              <a:effectLst/>
            </c:spPr>
          </c:marker>
          <c:xVal>
            <c:numRef>
              <c:f>'15N'!$BO$2:$BO$25</c:f>
              <c:numCache>
                <c:formatCode>General</c:formatCode>
                <c:ptCount val="24"/>
                <c:pt idx="0">
                  <c:v>74.903000000000006</c:v>
                </c:pt>
                <c:pt idx="1">
                  <c:v>69.239000000000004</c:v>
                </c:pt>
                <c:pt idx="2">
                  <c:v>49.631</c:v>
                </c:pt>
                <c:pt idx="3">
                  <c:v>73.512</c:v>
                </c:pt>
                <c:pt idx="4">
                  <c:v>72.108000000000004</c:v>
                </c:pt>
                <c:pt idx="5">
                  <c:v>75.454999999999998</c:v>
                </c:pt>
                <c:pt idx="6">
                  <c:v>71.501000000000005</c:v>
                </c:pt>
                <c:pt idx="7">
                  <c:v>76.603999999999999</c:v>
                </c:pt>
                <c:pt idx="8">
                  <c:v>64.861000000000004</c:v>
                </c:pt>
                <c:pt idx="9">
                  <c:v>43.945999999999998</c:v>
                </c:pt>
                <c:pt idx="10">
                  <c:v>71.611000000000004</c:v>
                </c:pt>
                <c:pt idx="11">
                  <c:v>73.463999999999999</c:v>
                </c:pt>
                <c:pt idx="12">
                  <c:v>74.994</c:v>
                </c:pt>
                <c:pt idx="13">
                  <c:v>75.691000000000003</c:v>
                </c:pt>
                <c:pt idx="14">
                  <c:v>77.34</c:v>
                </c:pt>
                <c:pt idx="15">
                  <c:v>70.09</c:v>
                </c:pt>
                <c:pt idx="16">
                  <c:v>49.122999999999998</c:v>
                </c:pt>
                <c:pt idx="17">
                  <c:v>71.271000000000001</c:v>
                </c:pt>
                <c:pt idx="18">
                  <c:v>73.921000000000006</c:v>
                </c:pt>
              </c:numCache>
            </c:numRef>
          </c:xVal>
          <c:yVal>
            <c:numRef>
              <c:f>'15N'!$CA$2:$CA$25</c:f>
              <c:numCache>
                <c:formatCode>General</c:formatCode>
                <c:ptCount val="24"/>
                <c:pt idx="0">
                  <c:v>-4.7349694843878964E-2</c:v>
                </c:pt>
                <c:pt idx="1">
                  <c:v>0.11079444034023389</c:v>
                </c:pt>
                <c:pt idx="2">
                  <c:v>-9.8567190238152413E-2</c:v>
                </c:pt>
                <c:pt idx="3">
                  <c:v>2.4315023646526157E-2</c:v>
                </c:pt>
                <c:pt idx="4">
                  <c:v>-4.1653985295209139E-2</c:v>
                </c:pt>
                <c:pt idx="5">
                  <c:v>4.4970912187913825E-2</c:v>
                </c:pt>
                <c:pt idx="6">
                  <c:v>1.0916979863662135E-2</c:v>
                </c:pt>
                <c:pt idx="7">
                  <c:v>3.0719708539406199E-2</c:v>
                </c:pt>
                <c:pt idx="8">
                  <c:v>0.10010208003174981</c:v>
                </c:pt>
                <c:pt idx="9">
                  <c:v>-0.2117982841201016</c:v>
                </c:pt>
                <c:pt idx="10">
                  <c:v>8.633921429801461E-3</c:v>
                </c:pt>
                <c:pt idx="11">
                  <c:v>2.8436650459484625E-2</c:v>
                </c:pt>
                <c:pt idx="12">
                  <c:v>2.3614800044313711E-3</c:v>
                </c:pt>
                <c:pt idx="13">
                  <c:v>-2.1719003873488241E-2</c:v>
                </c:pt>
                <c:pt idx="14">
                  <c:v>-1.4881766024710252E-2</c:v>
                </c:pt>
                <c:pt idx="15">
                  <c:v>0.11825263002140929</c:v>
                </c:pt>
                <c:pt idx="16">
                  <c:v>0.29568091419918119</c:v>
                </c:pt>
                <c:pt idx="17">
                  <c:v>2.3896749359764158E-2</c:v>
                </c:pt>
                <c:pt idx="18">
                  <c:v>-3.3962415272648094E-2</c:v>
                </c:pt>
                <c:pt idx="19">
                  <c:v>0</c:v>
                </c:pt>
                <c:pt idx="20">
                  <c:v>0</c:v>
                </c:pt>
                <c:pt idx="21">
                  <c:v>0</c:v>
                </c:pt>
                <c:pt idx="22">
                  <c:v>0</c:v>
                </c:pt>
                <c:pt idx="23">
                  <c:v>0</c:v>
                </c:pt>
              </c:numCache>
            </c:numRef>
          </c:yVal>
          <c:smooth val="0"/>
          <c:extLst>
            <c:ext xmlns:c16="http://schemas.microsoft.com/office/drawing/2014/chart" uri="{C3380CC4-5D6E-409C-BE32-E72D297353CC}">
              <c16:uniqueId val="{00000000-CFEE-EB48-8D3D-8464EB7FBF63}"/>
            </c:ext>
          </c:extLst>
        </c:ser>
        <c:ser>
          <c:idx val="3"/>
          <c:order val="3"/>
          <c:tx>
            <c:strRef>
              <c:f>'15N'!$BY$1</c:f>
              <c:strCache>
                <c:ptCount val="1"/>
                <c:pt idx="0">
                  <c:v>offset Drift_corr d 15N/14N</c:v>
                </c:pt>
              </c:strCache>
            </c:strRef>
          </c:tx>
          <c:spPr>
            <a:ln w="25400" cap="rnd">
              <a:noFill/>
              <a:round/>
            </a:ln>
            <a:effectLst/>
          </c:spPr>
          <c:marker>
            <c:symbol val="circle"/>
            <c:size val="5"/>
            <c:spPr>
              <a:solidFill>
                <a:schemeClr val="accent4"/>
              </a:solidFill>
              <a:ln w="9525">
                <a:solidFill>
                  <a:schemeClr val="accent4"/>
                </a:solidFill>
              </a:ln>
              <a:effectLst/>
            </c:spPr>
          </c:marker>
          <c:xVal>
            <c:numRef>
              <c:f>'15N'!$BO$2:$BO$25</c:f>
              <c:numCache>
                <c:formatCode>General</c:formatCode>
                <c:ptCount val="24"/>
                <c:pt idx="0">
                  <c:v>74.903000000000006</c:v>
                </c:pt>
                <c:pt idx="1">
                  <c:v>69.239000000000004</c:v>
                </c:pt>
                <c:pt idx="2">
                  <c:v>49.631</c:v>
                </c:pt>
                <c:pt idx="3">
                  <c:v>73.512</c:v>
                </c:pt>
                <c:pt idx="4">
                  <c:v>72.108000000000004</c:v>
                </c:pt>
                <c:pt idx="5">
                  <c:v>75.454999999999998</c:v>
                </c:pt>
                <c:pt idx="6">
                  <c:v>71.501000000000005</c:v>
                </c:pt>
                <c:pt idx="7">
                  <c:v>76.603999999999999</c:v>
                </c:pt>
                <c:pt idx="8">
                  <c:v>64.861000000000004</c:v>
                </c:pt>
                <c:pt idx="9">
                  <c:v>43.945999999999998</c:v>
                </c:pt>
                <c:pt idx="10">
                  <c:v>71.611000000000004</c:v>
                </c:pt>
                <c:pt idx="11">
                  <c:v>73.463999999999999</c:v>
                </c:pt>
                <c:pt idx="12">
                  <c:v>74.994</c:v>
                </c:pt>
                <c:pt idx="13">
                  <c:v>75.691000000000003</c:v>
                </c:pt>
                <c:pt idx="14">
                  <c:v>77.34</c:v>
                </c:pt>
                <c:pt idx="15">
                  <c:v>70.09</c:v>
                </c:pt>
                <c:pt idx="16">
                  <c:v>49.122999999999998</c:v>
                </c:pt>
                <c:pt idx="17">
                  <c:v>71.271000000000001</c:v>
                </c:pt>
                <c:pt idx="18">
                  <c:v>73.921000000000006</c:v>
                </c:pt>
              </c:numCache>
            </c:numRef>
          </c:xVal>
          <c:yVal>
            <c:numRef>
              <c:f>'15N'!$BY$2:$BY$25</c:f>
              <c:numCache>
                <c:formatCode>General</c:formatCode>
                <c:ptCount val="24"/>
                <c:pt idx="0">
                  <c:v>0.50684661151567667</c:v>
                </c:pt>
                <c:pt idx="1">
                  <c:v>0.67118962098633439</c:v>
                </c:pt>
                <c:pt idx="2">
                  <c:v>0.49657466063646183</c:v>
                </c:pt>
                <c:pt idx="3">
                  <c:v>0.57883161727900756</c:v>
                </c:pt>
                <c:pt idx="4">
                  <c:v>0.51256777511610174</c:v>
                </c:pt>
                <c:pt idx="5">
                  <c:v>0.59957982956704292</c:v>
                </c:pt>
                <c:pt idx="6">
                  <c:v>0.56537369127118708</c:v>
                </c:pt>
                <c:pt idx="7">
                  <c:v>0.58526492825072829</c:v>
                </c:pt>
                <c:pt idx="8">
                  <c:v>0.66044934616438233</c:v>
                </c:pt>
                <c:pt idx="9">
                  <c:v>0.38282827547519993</c:v>
                </c:pt>
                <c:pt idx="10">
                  <c:v>0.56308042890496068</c:v>
                </c:pt>
                <c:pt idx="11">
                  <c:v>0.58297166588450189</c:v>
                </c:pt>
                <c:pt idx="12">
                  <c:v>0.55677995355529752</c:v>
                </c:pt>
                <c:pt idx="13">
                  <c:v>0.53259184771792256</c:v>
                </c:pt>
                <c:pt idx="14">
                  <c:v>0.53945964250146083</c:v>
                </c:pt>
                <c:pt idx="15">
                  <c:v>0.678681232776146</c:v>
                </c:pt>
                <c:pt idx="16">
                  <c:v>0.89261770132753604</c:v>
                </c:pt>
                <c:pt idx="17">
                  <c:v>0.57841147350434774</c:v>
                </c:pt>
                <c:pt idx="18">
                  <c:v>0.52029371906936461</c:v>
                </c:pt>
                <c:pt idx="19">
                  <c:v>0</c:v>
                </c:pt>
                <c:pt idx="20">
                  <c:v>0</c:v>
                </c:pt>
                <c:pt idx="21">
                  <c:v>0</c:v>
                </c:pt>
                <c:pt idx="22">
                  <c:v>0</c:v>
                </c:pt>
                <c:pt idx="23">
                  <c:v>0</c:v>
                </c:pt>
              </c:numCache>
            </c:numRef>
          </c:yVal>
          <c:smooth val="0"/>
          <c:extLst>
            <c:ext xmlns:c16="http://schemas.microsoft.com/office/drawing/2014/chart" uri="{C3380CC4-5D6E-409C-BE32-E72D297353CC}">
              <c16:uniqueId val="{00000003-CFEE-EB48-8D3D-8464EB7FBF63}"/>
            </c:ext>
          </c:extLst>
        </c:ser>
        <c:dLbls>
          <c:showLegendKey val="0"/>
          <c:showVal val="0"/>
          <c:showCatName val="0"/>
          <c:showSerName val="0"/>
          <c:showPercent val="0"/>
          <c:showBubbleSize val="0"/>
        </c:dLbls>
        <c:axId val="168394688"/>
        <c:axId val="168395080"/>
      </c:scatterChart>
      <c:scatterChart>
        <c:scatterStyle val="lineMarker"/>
        <c:varyColors val="0"/>
        <c:ser>
          <c:idx val="0"/>
          <c:order val="2"/>
          <c:tx>
            <c:strRef>
              <c:f>'15N'!$BX$1</c:f>
              <c:strCache>
                <c:ptCount val="1"/>
                <c:pt idx="0">
                  <c:v>offset d 15N/14N</c:v>
                </c:pt>
              </c:strCache>
            </c:strRef>
          </c:tx>
          <c:spPr>
            <a:ln w="25400" cap="rnd">
              <a:noFill/>
              <a:round/>
            </a:ln>
            <a:effectLst/>
          </c:spPr>
          <c:marker>
            <c:symbol val="circle"/>
            <c:size val="5"/>
            <c:spPr>
              <a:solidFill>
                <a:schemeClr val="accent1"/>
              </a:solidFill>
              <a:ln w="9525">
                <a:solidFill>
                  <a:schemeClr val="accent1"/>
                </a:solidFill>
              </a:ln>
              <a:effectLst/>
            </c:spPr>
          </c:marker>
          <c:xVal>
            <c:numRef>
              <c:f>'15N'!$BO$2:$BO$25</c:f>
              <c:numCache>
                <c:formatCode>General</c:formatCode>
                <c:ptCount val="24"/>
                <c:pt idx="0">
                  <c:v>74.903000000000006</c:v>
                </c:pt>
                <c:pt idx="1">
                  <c:v>69.239000000000004</c:v>
                </c:pt>
                <c:pt idx="2">
                  <c:v>49.631</c:v>
                </c:pt>
                <c:pt idx="3">
                  <c:v>73.512</c:v>
                </c:pt>
                <c:pt idx="4">
                  <c:v>72.108000000000004</c:v>
                </c:pt>
                <c:pt idx="5">
                  <c:v>75.454999999999998</c:v>
                </c:pt>
                <c:pt idx="6">
                  <c:v>71.501000000000005</c:v>
                </c:pt>
                <c:pt idx="7">
                  <c:v>76.603999999999999</c:v>
                </c:pt>
                <c:pt idx="8">
                  <c:v>64.861000000000004</c:v>
                </c:pt>
                <c:pt idx="9">
                  <c:v>43.945999999999998</c:v>
                </c:pt>
                <c:pt idx="10">
                  <c:v>71.611000000000004</c:v>
                </c:pt>
                <c:pt idx="11">
                  <c:v>73.463999999999999</c:v>
                </c:pt>
                <c:pt idx="12">
                  <c:v>74.994</c:v>
                </c:pt>
                <c:pt idx="13">
                  <c:v>75.691000000000003</c:v>
                </c:pt>
                <c:pt idx="14">
                  <c:v>77.34</c:v>
                </c:pt>
                <c:pt idx="15">
                  <c:v>70.09</c:v>
                </c:pt>
                <c:pt idx="16">
                  <c:v>49.122999999999998</c:v>
                </c:pt>
                <c:pt idx="17">
                  <c:v>71.271000000000001</c:v>
                </c:pt>
                <c:pt idx="18">
                  <c:v>73.921000000000006</c:v>
                </c:pt>
              </c:numCache>
            </c:numRef>
          </c:xVal>
          <c:yVal>
            <c:numRef>
              <c:f>'15N'!$BX$2:$BX$25</c:f>
              <c:numCache>
                <c:formatCode>General</c:formatCode>
                <c:ptCount val="24"/>
                <c:pt idx="0">
                  <c:v>0.50691244239620126</c:v>
                </c:pt>
                <c:pt idx="1">
                  <c:v>0.67126850740284461</c:v>
                </c:pt>
                <c:pt idx="2">
                  <c:v>0.49667889362536854</c:v>
                </c:pt>
                <c:pt idx="3">
                  <c:v>0.57904227609695269</c:v>
                </c:pt>
                <c:pt idx="4">
                  <c:v>0.51292326187124537</c:v>
                </c:pt>
                <c:pt idx="5">
                  <c:v>0.6000801442596071</c:v>
                </c:pt>
                <c:pt idx="6">
                  <c:v>0.56601883390094976</c:v>
                </c:pt>
                <c:pt idx="7">
                  <c:v>0.58605489881768946</c:v>
                </c:pt>
                <c:pt idx="8">
                  <c:v>0.66126450580217266</c:v>
                </c:pt>
                <c:pt idx="9">
                  <c:v>0.38366213938734184</c:v>
                </c:pt>
                <c:pt idx="10">
                  <c:v>0.5640152274093424</c:v>
                </c:pt>
                <c:pt idx="11">
                  <c:v>0.58405129232608211</c:v>
                </c:pt>
                <c:pt idx="12">
                  <c:v>0.55800440793407624</c:v>
                </c:pt>
                <c:pt idx="13">
                  <c:v>0.53396113003389978</c:v>
                </c:pt>
                <c:pt idx="14">
                  <c:v>0.54097375275485859</c:v>
                </c:pt>
                <c:pt idx="15">
                  <c:v>0.68027210884347156</c:v>
                </c:pt>
                <c:pt idx="16">
                  <c:v>0.89422028353314253</c:v>
                </c:pt>
                <c:pt idx="17">
                  <c:v>0.58004407934286739</c:v>
                </c:pt>
                <c:pt idx="18">
                  <c:v>0.52193949108381155</c:v>
                </c:pt>
                <c:pt idx="19">
                  <c:v>0</c:v>
                </c:pt>
                <c:pt idx="20">
                  <c:v>0</c:v>
                </c:pt>
                <c:pt idx="21">
                  <c:v>0</c:v>
                </c:pt>
                <c:pt idx="22">
                  <c:v>0</c:v>
                </c:pt>
                <c:pt idx="23">
                  <c:v>0</c:v>
                </c:pt>
              </c:numCache>
            </c:numRef>
          </c:yVal>
          <c:smooth val="0"/>
          <c:extLst>
            <c:ext xmlns:c16="http://schemas.microsoft.com/office/drawing/2014/chart" uri="{C3380CC4-5D6E-409C-BE32-E72D297353CC}">
              <c16:uniqueId val="{00000002-CFEE-EB48-8D3D-8464EB7FBF63}"/>
            </c:ext>
          </c:extLst>
        </c:ser>
        <c:dLbls>
          <c:showLegendKey val="0"/>
          <c:showVal val="0"/>
          <c:showCatName val="0"/>
          <c:showSerName val="0"/>
          <c:showPercent val="0"/>
          <c:showBubbleSize val="0"/>
        </c:dLbls>
        <c:axId val="168467640"/>
        <c:axId val="168395472"/>
      </c:scatterChart>
      <c:valAx>
        <c:axId val="1683946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5080"/>
        <c:crosses val="autoZero"/>
        <c:crossBetween val="midCat"/>
      </c:valAx>
      <c:valAx>
        <c:axId val="168395080"/>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d15N offset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4688"/>
        <c:crosses val="autoZero"/>
        <c:crossBetween val="midCat"/>
      </c:valAx>
      <c:valAx>
        <c:axId val="168395472"/>
        <c:scaling>
          <c:orientation val="minMax"/>
        </c:scaling>
        <c:delete val="1"/>
        <c:axPos val="r"/>
        <c:numFmt formatCode="General" sourceLinked="1"/>
        <c:majorTickMark val="out"/>
        <c:minorTickMark val="none"/>
        <c:tickLblPos val="nextTo"/>
        <c:crossAx val="168467640"/>
        <c:crosses val="max"/>
        <c:crossBetween val="midCat"/>
      </c:valAx>
      <c:valAx>
        <c:axId val="168467640"/>
        <c:scaling>
          <c:orientation val="minMax"/>
        </c:scaling>
        <c:delete val="1"/>
        <c:axPos val="b"/>
        <c:numFmt formatCode="General" sourceLinked="1"/>
        <c:majorTickMark val="out"/>
        <c:minorTickMark val="none"/>
        <c:tickLblPos val="nextTo"/>
        <c:crossAx val="1683954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'15N'!$BZ$1</c:f>
              <c:strCache>
                <c:ptCount val="1"/>
                <c:pt idx="0">
                  <c:v>offset Initial Corrected δ15N (‰ AIR-N2)</c:v>
                </c:pt>
              </c:strCache>
            </c:strRef>
          </c:tx>
          <c:spPr>
            <a:ln w="25400" cap="rnd">
              <a:noFill/>
              <a:round/>
            </a:ln>
            <a:effectLst/>
          </c:spPr>
          <c:marker>
            <c:symbol val="circle"/>
            <c:size val="5"/>
            <c:spPr>
              <a:noFill/>
              <a:ln w="9525">
                <a:solidFill>
                  <a:srgbClr val="00B0F0"/>
                </a:solidFill>
              </a:ln>
              <a:effectLst/>
            </c:spPr>
          </c:marker>
          <c:xVal>
            <c:numRef>
              <c:f>'15N'!$BU$2:$BU$25</c:f>
              <c:numCache>
                <c:formatCode>General</c:formatCode>
                <c:ptCount val="24"/>
                <c:pt idx="0">
                  <c:v>272488</c:v>
                </c:pt>
                <c:pt idx="1">
                  <c:v>129019</c:v>
                </c:pt>
                <c:pt idx="2">
                  <c:v>53637</c:v>
                </c:pt>
                <c:pt idx="3">
                  <c:v>267093</c:v>
                </c:pt>
                <c:pt idx="4">
                  <c:v>262550</c:v>
                </c:pt>
                <c:pt idx="5">
                  <c:v>273601</c:v>
                </c:pt>
                <c:pt idx="6">
                  <c:v>258627</c:v>
                </c:pt>
                <c:pt idx="7">
                  <c:v>278270</c:v>
                </c:pt>
                <c:pt idx="8">
                  <c:v>191969</c:v>
                </c:pt>
                <c:pt idx="9">
                  <c:v>47121</c:v>
                </c:pt>
                <c:pt idx="10">
                  <c:v>259600</c:v>
                </c:pt>
                <c:pt idx="11">
                  <c:v>265422</c:v>
                </c:pt>
                <c:pt idx="12">
                  <c:v>271821</c:v>
                </c:pt>
                <c:pt idx="13">
                  <c:v>274778</c:v>
                </c:pt>
                <c:pt idx="14">
                  <c:v>282067</c:v>
                </c:pt>
                <c:pt idx="15">
                  <c:v>209089</c:v>
                </c:pt>
                <c:pt idx="16">
                  <c:v>53233</c:v>
                </c:pt>
                <c:pt idx="17">
                  <c:v>259561</c:v>
                </c:pt>
                <c:pt idx="18">
                  <c:v>269255</c:v>
                </c:pt>
              </c:numCache>
            </c:numRef>
          </c:xVal>
          <c:yVal>
            <c:numRef>
              <c:f>'15N'!$BZ$2:$BZ$25</c:f>
              <c:numCache>
                <c:formatCode>General</c:formatCode>
                <c:ptCount val="24"/>
                <c:pt idx="0">
                  <c:v>-4.819641535847019E-2</c:v>
                </c:pt>
                <c:pt idx="1">
                  <c:v>0.10996795381457147</c:v>
                </c:pt>
                <c:pt idx="2">
                  <c:v>-9.9326150626466436E-2</c:v>
                </c:pt>
                <c:pt idx="3">
                  <c:v>2.361276067097684E-2</c:v>
                </c:pt>
                <c:pt idx="4">
                  <c:v>-4.2212315816581025E-2</c:v>
                </c:pt>
                <c:pt idx="5">
                  <c:v>4.4557096087416426E-2</c:v>
                </c:pt>
                <c:pt idx="6">
                  <c:v>1.0647217980608303E-2</c:v>
                </c:pt>
                <c:pt idx="7">
                  <c:v>3.0594206190670548E-2</c:v>
                </c:pt>
                <c:pt idx="8">
                  <c:v>0.100008543945318</c:v>
                </c:pt>
                <c:pt idx="9">
                  <c:v>-0.21183135895852523</c:v>
                </c:pt>
                <c:pt idx="10">
                  <c:v>8.6525189884056886E-3</c:v>
                </c:pt>
                <c:pt idx="11">
                  <c:v>2.8599507509552424E-2</c:v>
                </c:pt>
                <c:pt idx="12">
                  <c:v>2.6684218255024206E-3</c:v>
                </c:pt>
                <c:pt idx="13">
                  <c:v>-2.1267969624316763E-2</c:v>
                </c:pt>
                <c:pt idx="14">
                  <c:v>-1.4286521655471063E-2</c:v>
                </c:pt>
                <c:pt idx="15">
                  <c:v>0.11893142203311946</c:v>
                </c:pt>
                <c:pt idx="16">
                  <c:v>0.29641505978328375</c:v>
                </c:pt>
                <c:pt idx="17">
                  <c:v>2.4610110054057444E-2</c:v>
                </c:pt>
                <c:pt idx="18">
                  <c:v>-3.3236167028660724E-2</c:v>
                </c:pt>
                <c:pt idx="19">
                  <c:v>0</c:v>
                </c:pt>
                <c:pt idx="20">
                  <c:v>0</c:v>
                </c:pt>
                <c:pt idx="21">
                  <c:v>0</c:v>
                </c:pt>
                <c:pt idx="22">
                  <c:v>0</c:v>
                </c:pt>
                <c:pt idx="23">
                  <c:v>0</c:v>
                </c:pt>
              </c:numCache>
            </c:numRef>
          </c:yVal>
          <c:smooth val="0"/>
          <c:extLst>
            <c:ext xmlns:c16="http://schemas.microsoft.com/office/drawing/2014/chart" uri="{C3380CC4-5D6E-409C-BE32-E72D297353CC}">
              <c16:uniqueId val="{00000001-CFEE-EB48-8D3D-8464EB7FBF63}"/>
            </c:ext>
          </c:extLst>
        </c:ser>
        <c:ser>
          <c:idx val="2"/>
          <c:order val="1"/>
          <c:tx>
            <c:strRef>
              <c:f>'15N'!$CA$1</c:f>
              <c:strCache>
                <c:ptCount val="1"/>
                <c:pt idx="0">
                  <c:v>offset δ15N (‰ AIR-N2)</c:v>
                </c:pt>
              </c:strCache>
            </c:strRef>
          </c:tx>
          <c:spPr>
            <a:ln w="25400" cap="rnd">
              <a:noFill/>
              <a:round/>
            </a:ln>
            <a:effectLst/>
          </c:spPr>
          <c:marker>
            <c:symbol val="circle"/>
            <c:size val="7"/>
            <c:spPr>
              <a:noFill/>
              <a:ln w="9525">
                <a:solidFill>
                  <a:srgbClr val="FF0000"/>
                </a:solidFill>
              </a:ln>
              <a:effectLst/>
            </c:spPr>
          </c:marker>
          <c:xVal>
            <c:numRef>
              <c:f>'15N'!$BU$2:$BU$25</c:f>
              <c:numCache>
                <c:formatCode>General</c:formatCode>
                <c:ptCount val="24"/>
                <c:pt idx="0">
                  <c:v>272488</c:v>
                </c:pt>
                <c:pt idx="1">
                  <c:v>129019</c:v>
                </c:pt>
                <c:pt idx="2">
                  <c:v>53637</c:v>
                </c:pt>
                <c:pt idx="3">
                  <c:v>267093</c:v>
                </c:pt>
                <c:pt idx="4">
                  <c:v>262550</c:v>
                </c:pt>
                <c:pt idx="5">
                  <c:v>273601</c:v>
                </c:pt>
                <c:pt idx="6">
                  <c:v>258627</c:v>
                </c:pt>
                <c:pt idx="7">
                  <c:v>278270</c:v>
                </c:pt>
                <c:pt idx="8">
                  <c:v>191969</c:v>
                </c:pt>
                <c:pt idx="9">
                  <c:v>47121</c:v>
                </c:pt>
                <c:pt idx="10">
                  <c:v>259600</c:v>
                </c:pt>
                <c:pt idx="11">
                  <c:v>265422</c:v>
                </c:pt>
                <c:pt idx="12">
                  <c:v>271821</c:v>
                </c:pt>
                <c:pt idx="13">
                  <c:v>274778</c:v>
                </c:pt>
                <c:pt idx="14">
                  <c:v>282067</c:v>
                </c:pt>
                <c:pt idx="15">
                  <c:v>209089</c:v>
                </c:pt>
                <c:pt idx="16">
                  <c:v>53233</c:v>
                </c:pt>
                <c:pt idx="17">
                  <c:v>259561</c:v>
                </c:pt>
                <c:pt idx="18">
                  <c:v>269255</c:v>
                </c:pt>
              </c:numCache>
            </c:numRef>
          </c:xVal>
          <c:yVal>
            <c:numRef>
              <c:f>'15N'!$CA$2:$CA$25</c:f>
              <c:numCache>
                <c:formatCode>General</c:formatCode>
                <c:ptCount val="24"/>
                <c:pt idx="0">
                  <c:v>-4.7349694843878964E-2</c:v>
                </c:pt>
                <c:pt idx="1">
                  <c:v>0.11079444034023389</c:v>
                </c:pt>
                <c:pt idx="2">
                  <c:v>-9.8567190238152413E-2</c:v>
                </c:pt>
                <c:pt idx="3">
                  <c:v>2.4315023646526157E-2</c:v>
                </c:pt>
                <c:pt idx="4">
                  <c:v>-4.1653985295209139E-2</c:v>
                </c:pt>
                <c:pt idx="5">
                  <c:v>4.4970912187913825E-2</c:v>
                </c:pt>
                <c:pt idx="6">
                  <c:v>1.0916979863662135E-2</c:v>
                </c:pt>
                <c:pt idx="7">
                  <c:v>3.0719708539406199E-2</c:v>
                </c:pt>
                <c:pt idx="8">
                  <c:v>0.10010208003174981</c:v>
                </c:pt>
                <c:pt idx="9">
                  <c:v>-0.2117982841201016</c:v>
                </c:pt>
                <c:pt idx="10">
                  <c:v>8.633921429801461E-3</c:v>
                </c:pt>
                <c:pt idx="11">
                  <c:v>2.8436650459484625E-2</c:v>
                </c:pt>
                <c:pt idx="12">
                  <c:v>2.3614800044313711E-3</c:v>
                </c:pt>
                <c:pt idx="13">
                  <c:v>-2.1719003873488241E-2</c:v>
                </c:pt>
                <c:pt idx="14">
                  <c:v>-1.4881766024710252E-2</c:v>
                </c:pt>
                <c:pt idx="15">
                  <c:v>0.11825263002140929</c:v>
                </c:pt>
                <c:pt idx="16">
                  <c:v>0.29568091419918119</c:v>
                </c:pt>
                <c:pt idx="17">
                  <c:v>2.3896749359764158E-2</c:v>
                </c:pt>
                <c:pt idx="18">
                  <c:v>-3.3962415272648094E-2</c:v>
                </c:pt>
                <c:pt idx="19">
                  <c:v>0</c:v>
                </c:pt>
                <c:pt idx="20">
                  <c:v>0</c:v>
                </c:pt>
                <c:pt idx="21">
                  <c:v>0</c:v>
                </c:pt>
                <c:pt idx="22">
                  <c:v>0</c:v>
                </c:pt>
                <c:pt idx="23">
                  <c:v>0</c:v>
                </c:pt>
              </c:numCache>
            </c:numRef>
          </c:yVal>
          <c:smooth val="0"/>
          <c:extLst>
            <c:ext xmlns:c16="http://schemas.microsoft.com/office/drawing/2014/chart" uri="{C3380CC4-5D6E-409C-BE32-E72D297353CC}">
              <c16:uniqueId val="{00000000-CFEE-EB48-8D3D-8464EB7FBF63}"/>
            </c:ext>
          </c:extLst>
        </c:ser>
        <c:ser>
          <c:idx val="3"/>
          <c:order val="3"/>
          <c:tx>
            <c:strRef>
              <c:f>'15N'!$BY$1</c:f>
              <c:strCache>
                <c:ptCount val="1"/>
                <c:pt idx="0">
                  <c:v>offset Drift_corr d 15N/14N</c:v>
                </c:pt>
              </c:strCache>
            </c:strRef>
          </c:tx>
          <c:spPr>
            <a:ln w="25400" cap="rnd">
              <a:noFill/>
              <a:round/>
            </a:ln>
            <a:effectLst/>
          </c:spPr>
          <c:marker>
            <c:symbol val="circle"/>
            <c:size val="5"/>
            <c:spPr>
              <a:solidFill>
                <a:schemeClr val="accent4"/>
              </a:solidFill>
              <a:ln w="9525">
                <a:solidFill>
                  <a:schemeClr val="accent4"/>
                </a:solidFill>
              </a:ln>
              <a:effectLst/>
            </c:spPr>
          </c:marker>
          <c:xVal>
            <c:numRef>
              <c:f>'15N'!$BU$2:$BU$25</c:f>
              <c:numCache>
                <c:formatCode>General</c:formatCode>
                <c:ptCount val="24"/>
                <c:pt idx="0">
                  <c:v>272488</c:v>
                </c:pt>
                <c:pt idx="1">
                  <c:v>129019</c:v>
                </c:pt>
                <c:pt idx="2">
                  <c:v>53637</c:v>
                </c:pt>
                <c:pt idx="3">
                  <c:v>267093</c:v>
                </c:pt>
                <c:pt idx="4">
                  <c:v>262550</c:v>
                </c:pt>
                <c:pt idx="5">
                  <c:v>273601</c:v>
                </c:pt>
                <c:pt idx="6">
                  <c:v>258627</c:v>
                </c:pt>
                <c:pt idx="7">
                  <c:v>278270</c:v>
                </c:pt>
                <c:pt idx="8">
                  <c:v>191969</c:v>
                </c:pt>
                <c:pt idx="9">
                  <c:v>47121</c:v>
                </c:pt>
                <c:pt idx="10">
                  <c:v>259600</c:v>
                </c:pt>
                <c:pt idx="11">
                  <c:v>265422</c:v>
                </c:pt>
                <c:pt idx="12">
                  <c:v>271821</c:v>
                </c:pt>
                <c:pt idx="13">
                  <c:v>274778</c:v>
                </c:pt>
                <c:pt idx="14">
                  <c:v>282067</c:v>
                </c:pt>
                <c:pt idx="15">
                  <c:v>209089</c:v>
                </c:pt>
                <c:pt idx="16">
                  <c:v>53233</c:v>
                </c:pt>
                <c:pt idx="17">
                  <c:v>259561</c:v>
                </c:pt>
                <c:pt idx="18">
                  <c:v>269255</c:v>
                </c:pt>
              </c:numCache>
            </c:numRef>
          </c:xVal>
          <c:yVal>
            <c:numRef>
              <c:f>'15N'!$BY$2:$BY$25</c:f>
              <c:numCache>
                <c:formatCode>General</c:formatCode>
                <c:ptCount val="24"/>
                <c:pt idx="0">
                  <c:v>0.50684661151567667</c:v>
                </c:pt>
                <c:pt idx="1">
                  <c:v>0.67118962098633439</c:v>
                </c:pt>
                <c:pt idx="2">
                  <c:v>0.49657466063646183</c:v>
                </c:pt>
                <c:pt idx="3">
                  <c:v>0.57883161727900756</c:v>
                </c:pt>
                <c:pt idx="4">
                  <c:v>0.51256777511610174</c:v>
                </c:pt>
                <c:pt idx="5">
                  <c:v>0.59957982956704292</c:v>
                </c:pt>
                <c:pt idx="6">
                  <c:v>0.56537369127118708</c:v>
                </c:pt>
                <c:pt idx="7">
                  <c:v>0.58526492825072829</c:v>
                </c:pt>
                <c:pt idx="8">
                  <c:v>0.66044934616438233</c:v>
                </c:pt>
                <c:pt idx="9">
                  <c:v>0.38282827547519993</c:v>
                </c:pt>
                <c:pt idx="10">
                  <c:v>0.56308042890496068</c:v>
                </c:pt>
                <c:pt idx="11">
                  <c:v>0.58297166588450189</c:v>
                </c:pt>
                <c:pt idx="12">
                  <c:v>0.55677995355529752</c:v>
                </c:pt>
                <c:pt idx="13">
                  <c:v>0.53259184771792256</c:v>
                </c:pt>
                <c:pt idx="14">
                  <c:v>0.53945964250146083</c:v>
                </c:pt>
                <c:pt idx="15">
                  <c:v>0.678681232776146</c:v>
                </c:pt>
                <c:pt idx="16">
                  <c:v>0.89261770132753604</c:v>
                </c:pt>
                <c:pt idx="17">
                  <c:v>0.57841147350434774</c:v>
                </c:pt>
                <c:pt idx="18">
                  <c:v>0.52029371906936461</c:v>
                </c:pt>
                <c:pt idx="19">
                  <c:v>0</c:v>
                </c:pt>
                <c:pt idx="20">
                  <c:v>0</c:v>
                </c:pt>
                <c:pt idx="21">
                  <c:v>0</c:v>
                </c:pt>
                <c:pt idx="22">
                  <c:v>0</c:v>
                </c:pt>
                <c:pt idx="23">
                  <c:v>0</c:v>
                </c:pt>
              </c:numCache>
            </c:numRef>
          </c:yVal>
          <c:smooth val="0"/>
          <c:extLst>
            <c:ext xmlns:c16="http://schemas.microsoft.com/office/drawing/2014/chart" uri="{C3380CC4-5D6E-409C-BE32-E72D297353CC}">
              <c16:uniqueId val="{00000003-CFEE-EB48-8D3D-8464EB7FBF63}"/>
            </c:ext>
          </c:extLst>
        </c:ser>
        <c:dLbls>
          <c:showLegendKey val="0"/>
          <c:showVal val="0"/>
          <c:showCatName val="0"/>
          <c:showSerName val="0"/>
          <c:showPercent val="0"/>
          <c:showBubbleSize val="0"/>
        </c:dLbls>
        <c:axId val="168468816"/>
        <c:axId val="168469208"/>
      </c:scatterChart>
      <c:scatterChart>
        <c:scatterStyle val="lineMarker"/>
        <c:varyColors val="0"/>
        <c:ser>
          <c:idx val="0"/>
          <c:order val="2"/>
          <c:tx>
            <c:strRef>
              <c:f>'15N'!$BX$1</c:f>
              <c:strCache>
                <c:ptCount val="1"/>
                <c:pt idx="0">
                  <c:v>offset d 15N/14N</c:v>
                </c:pt>
              </c:strCache>
            </c:strRef>
          </c:tx>
          <c:spPr>
            <a:ln w="25400" cap="rnd">
              <a:noFill/>
              <a:round/>
            </a:ln>
            <a:effectLst/>
          </c:spPr>
          <c:marker>
            <c:symbol val="circle"/>
            <c:size val="5"/>
            <c:spPr>
              <a:solidFill>
                <a:schemeClr val="accent1"/>
              </a:solidFill>
              <a:ln w="9525">
                <a:solidFill>
                  <a:schemeClr val="accent1"/>
                </a:solidFill>
              </a:ln>
              <a:effectLst/>
            </c:spPr>
          </c:marker>
          <c:xVal>
            <c:numRef>
              <c:f>'15N'!$BU$2:$BU$25</c:f>
              <c:numCache>
                <c:formatCode>General</c:formatCode>
                <c:ptCount val="24"/>
                <c:pt idx="0">
                  <c:v>272488</c:v>
                </c:pt>
                <c:pt idx="1">
                  <c:v>129019</c:v>
                </c:pt>
                <c:pt idx="2">
                  <c:v>53637</c:v>
                </c:pt>
                <c:pt idx="3">
                  <c:v>267093</c:v>
                </c:pt>
                <c:pt idx="4">
                  <c:v>262550</c:v>
                </c:pt>
                <c:pt idx="5">
                  <c:v>273601</c:v>
                </c:pt>
                <c:pt idx="6">
                  <c:v>258627</c:v>
                </c:pt>
                <c:pt idx="7">
                  <c:v>278270</c:v>
                </c:pt>
                <c:pt idx="8">
                  <c:v>191969</c:v>
                </c:pt>
                <c:pt idx="9">
                  <c:v>47121</c:v>
                </c:pt>
                <c:pt idx="10">
                  <c:v>259600</c:v>
                </c:pt>
                <c:pt idx="11">
                  <c:v>265422</c:v>
                </c:pt>
                <c:pt idx="12">
                  <c:v>271821</c:v>
                </c:pt>
                <c:pt idx="13">
                  <c:v>274778</c:v>
                </c:pt>
                <c:pt idx="14">
                  <c:v>282067</c:v>
                </c:pt>
                <c:pt idx="15">
                  <c:v>209089</c:v>
                </c:pt>
                <c:pt idx="16">
                  <c:v>53233</c:v>
                </c:pt>
                <c:pt idx="17">
                  <c:v>259561</c:v>
                </c:pt>
                <c:pt idx="18">
                  <c:v>269255</c:v>
                </c:pt>
              </c:numCache>
            </c:numRef>
          </c:xVal>
          <c:yVal>
            <c:numRef>
              <c:f>'15N'!$BX$2:$BX$25</c:f>
              <c:numCache>
                <c:formatCode>General</c:formatCode>
                <c:ptCount val="24"/>
                <c:pt idx="0">
                  <c:v>0.50691244239620126</c:v>
                </c:pt>
                <c:pt idx="1">
                  <c:v>0.67126850740284461</c:v>
                </c:pt>
                <c:pt idx="2">
                  <c:v>0.49667889362536854</c:v>
                </c:pt>
                <c:pt idx="3">
                  <c:v>0.57904227609695269</c:v>
                </c:pt>
                <c:pt idx="4">
                  <c:v>0.51292326187124537</c:v>
                </c:pt>
                <c:pt idx="5">
                  <c:v>0.6000801442596071</c:v>
                </c:pt>
                <c:pt idx="6">
                  <c:v>0.56601883390094976</c:v>
                </c:pt>
                <c:pt idx="7">
                  <c:v>0.58605489881768946</c:v>
                </c:pt>
                <c:pt idx="8">
                  <c:v>0.66126450580217266</c:v>
                </c:pt>
                <c:pt idx="9">
                  <c:v>0.38366213938734184</c:v>
                </c:pt>
                <c:pt idx="10">
                  <c:v>0.5640152274093424</c:v>
                </c:pt>
                <c:pt idx="11">
                  <c:v>0.58405129232608211</c:v>
                </c:pt>
                <c:pt idx="12">
                  <c:v>0.55800440793407624</c:v>
                </c:pt>
                <c:pt idx="13">
                  <c:v>0.53396113003389978</c:v>
                </c:pt>
                <c:pt idx="14">
                  <c:v>0.54097375275485859</c:v>
                </c:pt>
                <c:pt idx="15">
                  <c:v>0.68027210884347156</c:v>
                </c:pt>
                <c:pt idx="16">
                  <c:v>0.89422028353314253</c:v>
                </c:pt>
                <c:pt idx="17">
                  <c:v>0.58004407934286739</c:v>
                </c:pt>
                <c:pt idx="18">
                  <c:v>0.52193949108381155</c:v>
                </c:pt>
                <c:pt idx="19">
                  <c:v>0</c:v>
                </c:pt>
                <c:pt idx="20">
                  <c:v>0</c:v>
                </c:pt>
                <c:pt idx="21">
                  <c:v>0</c:v>
                </c:pt>
                <c:pt idx="22">
                  <c:v>0</c:v>
                </c:pt>
                <c:pt idx="23">
                  <c:v>0</c:v>
                </c:pt>
              </c:numCache>
            </c:numRef>
          </c:yVal>
          <c:smooth val="0"/>
          <c:extLst>
            <c:ext xmlns:c16="http://schemas.microsoft.com/office/drawing/2014/chart" uri="{C3380CC4-5D6E-409C-BE32-E72D297353CC}">
              <c16:uniqueId val="{00000002-CFEE-EB48-8D3D-8464EB7FBF63}"/>
            </c:ext>
          </c:extLst>
        </c:ser>
        <c:dLbls>
          <c:showLegendKey val="0"/>
          <c:showVal val="0"/>
          <c:showCatName val="0"/>
          <c:showSerName val="0"/>
          <c:showPercent val="0"/>
          <c:showBubbleSize val="0"/>
        </c:dLbls>
        <c:axId val="168469992"/>
        <c:axId val="168469600"/>
      </c:scatterChart>
      <c:valAx>
        <c:axId val="1684688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rArea Flash TCD (raw area</a:t>
                </a:r>
                <a:r>
                  <a:rPr lang="en-US" baseline="0"/>
                  <a:t> signal)</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469208"/>
        <c:crosses val="autoZero"/>
        <c:crossBetween val="midCat"/>
      </c:valAx>
      <c:valAx>
        <c:axId val="168469208"/>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d15N offset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468816"/>
        <c:crosses val="autoZero"/>
        <c:crossBetween val="midCat"/>
      </c:valAx>
      <c:valAx>
        <c:axId val="168469600"/>
        <c:scaling>
          <c:orientation val="minMax"/>
        </c:scaling>
        <c:delete val="1"/>
        <c:axPos val="r"/>
        <c:numFmt formatCode="General" sourceLinked="1"/>
        <c:majorTickMark val="out"/>
        <c:minorTickMark val="none"/>
        <c:tickLblPos val="nextTo"/>
        <c:crossAx val="168469992"/>
        <c:crosses val="max"/>
        <c:crossBetween val="midCat"/>
      </c:valAx>
      <c:valAx>
        <c:axId val="168469992"/>
        <c:scaling>
          <c:orientation val="minMax"/>
        </c:scaling>
        <c:delete val="1"/>
        <c:axPos val="b"/>
        <c:numFmt formatCode="General" sourceLinked="1"/>
        <c:majorTickMark val="out"/>
        <c:minorTickMark val="none"/>
        <c:tickLblPos val="nextTo"/>
        <c:crossAx val="1684696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'15N'!$BO$2:$BO$25</c:f>
              <c:numCache>
                <c:formatCode>General</c:formatCode>
                <c:ptCount val="24"/>
                <c:pt idx="0">
                  <c:v>74.903000000000006</c:v>
                </c:pt>
                <c:pt idx="1">
                  <c:v>69.239000000000004</c:v>
                </c:pt>
                <c:pt idx="2">
                  <c:v>49.631</c:v>
                </c:pt>
                <c:pt idx="3">
                  <c:v>73.512</c:v>
                </c:pt>
                <c:pt idx="4">
                  <c:v>72.108000000000004</c:v>
                </c:pt>
                <c:pt idx="5">
                  <c:v>75.454999999999998</c:v>
                </c:pt>
                <c:pt idx="6">
                  <c:v>71.501000000000005</c:v>
                </c:pt>
                <c:pt idx="7">
                  <c:v>76.603999999999999</c:v>
                </c:pt>
                <c:pt idx="8">
                  <c:v>64.861000000000004</c:v>
                </c:pt>
                <c:pt idx="9">
                  <c:v>43.945999999999998</c:v>
                </c:pt>
                <c:pt idx="10">
                  <c:v>71.611000000000004</c:v>
                </c:pt>
                <c:pt idx="11">
                  <c:v>73.463999999999999</c:v>
                </c:pt>
                <c:pt idx="12">
                  <c:v>74.994</c:v>
                </c:pt>
                <c:pt idx="13">
                  <c:v>75.691000000000003</c:v>
                </c:pt>
                <c:pt idx="14">
                  <c:v>77.34</c:v>
                </c:pt>
                <c:pt idx="15">
                  <c:v>70.09</c:v>
                </c:pt>
                <c:pt idx="16">
                  <c:v>49.122999999999998</c:v>
                </c:pt>
                <c:pt idx="17">
                  <c:v>71.271000000000001</c:v>
                </c:pt>
                <c:pt idx="18">
                  <c:v>73.921000000000006</c:v>
                </c:pt>
              </c:numCache>
            </c:numRef>
          </c:xVal>
          <c:yVal>
            <c:numRef>
              <c:f>'15N'!$BU$2:$BU$25</c:f>
              <c:numCache>
                <c:formatCode>General</c:formatCode>
                <c:ptCount val="24"/>
                <c:pt idx="0">
                  <c:v>272488</c:v>
                </c:pt>
                <c:pt idx="1">
                  <c:v>129019</c:v>
                </c:pt>
                <c:pt idx="2">
                  <c:v>53637</c:v>
                </c:pt>
                <c:pt idx="3">
                  <c:v>267093</c:v>
                </c:pt>
                <c:pt idx="4">
                  <c:v>262550</c:v>
                </c:pt>
                <c:pt idx="5">
                  <c:v>273601</c:v>
                </c:pt>
                <c:pt idx="6">
                  <c:v>258627</c:v>
                </c:pt>
                <c:pt idx="7">
                  <c:v>278270</c:v>
                </c:pt>
                <c:pt idx="8">
                  <c:v>191969</c:v>
                </c:pt>
                <c:pt idx="9">
                  <c:v>47121</c:v>
                </c:pt>
                <c:pt idx="10">
                  <c:v>259600</c:v>
                </c:pt>
                <c:pt idx="11">
                  <c:v>265422</c:v>
                </c:pt>
                <c:pt idx="12">
                  <c:v>271821</c:v>
                </c:pt>
                <c:pt idx="13">
                  <c:v>274778</c:v>
                </c:pt>
                <c:pt idx="14">
                  <c:v>282067</c:v>
                </c:pt>
                <c:pt idx="15">
                  <c:v>209089</c:v>
                </c:pt>
                <c:pt idx="16">
                  <c:v>53233</c:v>
                </c:pt>
                <c:pt idx="17">
                  <c:v>259561</c:v>
                </c:pt>
                <c:pt idx="18">
                  <c:v>269255</c:v>
                </c:pt>
              </c:numCache>
            </c:numRef>
          </c:yVal>
          <c:smooth val="0"/>
          <c:extLst>
            <c:ext xmlns:c16="http://schemas.microsoft.com/office/drawing/2014/chart" uri="{C3380CC4-5D6E-409C-BE32-E72D297353CC}">
              <c16:uniqueId val="{00000000-29F2-C845-98F8-772CB60F31E8}"/>
            </c:ext>
          </c:extLst>
        </c:ser>
        <c:dLbls>
          <c:showLegendKey val="0"/>
          <c:showVal val="0"/>
          <c:showCatName val="0"/>
          <c:showSerName val="0"/>
          <c:showPercent val="0"/>
          <c:showBubbleSize val="0"/>
        </c:dLbls>
        <c:axId val="122150136"/>
        <c:axId val="122149744"/>
      </c:scatterChart>
      <c:valAx>
        <c:axId val="1221501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All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49744"/>
        <c:crosses val="autoZero"/>
        <c:crossBetween val="midCat"/>
      </c:valAx>
      <c:valAx>
        <c:axId val="122149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rArea Flash TCD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22150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'15N'!$J$1</c:f>
              <c:strCache>
                <c:ptCount val="1"/>
                <c:pt idx="0">
                  <c:v>BGD 28</c:v>
                </c:pt>
              </c:strCache>
            </c:strRef>
          </c:tx>
          <c:spPr>
            <a:ln w="25400" cap="rnd">
              <a:noFill/>
              <a:round/>
            </a:ln>
            <a:effectLst/>
          </c:spPr>
          <c:marker>
            <c:symbol val="circle"/>
            <c:size val="5"/>
            <c:spPr>
              <a:noFill/>
              <a:ln w="9525">
                <a:solidFill>
                  <a:srgbClr val="00B0F0"/>
                </a:solidFill>
              </a:ln>
              <a:effectLst/>
            </c:spPr>
          </c:marker>
          <c:xVal>
            <c:numRef>
              <c:f>'15N'!$B$2:$B$125</c:f>
              <c:numCache>
                <c:formatCode>General</c:formatCode>
                <c:ptCount val="124"/>
                <c:pt idx="0">
                  <c:v>27808</c:v>
                </c:pt>
                <c:pt idx="1">
                  <c:v>27809</c:v>
                </c:pt>
                <c:pt idx="2">
                  <c:v>27810</c:v>
                </c:pt>
                <c:pt idx="3">
                  <c:v>27812</c:v>
                </c:pt>
                <c:pt idx="4">
                  <c:v>27813</c:v>
                </c:pt>
                <c:pt idx="5">
                  <c:v>27815</c:v>
                </c:pt>
                <c:pt idx="6">
                  <c:v>27816</c:v>
                </c:pt>
                <c:pt idx="7">
                  <c:v>27817</c:v>
                </c:pt>
                <c:pt idx="8">
                  <c:v>27818</c:v>
                </c:pt>
                <c:pt idx="9">
                  <c:v>27819</c:v>
                </c:pt>
                <c:pt idx="10">
                  <c:v>27820</c:v>
                </c:pt>
                <c:pt idx="11">
                  <c:v>27821</c:v>
                </c:pt>
                <c:pt idx="12">
                  <c:v>27822</c:v>
                </c:pt>
                <c:pt idx="13">
                  <c:v>27823</c:v>
                </c:pt>
                <c:pt idx="14">
                  <c:v>27824</c:v>
                </c:pt>
                <c:pt idx="15">
                  <c:v>27825</c:v>
                </c:pt>
                <c:pt idx="16">
                  <c:v>27826</c:v>
                </c:pt>
                <c:pt idx="17">
                  <c:v>27827</c:v>
                </c:pt>
                <c:pt idx="18">
                  <c:v>27828</c:v>
                </c:pt>
                <c:pt idx="19">
                  <c:v>27829</c:v>
                </c:pt>
                <c:pt idx="20">
                  <c:v>27830</c:v>
                </c:pt>
                <c:pt idx="21">
                  <c:v>27831</c:v>
                </c:pt>
                <c:pt idx="22">
                  <c:v>27832</c:v>
                </c:pt>
                <c:pt idx="23">
                  <c:v>27833</c:v>
                </c:pt>
                <c:pt idx="24">
                  <c:v>27834</c:v>
                </c:pt>
                <c:pt idx="25">
                  <c:v>27835</c:v>
                </c:pt>
                <c:pt idx="26">
                  <c:v>27836</c:v>
                </c:pt>
                <c:pt idx="27">
                  <c:v>27837</c:v>
                </c:pt>
                <c:pt idx="28">
                  <c:v>27838</c:v>
                </c:pt>
                <c:pt idx="29">
                  <c:v>27839</c:v>
                </c:pt>
                <c:pt idx="30">
                  <c:v>27840</c:v>
                </c:pt>
                <c:pt idx="31">
                  <c:v>27841</c:v>
                </c:pt>
                <c:pt idx="32">
                  <c:v>27842</c:v>
                </c:pt>
                <c:pt idx="33">
                  <c:v>27843</c:v>
                </c:pt>
                <c:pt idx="34">
                  <c:v>27844</c:v>
                </c:pt>
                <c:pt idx="35">
                  <c:v>27845</c:v>
                </c:pt>
                <c:pt idx="36">
                  <c:v>27846</c:v>
                </c:pt>
                <c:pt idx="37">
                  <c:v>27847</c:v>
                </c:pt>
                <c:pt idx="38">
                  <c:v>27848</c:v>
                </c:pt>
                <c:pt idx="39">
                  <c:v>27849</c:v>
                </c:pt>
                <c:pt idx="40">
                  <c:v>27850</c:v>
                </c:pt>
                <c:pt idx="41">
                  <c:v>27851</c:v>
                </c:pt>
                <c:pt idx="42">
                  <c:v>27852</c:v>
                </c:pt>
                <c:pt idx="43">
                  <c:v>27853</c:v>
                </c:pt>
                <c:pt idx="44">
                  <c:v>27854</c:v>
                </c:pt>
                <c:pt idx="45">
                  <c:v>27855</c:v>
                </c:pt>
                <c:pt idx="46">
                  <c:v>27856</c:v>
                </c:pt>
                <c:pt idx="47">
                  <c:v>27857</c:v>
                </c:pt>
                <c:pt idx="48">
                  <c:v>27858</c:v>
                </c:pt>
                <c:pt idx="49">
                  <c:v>27859</c:v>
                </c:pt>
                <c:pt idx="50">
                  <c:v>27860</c:v>
                </c:pt>
                <c:pt idx="51">
                  <c:v>27861</c:v>
                </c:pt>
                <c:pt idx="52">
                  <c:v>27862</c:v>
                </c:pt>
                <c:pt idx="53">
                  <c:v>27863</c:v>
                </c:pt>
                <c:pt idx="54">
                  <c:v>27864</c:v>
                </c:pt>
                <c:pt idx="55">
                  <c:v>27865</c:v>
                </c:pt>
                <c:pt idx="56">
                  <c:v>27866</c:v>
                </c:pt>
                <c:pt idx="57">
                  <c:v>27867</c:v>
                </c:pt>
                <c:pt idx="58">
                  <c:v>27868</c:v>
                </c:pt>
                <c:pt idx="59">
                  <c:v>27869</c:v>
                </c:pt>
                <c:pt idx="60">
                  <c:v>27871</c:v>
                </c:pt>
                <c:pt idx="61">
                  <c:v>27872</c:v>
                </c:pt>
                <c:pt idx="62">
                  <c:v>27873</c:v>
                </c:pt>
                <c:pt idx="63">
                  <c:v>27874</c:v>
                </c:pt>
                <c:pt idx="64">
                  <c:v>27875</c:v>
                </c:pt>
                <c:pt idx="65">
                  <c:v>27876</c:v>
                </c:pt>
                <c:pt idx="66">
                  <c:v>27877</c:v>
                </c:pt>
                <c:pt idx="67">
                  <c:v>27878</c:v>
                </c:pt>
                <c:pt idx="68">
                  <c:v>27879</c:v>
                </c:pt>
                <c:pt idx="69">
                  <c:v>27880</c:v>
                </c:pt>
                <c:pt idx="70">
                  <c:v>27881</c:v>
                </c:pt>
                <c:pt idx="71">
                  <c:v>27882</c:v>
                </c:pt>
                <c:pt idx="72">
                  <c:v>27883</c:v>
                </c:pt>
                <c:pt idx="73">
                  <c:v>27884</c:v>
                </c:pt>
                <c:pt idx="74">
                  <c:v>27885</c:v>
                </c:pt>
                <c:pt idx="75">
                  <c:v>27886</c:v>
                </c:pt>
                <c:pt idx="76">
                  <c:v>27887</c:v>
                </c:pt>
                <c:pt idx="77">
                  <c:v>27888</c:v>
                </c:pt>
                <c:pt idx="78">
                  <c:v>27889</c:v>
                </c:pt>
                <c:pt idx="79">
                  <c:v>27890</c:v>
                </c:pt>
                <c:pt idx="80">
                  <c:v>27891</c:v>
                </c:pt>
                <c:pt idx="81">
                  <c:v>27892</c:v>
                </c:pt>
                <c:pt idx="82">
                  <c:v>27893</c:v>
                </c:pt>
                <c:pt idx="83">
                  <c:v>27894</c:v>
                </c:pt>
                <c:pt idx="84">
                  <c:v>27895</c:v>
                </c:pt>
                <c:pt idx="85">
                  <c:v>27896</c:v>
                </c:pt>
                <c:pt idx="86">
                  <c:v>27897</c:v>
                </c:pt>
                <c:pt idx="87">
                  <c:v>27898</c:v>
                </c:pt>
                <c:pt idx="88">
                  <c:v>27899</c:v>
                </c:pt>
                <c:pt idx="89">
                  <c:v>27900</c:v>
                </c:pt>
                <c:pt idx="90">
                  <c:v>27901</c:v>
                </c:pt>
                <c:pt idx="91">
                  <c:v>27902</c:v>
                </c:pt>
                <c:pt idx="92">
                  <c:v>27903</c:v>
                </c:pt>
                <c:pt idx="93">
                  <c:v>27904</c:v>
                </c:pt>
                <c:pt idx="94">
                  <c:v>27905</c:v>
                </c:pt>
                <c:pt idx="95">
                  <c:v>27906</c:v>
                </c:pt>
                <c:pt idx="96">
                  <c:v>27907</c:v>
                </c:pt>
                <c:pt idx="97">
                  <c:v>27908</c:v>
                </c:pt>
                <c:pt idx="98">
                  <c:v>27909</c:v>
                </c:pt>
                <c:pt idx="99">
                  <c:v>27910</c:v>
                </c:pt>
                <c:pt idx="100">
                  <c:v>27911</c:v>
                </c:pt>
                <c:pt idx="101">
                  <c:v>27912</c:v>
                </c:pt>
                <c:pt idx="102">
                  <c:v>27913</c:v>
                </c:pt>
                <c:pt idx="103">
                  <c:v>27914</c:v>
                </c:pt>
                <c:pt idx="104">
                  <c:v>27915</c:v>
                </c:pt>
                <c:pt idx="105">
                  <c:v>27916</c:v>
                </c:pt>
                <c:pt idx="106">
                  <c:v>27917</c:v>
                </c:pt>
                <c:pt idx="107">
                  <c:v>27918</c:v>
                </c:pt>
                <c:pt idx="108">
                  <c:v>27919</c:v>
                </c:pt>
                <c:pt idx="109">
                  <c:v>27920</c:v>
                </c:pt>
                <c:pt idx="110">
                  <c:v>27921</c:v>
                </c:pt>
                <c:pt idx="111">
                  <c:v>27922</c:v>
                </c:pt>
                <c:pt idx="112">
                  <c:v>27923</c:v>
                </c:pt>
                <c:pt idx="113">
                  <c:v>27924</c:v>
                </c:pt>
                <c:pt idx="114">
                  <c:v>27925</c:v>
                </c:pt>
                <c:pt idx="115">
                  <c:v>27926</c:v>
                </c:pt>
                <c:pt idx="116">
                  <c:v>27927</c:v>
                </c:pt>
                <c:pt idx="117">
                  <c:v>27928</c:v>
                </c:pt>
                <c:pt idx="118">
                  <c:v>27930</c:v>
                </c:pt>
                <c:pt idx="119">
                  <c:v>27931</c:v>
                </c:pt>
                <c:pt idx="120">
                  <c:v>27932</c:v>
                </c:pt>
              </c:numCache>
            </c:numRef>
          </c:xVal>
          <c:yVal>
            <c:numRef>
              <c:f>'15N'!$J$2:$J$125</c:f>
              <c:numCache>
                <c:formatCode>General</c:formatCode>
                <c:ptCount val="124"/>
                <c:pt idx="0">
                  <c:v>25.6</c:v>
                </c:pt>
                <c:pt idx="1">
                  <c:v>26.4</c:v>
                </c:pt>
                <c:pt idx="2">
                  <c:v>26.6</c:v>
                </c:pt>
                <c:pt idx="3">
                  <c:v>11.3</c:v>
                </c:pt>
                <c:pt idx="4">
                  <c:v>18.600000000000001</c:v>
                </c:pt>
                <c:pt idx="5">
                  <c:v>27.2</c:v>
                </c:pt>
                <c:pt idx="6">
                  <c:v>27.5</c:v>
                </c:pt>
                <c:pt idx="7">
                  <c:v>28.5</c:v>
                </c:pt>
                <c:pt idx="8">
                  <c:v>28.9</c:v>
                </c:pt>
                <c:pt idx="9">
                  <c:v>28.9</c:v>
                </c:pt>
                <c:pt idx="10">
                  <c:v>29.3</c:v>
                </c:pt>
                <c:pt idx="11">
                  <c:v>29.4</c:v>
                </c:pt>
                <c:pt idx="12">
                  <c:v>28.2</c:v>
                </c:pt>
                <c:pt idx="13">
                  <c:v>12.5</c:v>
                </c:pt>
                <c:pt idx="14">
                  <c:v>29.4</c:v>
                </c:pt>
                <c:pt idx="15">
                  <c:v>29.4</c:v>
                </c:pt>
                <c:pt idx="16">
                  <c:v>29.6</c:v>
                </c:pt>
                <c:pt idx="17">
                  <c:v>29.4</c:v>
                </c:pt>
                <c:pt idx="18">
                  <c:v>29.4</c:v>
                </c:pt>
                <c:pt idx="19">
                  <c:v>29.5</c:v>
                </c:pt>
                <c:pt idx="20">
                  <c:v>29.4</c:v>
                </c:pt>
                <c:pt idx="21">
                  <c:v>30</c:v>
                </c:pt>
                <c:pt idx="22">
                  <c:v>29.6</c:v>
                </c:pt>
                <c:pt idx="23">
                  <c:v>29.5</c:v>
                </c:pt>
                <c:pt idx="24">
                  <c:v>12.7</c:v>
                </c:pt>
                <c:pt idx="25">
                  <c:v>29.7</c:v>
                </c:pt>
                <c:pt idx="26">
                  <c:v>28.7</c:v>
                </c:pt>
                <c:pt idx="27">
                  <c:v>28.4</c:v>
                </c:pt>
                <c:pt idx="28">
                  <c:v>29.1</c:v>
                </c:pt>
                <c:pt idx="29">
                  <c:v>29.6</c:v>
                </c:pt>
                <c:pt idx="30">
                  <c:v>28.6</c:v>
                </c:pt>
                <c:pt idx="31">
                  <c:v>28.3</c:v>
                </c:pt>
                <c:pt idx="32">
                  <c:v>29.3</c:v>
                </c:pt>
                <c:pt idx="33">
                  <c:v>28.6</c:v>
                </c:pt>
                <c:pt idx="34">
                  <c:v>29.2</c:v>
                </c:pt>
                <c:pt idx="35">
                  <c:v>12.7</c:v>
                </c:pt>
                <c:pt idx="36">
                  <c:v>29.6</c:v>
                </c:pt>
                <c:pt idx="37">
                  <c:v>30</c:v>
                </c:pt>
                <c:pt idx="38">
                  <c:v>28.5</c:v>
                </c:pt>
                <c:pt idx="39">
                  <c:v>29.7</c:v>
                </c:pt>
                <c:pt idx="40">
                  <c:v>30</c:v>
                </c:pt>
                <c:pt idx="41">
                  <c:v>29.9</c:v>
                </c:pt>
                <c:pt idx="42">
                  <c:v>29.5</c:v>
                </c:pt>
                <c:pt idx="43">
                  <c:v>29.6</c:v>
                </c:pt>
                <c:pt idx="44">
                  <c:v>28.6</c:v>
                </c:pt>
                <c:pt idx="45">
                  <c:v>29.3</c:v>
                </c:pt>
                <c:pt idx="46">
                  <c:v>12.7</c:v>
                </c:pt>
                <c:pt idx="47">
                  <c:v>29.8</c:v>
                </c:pt>
                <c:pt idx="48">
                  <c:v>28.7</c:v>
                </c:pt>
                <c:pt idx="49">
                  <c:v>29.2</c:v>
                </c:pt>
                <c:pt idx="50">
                  <c:v>28.6</c:v>
                </c:pt>
                <c:pt idx="51">
                  <c:v>29.5</c:v>
                </c:pt>
                <c:pt idx="52">
                  <c:v>29.7</c:v>
                </c:pt>
                <c:pt idx="53">
                  <c:v>29.5</c:v>
                </c:pt>
                <c:pt idx="54">
                  <c:v>29.6</c:v>
                </c:pt>
                <c:pt idx="55">
                  <c:v>29.5</c:v>
                </c:pt>
                <c:pt idx="56">
                  <c:v>28.5</c:v>
                </c:pt>
                <c:pt idx="57">
                  <c:v>12.6</c:v>
                </c:pt>
                <c:pt idx="58">
                  <c:v>29.7</c:v>
                </c:pt>
                <c:pt idx="59">
                  <c:v>14.3</c:v>
                </c:pt>
                <c:pt idx="60">
                  <c:v>27.6</c:v>
                </c:pt>
                <c:pt idx="61">
                  <c:v>28</c:v>
                </c:pt>
                <c:pt idx="62">
                  <c:v>27.7</c:v>
                </c:pt>
                <c:pt idx="63">
                  <c:v>29</c:v>
                </c:pt>
                <c:pt idx="64">
                  <c:v>28.4</c:v>
                </c:pt>
                <c:pt idx="65">
                  <c:v>28.9</c:v>
                </c:pt>
                <c:pt idx="66">
                  <c:v>29.3</c:v>
                </c:pt>
                <c:pt idx="67">
                  <c:v>12.5</c:v>
                </c:pt>
                <c:pt idx="68">
                  <c:v>29.4</c:v>
                </c:pt>
                <c:pt idx="69">
                  <c:v>29.3</c:v>
                </c:pt>
                <c:pt idx="70">
                  <c:v>28.2</c:v>
                </c:pt>
                <c:pt idx="71">
                  <c:v>29.4</c:v>
                </c:pt>
                <c:pt idx="72">
                  <c:v>29.2</c:v>
                </c:pt>
                <c:pt idx="73">
                  <c:v>29.5</c:v>
                </c:pt>
                <c:pt idx="74">
                  <c:v>29.8</c:v>
                </c:pt>
                <c:pt idx="75">
                  <c:v>28.4</c:v>
                </c:pt>
                <c:pt idx="76">
                  <c:v>28.9</c:v>
                </c:pt>
                <c:pt idx="77">
                  <c:v>29.5</c:v>
                </c:pt>
                <c:pt idx="78">
                  <c:v>12.5</c:v>
                </c:pt>
                <c:pt idx="79">
                  <c:v>29.3</c:v>
                </c:pt>
                <c:pt idx="80">
                  <c:v>28.4</c:v>
                </c:pt>
                <c:pt idx="81">
                  <c:v>29</c:v>
                </c:pt>
                <c:pt idx="82">
                  <c:v>29.3</c:v>
                </c:pt>
                <c:pt idx="83">
                  <c:v>29.6</c:v>
                </c:pt>
                <c:pt idx="84">
                  <c:v>28.2</c:v>
                </c:pt>
                <c:pt idx="85">
                  <c:v>29.3</c:v>
                </c:pt>
                <c:pt idx="86">
                  <c:v>28.2</c:v>
                </c:pt>
                <c:pt idx="87">
                  <c:v>29</c:v>
                </c:pt>
                <c:pt idx="88">
                  <c:v>29.3</c:v>
                </c:pt>
                <c:pt idx="89">
                  <c:v>12.6</c:v>
                </c:pt>
                <c:pt idx="90">
                  <c:v>29.5</c:v>
                </c:pt>
                <c:pt idx="91">
                  <c:v>28.3</c:v>
                </c:pt>
                <c:pt idx="92">
                  <c:v>29.1</c:v>
                </c:pt>
                <c:pt idx="93">
                  <c:v>29.2</c:v>
                </c:pt>
                <c:pt idx="94">
                  <c:v>29.7</c:v>
                </c:pt>
                <c:pt idx="95">
                  <c:v>28.1</c:v>
                </c:pt>
                <c:pt idx="96">
                  <c:v>28.7</c:v>
                </c:pt>
                <c:pt idx="97">
                  <c:v>29.2</c:v>
                </c:pt>
                <c:pt idx="98">
                  <c:v>29.2</c:v>
                </c:pt>
                <c:pt idx="99">
                  <c:v>29.2</c:v>
                </c:pt>
                <c:pt idx="100">
                  <c:v>12.4</c:v>
                </c:pt>
                <c:pt idx="101">
                  <c:v>29.2</c:v>
                </c:pt>
                <c:pt idx="102">
                  <c:v>28.1</c:v>
                </c:pt>
                <c:pt idx="103">
                  <c:v>28.9</c:v>
                </c:pt>
                <c:pt idx="104">
                  <c:v>28.1</c:v>
                </c:pt>
                <c:pt idx="105">
                  <c:v>28.8</c:v>
                </c:pt>
                <c:pt idx="106">
                  <c:v>28.1</c:v>
                </c:pt>
                <c:pt idx="107">
                  <c:v>28.9</c:v>
                </c:pt>
                <c:pt idx="108">
                  <c:v>29.4</c:v>
                </c:pt>
                <c:pt idx="109">
                  <c:v>28.9</c:v>
                </c:pt>
                <c:pt idx="110">
                  <c:v>29</c:v>
                </c:pt>
                <c:pt idx="111">
                  <c:v>12.4</c:v>
                </c:pt>
                <c:pt idx="112">
                  <c:v>29.3</c:v>
                </c:pt>
                <c:pt idx="113">
                  <c:v>28</c:v>
                </c:pt>
                <c:pt idx="114">
                  <c:v>29.1</c:v>
                </c:pt>
                <c:pt idx="115">
                  <c:v>27.9</c:v>
                </c:pt>
                <c:pt idx="116">
                  <c:v>27.8</c:v>
                </c:pt>
                <c:pt idx="117">
                  <c:v>14</c:v>
                </c:pt>
                <c:pt idx="118">
                  <c:v>27.1</c:v>
                </c:pt>
                <c:pt idx="119">
                  <c:v>12</c:v>
                </c:pt>
                <c:pt idx="120">
                  <c:v>12.4</c:v>
                </c:pt>
              </c:numCache>
            </c:numRef>
          </c:yVal>
          <c:smooth val="0"/>
          <c:extLst>
            <c:ext xmlns:c16="http://schemas.microsoft.com/office/drawing/2014/chart" uri="{C3380CC4-5D6E-409C-BE32-E72D297353CC}">
              <c16:uniqueId val="{00000001-D94E-4FE2-8545-EF0A5F045A53}"/>
            </c:ext>
          </c:extLst>
        </c:ser>
        <c:ser>
          <c:idx val="2"/>
          <c:order val="1"/>
          <c:tx>
            <c:strRef>
              <c:f>'15N'!$K$1</c:f>
              <c:strCache>
                <c:ptCount val="1"/>
                <c:pt idx="0">
                  <c:v>BGD 29</c:v>
                </c:pt>
              </c:strCache>
            </c:strRef>
          </c:tx>
          <c:spPr>
            <a:ln w="25400" cap="rnd">
              <a:noFill/>
              <a:round/>
            </a:ln>
            <a:effectLst/>
          </c:spPr>
          <c:marker>
            <c:symbol val="circle"/>
            <c:size val="7"/>
            <c:spPr>
              <a:noFill/>
              <a:ln w="9525">
                <a:solidFill>
                  <a:srgbClr val="FF0000"/>
                </a:solidFill>
              </a:ln>
              <a:effectLst/>
            </c:spPr>
          </c:marker>
          <c:xVal>
            <c:numRef>
              <c:f>'15N'!$B$2:$B$125</c:f>
              <c:numCache>
                <c:formatCode>General</c:formatCode>
                <c:ptCount val="124"/>
                <c:pt idx="0">
                  <c:v>27808</c:v>
                </c:pt>
                <c:pt idx="1">
                  <c:v>27809</c:v>
                </c:pt>
                <c:pt idx="2">
                  <c:v>27810</c:v>
                </c:pt>
                <c:pt idx="3">
                  <c:v>27812</c:v>
                </c:pt>
                <c:pt idx="4">
                  <c:v>27813</c:v>
                </c:pt>
                <c:pt idx="5">
                  <c:v>27815</c:v>
                </c:pt>
                <c:pt idx="6">
                  <c:v>27816</c:v>
                </c:pt>
                <c:pt idx="7">
                  <c:v>27817</c:v>
                </c:pt>
                <c:pt idx="8">
                  <c:v>27818</c:v>
                </c:pt>
                <c:pt idx="9">
                  <c:v>27819</c:v>
                </c:pt>
                <c:pt idx="10">
                  <c:v>27820</c:v>
                </c:pt>
                <c:pt idx="11">
                  <c:v>27821</c:v>
                </c:pt>
                <c:pt idx="12">
                  <c:v>27822</c:v>
                </c:pt>
                <c:pt idx="13">
                  <c:v>27823</c:v>
                </c:pt>
                <c:pt idx="14">
                  <c:v>27824</c:v>
                </c:pt>
                <c:pt idx="15">
                  <c:v>27825</c:v>
                </c:pt>
                <c:pt idx="16">
                  <c:v>27826</c:v>
                </c:pt>
                <c:pt idx="17">
                  <c:v>27827</c:v>
                </c:pt>
                <c:pt idx="18">
                  <c:v>27828</c:v>
                </c:pt>
                <c:pt idx="19">
                  <c:v>27829</c:v>
                </c:pt>
                <c:pt idx="20">
                  <c:v>27830</c:v>
                </c:pt>
                <c:pt idx="21">
                  <c:v>27831</c:v>
                </c:pt>
                <c:pt idx="22">
                  <c:v>27832</c:v>
                </c:pt>
                <c:pt idx="23">
                  <c:v>27833</c:v>
                </c:pt>
                <c:pt idx="24">
                  <c:v>27834</c:v>
                </c:pt>
                <c:pt idx="25">
                  <c:v>27835</c:v>
                </c:pt>
                <c:pt idx="26">
                  <c:v>27836</c:v>
                </c:pt>
                <c:pt idx="27">
                  <c:v>27837</c:v>
                </c:pt>
                <c:pt idx="28">
                  <c:v>27838</c:v>
                </c:pt>
                <c:pt idx="29">
                  <c:v>27839</c:v>
                </c:pt>
                <c:pt idx="30">
                  <c:v>27840</c:v>
                </c:pt>
                <c:pt idx="31">
                  <c:v>27841</c:v>
                </c:pt>
                <c:pt idx="32">
                  <c:v>27842</c:v>
                </c:pt>
                <c:pt idx="33">
                  <c:v>27843</c:v>
                </c:pt>
                <c:pt idx="34">
                  <c:v>27844</c:v>
                </c:pt>
                <c:pt idx="35">
                  <c:v>27845</c:v>
                </c:pt>
                <c:pt idx="36">
                  <c:v>27846</c:v>
                </c:pt>
                <c:pt idx="37">
                  <c:v>27847</c:v>
                </c:pt>
                <c:pt idx="38">
                  <c:v>27848</c:v>
                </c:pt>
                <c:pt idx="39">
                  <c:v>27849</c:v>
                </c:pt>
                <c:pt idx="40">
                  <c:v>27850</c:v>
                </c:pt>
                <c:pt idx="41">
                  <c:v>27851</c:v>
                </c:pt>
                <c:pt idx="42">
                  <c:v>27852</c:v>
                </c:pt>
                <c:pt idx="43">
                  <c:v>27853</c:v>
                </c:pt>
                <c:pt idx="44">
                  <c:v>27854</c:v>
                </c:pt>
                <c:pt idx="45">
                  <c:v>27855</c:v>
                </c:pt>
                <c:pt idx="46">
                  <c:v>27856</c:v>
                </c:pt>
                <c:pt idx="47">
                  <c:v>27857</c:v>
                </c:pt>
                <c:pt idx="48">
                  <c:v>27858</c:v>
                </c:pt>
                <c:pt idx="49">
                  <c:v>27859</c:v>
                </c:pt>
                <c:pt idx="50">
                  <c:v>27860</c:v>
                </c:pt>
                <c:pt idx="51">
                  <c:v>27861</c:v>
                </c:pt>
                <c:pt idx="52">
                  <c:v>27862</c:v>
                </c:pt>
                <c:pt idx="53">
                  <c:v>27863</c:v>
                </c:pt>
                <c:pt idx="54">
                  <c:v>27864</c:v>
                </c:pt>
                <c:pt idx="55">
                  <c:v>27865</c:v>
                </c:pt>
                <c:pt idx="56">
                  <c:v>27866</c:v>
                </c:pt>
                <c:pt idx="57">
                  <c:v>27867</c:v>
                </c:pt>
                <c:pt idx="58">
                  <c:v>27868</c:v>
                </c:pt>
                <c:pt idx="59">
                  <c:v>27869</c:v>
                </c:pt>
                <c:pt idx="60">
                  <c:v>27871</c:v>
                </c:pt>
                <c:pt idx="61">
                  <c:v>27872</c:v>
                </c:pt>
                <c:pt idx="62">
                  <c:v>27873</c:v>
                </c:pt>
                <c:pt idx="63">
                  <c:v>27874</c:v>
                </c:pt>
                <c:pt idx="64">
                  <c:v>27875</c:v>
                </c:pt>
                <c:pt idx="65">
                  <c:v>27876</c:v>
                </c:pt>
                <c:pt idx="66">
                  <c:v>27877</c:v>
                </c:pt>
                <c:pt idx="67">
                  <c:v>27878</c:v>
                </c:pt>
                <c:pt idx="68">
                  <c:v>27879</c:v>
                </c:pt>
                <c:pt idx="69">
                  <c:v>27880</c:v>
                </c:pt>
                <c:pt idx="70">
                  <c:v>27881</c:v>
                </c:pt>
                <c:pt idx="71">
                  <c:v>27882</c:v>
                </c:pt>
                <c:pt idx="72">
                  <c:v>27883</c:v>
                </c:pt>
                <c:pt idx="73">
                  <c:v>27884</c:v>
                </c:pt>
                <c:pt idx="74">
                  <c:v>27885</c:v>
                </c:pt>
                <c:pt idx="75">
                  <c:v>27886</c:v>
                </c:pt>
                <c:pt idx="76">
                  <c:v>27887</c:v>
                </c:pt>
                <c:pt idx="77">
                  <c:v>27888</c:v>
                </c:pt>
                <c:pt idx="78">
                  <c:v>27889</c:v>
                </c:pt>
                <c:pt idx="79">
                  <c:v>27890</c:v>
                </c:pt>
                <c:pt idx="80">
                  <c:v>27891</c:v>
                </c:pt>
                <c:pt idx="81">
                  <c:v>27892</c:v>
                </c:pt>
                <c:pt idx="82">
                  <c:v>27893</c:v>
                </c:pt>
                <c:pt idx="83">
                  <c:v>27894</c:v>
                </c:pt>
                <c:pt idx="84">
                  <c:v>27895</c:v>
                </c:pt>
                <c:pt idx="85">
                  <c:v>27896</c:v>
                </c:pt>
                <c:pt idx="86">
                  <c:v>27897</c:v>
                </c:pt>
                <c:pt idx="87">
                  <c:v>27898</c:v>
                </c:pt>
                <c:pt idx="88">
                  <c:v>27899</c:v>
                </c:pt>
                <c:pt idx="89">
                  <c:v>27900</c:v>
                </c:pt>
                <c:pt idx="90">
                  <c:v>27901</c:v>
                </c:pt>
                <c:pt idx="91">
                  <c:v>27902</c:v>
                </c:pt>
                <c:pt idx="92">
                  <c:v>27903</c:v>
                </c:pt>
                <c:pt idx="93">
                  <c:v>27904</c:v>
                </c:pt>
                <c:pt idx="94">
                  <c:v>27905</c:v>
                </c:pt>
                <c:pt idx="95">
                  <c:v>27906</c:v>
                </c:pt>
                <c:pt idx="96">
                  <c:v>27907</c:v>
                </c:pt>
                <c:pt idx="97">
                  <c:v>27908</c:v>
                </c:pt>
                <c:pt idx="98">
                  <c:v>27909</c:v>
                </c:pt>
                <c:pt idx="99">
                  <c:v>27910</c:v>
                </c:pt>
                <c:pt idx="100">
                  <c:v>27911</c:v>
                </c:pt>
                <c:pt idx="101">
                  <c:v>27912</c:v>
                </c:pt>
                <c:pt idx="102">
                  <c:v>27913</c:v>
                </c:pt>
                <c:pt idx="103">
                  <c:v>27914</c:v>
                </c:pt>
                <c:pt idx="104">
                  <c:v>27915</c:v>
                </c:pt>
                <c:pt idx="105">
                  <c:v>27916</c:v>
                </c:pt>
                <c:pt idx="106">
                  <c:v>27917</c:v>
                </c:pt>
                <c:pt idx="107">
                  <c:v>27918</c:v>
                </c:pt>
                <c:pt idx="108">
                  <c:v>27919</c:v>
                </c:pt>
                <c:pt idx="109">
                  <c:v>27920</c:v>
                </c:pt>
                <c:pt idx="110">
                  <c:v>27921</c:v>
                </c:pt>
                <c:pt idx="111">
                  <c:v>27922</c:v>
                </c:pt>
                <c:pt idx="112">
                  <c:v>27923</c:v>
                </c:pt>
                <c:pt idx="113">
                  <c:v>27924</c:v>
                </c:pt>
                <c:pt idx="114">
                  <c:v>27925</c:v>
                </c:pt>
                <c:pt idx="115">
                  <c:v>27926</c:v>
                </c:pt>
                <c:pt idx="116">
                  <c:v>27927</c:v>
                </c:pt>
                <c:pt idx="117">
                  <c:v>27928</c:v>
                </c:pt>
                <c:pt idx="118">
                  <c:v>27930</c:v>
                </c:pt>
                <c:pt idx="119">
                  <c:v>27931</c:v>
                </c:pt>
                <c:pt idx="120">
                  <c:v>27932</c:v>
                </c:pt>
              </c:numCache>
            </c:numRef>
          </c:xVal>
          <c:yVal>
            <c:numRef>
              <c:f>'15N'!$K$2:$K$125</c:f>
              <c:numCache>
                <c:formatCode>General</c:formatCode>
                <c:ptCount val="124"/>
                <c:pt idx="0">
                  <c:v>20.8</c:v>
                </c:pt>
                <c:pt idx="1">
                  <c:v>21.6</c:v>
                </c:pt>
                <c:pt idx="2">
                  <c:v>21.8</c:v>
                </c:pt>
                <c:pt idx="3">
                  <c:v>10.3</c:v>
                </c:pt>
                <c:pt idx="4">
                  <c:v>15.9</c:v>
                </c:pt>
                <c:pt idx="5">
                  <c:v>22.4</c:v>
                </c:pt>
                <c:pt idx="6">
                  <c:v>22.7</c:v>
                </c:pt>
                <c:pt idx="7">
                  <c:v>23.4</c:v>
                </c:pt>
                <c:pt idx="8">
                  <c:v>23.8</c:v>
                </c:pt>
                <c:pt idx="9">
                  <c:v>23.8</c:v>
                </c:pt>
                <c:pt idx="10">
                  <c:v>24.1</c:v>
                </c:pt>
                <c:pt idx="11">
                  <c:v>24.2</c:v>
                </c:pt>
                <c:pt idx="12">
                  <c:v>23.3</c:v>
                </c:pt>
                <c:pt idx="13">
                  <c:v>11.5</c:v>
                </c:pt>
                <c:pt idx="14">
                  <c:v>24.2</c:v>
                </c:pt>
                <c:pt idx="15">
                  <c:v>24.2</c:v>
                </c:pt>
                <c:pt idx="16">
                  <c:v>24.3</c:v>
                </c:pt>
                <c:pt idx="17">
                  <c:v>24.1</c:v>
                </c:pt>
                <c:pt idx="18">
                  <c:v>24.2</c:v>
                </c:pt>
                <c:pt idx="19">
                  <c:v>24.2</c:v>
                </c:pt>
                <c:pt idx="20">
                  <c:v>24.1</c:v>
                </c:pt>
                <c:pt idx="21">
                  <c:v>24.7</c:v>
                </c:pt>
                <c:pt idx="22">
                  <c:v>24.3</c:v>
                </c:pt>
                <c:pt idx="23">
                  <c:v>24.2</c:v>
                </c:pt>
                <c:pt idx="24">
                  <c:v>11.5</c:v>
                </c:pt>
                <c:pt idx="25">
                  <c:v>24.3</c:v>
                </c:pt>
                <c:pt idx="26">
                  <c:v>23.5</c:v>
                </c:pt>
                <c:pt idx="27">
                  <c:v>23.3</c:v>
                </c:pt>
                <c:pt idx="28">
                  <c:v>23.8</c:v>
                </c:pt>
                <c:pt idx="29">
                  <c:v>24.2</c:v>
                </c:pt>
                <c:pt idx="30">
                  <c:v>23.5</c:v>
                </c:pt>
                <c:pt idx="31">
                  <c:v>23.2</c:v>
                </c:pt>
                <c:pt idx="32">
                  <c:v>24</c:v>
                </c:pt>
                <c:pt idx="33">
                  <c:v>23.5</c:v>
                </c:pt>
                <c:pt idx="34">
                  <c:v>24</c:v>
                </c:pt>
                <c:pt idx="35">
                  <c:v>11.6</c:v>
                </c:pt>
                <c:pt idx="36">
                  <c:v>24.3</c:v>
                </c:pt>
                <c:pt idx="37">
                  <c:v>24.8</c:v>
                </c:pt>
                <c:pt idx="38">
                  <c:v>23.5</c:v>
                </c:pt>
                <c:pt idx="39">
                  <c:v>24.6</c:v>
                </c:pt>
                <c:pt idx="40">
                  <c:v>24.8</c:v>
                </c:pt>
                <c:pt idx="41">
                  <c:v>24.6</c:v>
                </c:pt>
                <c:pt idx="42">
                  <c:v>24.3</c:v>
                </c:pt>
                <c:pt idx="43">
                  <c:v>24.4</c:v>
                </c:pt>
                <c:pt idx="44">
                  <c:v>23.6</c:v>
                </c:pt>
                <c:pt idx="45">
                  <c:v>24.2</c:v>
                </c:pt>
                <c:pt idx="46">
                  <c:v>11.6</c:v>
                </c:pt>
                <c:pt idx="47">
                  <c:v>24.5</c:v>
                </c:pt>
                <c:pt idx="48">
                  <c:v>23.6</c:v>
                </c:pt>
                <c:pt idx="49">
                  <c:v>23.9</c:v>
                </c:pt>
                <c:pt idx="50">
                  <c:v>23.5</c:v>
                </c:pt>
                <c:pt idx="51">
                  <c:v>24.3</c:v>
                </c:pt>
                <c:pt idx="52">
                  <c:v>24.4</c:v>
                </c:pt>
                <c:pt idx="53">
                  <c:v>24.1</c:v>
                </c:pt>
                <c:pt idx="54">
                  <c:v>24.2</c:v>
                </c:pt>
                <c:pt idx="55">
                  <c:v>24.1</c:v>
                </c:pt>
                <c:pt idx="56">
                  <c:v>23.3</c:v>
                </c:pt>
                <c:pt idx="57">
                  <c:v>11.4</c:v>
                </c:pt>
                <c:pt idx="58">
                  <c:v>24.2</c:v>
                </c:pt>
                <c:pt idx="59">
                  <c:v>12.7</c:v>
                </c:pt>
                <c:pt idx="60">
                  <c:v>22.6</c:v>
                </c:pt>
                <c:pt idx="61">
                  <c:v>22.9</c:v>
                </c:pt>
                <c:pt idx="62">
                  <c:v>22.6</c:v>
                </c:pt>
                <c:pt idx="63">
                  <c:v>23.6</c:v>
                </c:pt>
                <c:pt idx="64">
                  <c:v>23.2</c:v>
                </c:pt>
                <c:pt idx="65">
                  <c:v>23.6</c:v>
                </c:pt>
                <c:pt idx="66">
                  <c:v>23.9</c:v>
                </c:pt>
                <c:pt idx="67">
                  <c:v>11.4</c:v>
                </c:pt>
                <c:pt idx="68">
                  <c:v>23.9</c:v>
                </c:pt>
                <c:pt idx="69">
                  <c:v>23.9</c:v>
                </c:pt>
                <c:pt idx="70">
                  <c:v>23.1</c:v>
                </c:pt>
                <c:pt idx="71">
                  <c:v>24.1</c:v>
                </c:pt>
                <c:pt idx="72">
                  <c:v>23.8</c:v>
                </c:pt>
                <c:pt idx="73">
                  <c:v>24.1</c:v>
                </c:pt>
                <c:pt idx="74">
                  <c:v>24.3</c:v>
                </c:pt>
                <c:pt idx="75">
                  <c:v>23.2</c:v>
                </c:pt>
                <c:pt idx="76">
                  <c:v>23.6</c:v>
                </c:pt>
                <c:pt idx="77">
                  <c:v>24.1</c:v>
                </c:pt>
                <c:pt idx="78">
                  <c:v>11.3</c:v>
                </c:pt>
                <c:pt idx="79">
                  <c:v>23.9</c:v>
                </c:pt>
                <c:pt idx="80">
                  <c:v>23.3</c:v>
                </c:pt>
                <c:pt idx="81">
                  <c:v>23.7</c:v>
                </c:pt>
                <c:pt idx="82">
                  <c:v>23.8</c:v>
                </c:pt>
                <c:pt idx="83">
                  <c:v>24.1</c:v>
                </c:pt>
                <c:pt idx="84">
                  <c:v>23.1</c:v>
                </c:pt>
                <c:pt idx="85">
                  <c:v>23.8</c:v>
                </c:pt>
                <c:pt idx="86">
                  <c:v>23</c:v>
                </c:pt>
                <c:pt idx="87">
                  <c:v>23.7</c:v>
                </c:pt>
                <c:pt idx="88">
                  <c:v>23.9</c:v>
                </c:pt>
                <c:pt idx="89">
                  <c:v>11.4</c:v>
                </c:pt>
                <c:pt idx="90">
                  <c:v>24</c:v>
                </c:pt>
                <c:pt idx="91">
                  <c:v>23.1</c:v>
                </c:pt>
                <c:pt idx="92">
                  <c:v>23.8</c:v>
                </c:pt>
                <c:pt idx="93">
                  <c:v>23.8</c:v>
                </c:pt>
                <c:pt idx="94">
                  <c:v>24.3</c:v>
                </c:pt>
                <c:pt idx="95">
                  <c:v>23</c:v>
                </c:pt>
                <c:pt idx="96">
                  <c:v>23.4</c:v>
                </c:pt>
                <c:pt idx="97">
                  <c:v>23.9</c:v>
                </c:pt>
                <c:pt idx="98">
                  <c:v>23.9</c:v>
                </c:pt>
                <c:pt idx="99">
                  <c:v>23.8</c:v>
                </c:pt>
                <c:pt idx="100">
                  <c:v>11.2</c:v>
                </c:pt>
                <c:pt idx="101">
                  <c:v>23.8</c:v>
                </c:pt>
                <c:pt idx="102">
                  <c:v>23</c:v>
                </c:pt>
                <c:pt idx="103">
                  <c:v>23.7</c:v>
                </c:pt>
                <c:pt idx="104">
                  <c:v>23</c:v>
                </c:pt>
                <c:pt idx="105">
                  <c:v>23.6</c:v>
                </c:pt>
                <c:pt idx="106">
                  <c:v>23</c:v>
                </c:pt>
                <c:pt idx="107">
                  <c:v>23.6</c:v>
                </c:pt>
                <c:pt idx="108">
                  <c:v>24.1</c:v>
                </c:pt>
                <c:pt idx="109">
                  <c:v>23.6</c:v>
                </c:pt>
                <c:pt idx="110">
                  <c:v>23.7</c:v>
                </c:pt>
                <c:pt idx="111">
                  <c:v>11.3</c:v>
                </c:pt>
                <c:pt idx="112">
                  <c:v>23.9</c:v>
                </c:pt>
                <c:pt idx="113">
                  <c:v>22.9</c:v>
                </c:pt>
                <c:pt idx="114">
                  <c:v>23.8</c:v>
                </c:pt>
                <c:pt idx="115">
                  <c:v>22.8</c:v>
                </c:pt>
                <c:pt idx="116">
                  <c:v>22.8</c:v>
                </c:pt>
                <c:pt idx="117">
                  <c:v>12.5</c:v>
                </c:pt>
                <c:pt idx="118">
                  <c:v>22.2</c:v>
                </c:pt>
                <c:pt idx="119">
                  <c:v>10.9</c:v>
                </c:pt>
                <c:pt idx="120">
                  <c:v>11.2</c:v>
                </c:pt>
              </c:numCache>
            </c:numRef>
          </c:yVal>
          <c:smooth val="0"/>
          <c:extLst>
            <c:ext xmlns:c16="http://schemas.microsoft.com/office/drawing/2014/chart" uri="{C3380CC4-5D6E-409C-BE32-E72D297353CC}">
              <c16:uniqueId val="{00000000-D94E-4FE2-8545-EF0A5F045A53}"/>
            </c:ext>
          </c:extLst>
        </c:ser>
        <c:dLbls>
          <c:showLegendKey val="0"/>
          <c:showVal val="0"/>
          <c:showCatName val="0"/>
          <c:showSerName val="0"/>
          <c:showPercent val="0"/>
          <c:showBubbleSize val="0"/>
        </c:dLbls>
        <c:axId val="165497728"/>
        <c:axId val="168246736"/>
      </c:scatterChart>
      <c:valAx>
        <c:axId val="1654977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246736"/>
        <c:crosses val="autoZero"/>
        <c:crossBetween val="midCat"/>
      </c:valAx>
      <c:valAx>
        <c:axId val="168246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BGD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54977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hr-HR"/>
              <a:t>13C drift</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CH"/>
        </a:p>
      </c:txPr>
    </c:title>
    <c:autoTitleDeleted val="0"/>
    <c:plotArea>
      <c:layout/>
      <c:scatterChart>
        <c:scatterStyle val="lineMarker"/>
        <c:varyColors val="0"/>
        <c:ser>
          <c:idx val="0"/>
          <c:order val="0"/>
          <c:tx>
            <c:strRef>
              <c:f>'13C'!$AF$1</c:f>
              <c:strCache>
                <c:ptCount val="1"/>
                <c:pt idx="0">
                  <c:v>d 13C/12C</c:v>
                </c:pt>
              </c:strCache>
            </c:strRef>
          </c:tx>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4786198600174999E-2"/>
                  <c:y val="-0.40371254374453203"/>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rendlineLbl>
          </c:trendline>
          <c:xVal>
            <c:numRef>
              <c:f>'13C'!$AD$2:$AD$18</c:f>
              <c:numCache>
                <c:formatCode>General</c:formatCode>
                <c:ptCount val="17"/>
                <c:pt idx="0">
                  <c:v>27812</c:v>
                </c:pt>
                <c:pt idx="1">
                  <c:v>27823</c:v>
                </c:pt>
                <c:pt idx="2">
                  <c:v>27834</c:v>
                </c:pt>
                <c:pt idx="3">
                  <c:v>27845</c:v>
                </c:pt>
                <c:pt idx="4">
                  <c:v>27856</c:v>
                </c:pt>
                <c:pt idx="5">
                  <c:v>27867</c:v>
                </c:pt>
                <c:pt idx="6">
                  <c:v>27878</c:v>
                </c:pt>
                <c:pt idx="7">
                  <c:v>27889</c:v>
                </c:pt>
                <c:pt idx="8">
                  <c:v>27900</c:v>
                </c:pt>
                <c:pt idx="9">
                  <c:v>27911</c:v>
                </c:pt>
                <c:pt idx="10">
                  <c:v>27922</c:v>
                </c:pt>
                <c:pt idx="11">
                  <c:v>27931</c:v>
                </c:pt>
                <c:pt idx="12">
                  <c:v>27932</c:v>
                </c:pt>
              </c:numCache>
            </c:numRef>
          </c:xVal>
          <c:yVal>
            <c:numRef>
              <c:f>'13C'!$AF$2:$AF$18</c:f>
              <c:numCache>
                <c:formatCode>General</c:formatCode>
                <c:ptCount val="17"/>
                <c:pt idx="0">
                  <c:v>-31.867000000000001</c:v>
                </c:pt>
                <c:pt idx="1">
                  <c:v>-31.838999999999999</c:v>
                </c:pt>
                <c:pt idx="2">
                  <c:v>-31.855</c:v>
                </c:pt>
                <c:pt idx="3">
                  <c:v>-31.838000000000001</c:v>
                </c:pt>
                <c:pt idx="4">
                  <c:v>-31.818000000000001</c:v>
                </c:pt>
                <c:pt idx="5">
                  <c:v>-31.736999999999998</c:v>
                </c:pt>
                <c:pt idx="6">
                  <c:v>-31.794</c:v>
                </c:pt>
                <c:pt idx="7">
                  <c:v>-31.835999999999999</c:v>
                </c:pt>
                <c:pt idx="8">
                  <c:v>-31.814</c:v>
                </c:pt>
                <c:pt idx="9">
                  <c:v>-31.869</c:v>
                </c:pt>
                <c:pt idx="10">
                  <c:v>-31.777999999999999</c:v>
                </c:pt>
                <c:pt idx="11">
                  <c:v>-31.786999999999999</c:v>
                </c:pt>
                <c:pt idx="12">
                  <c:v>-31.884</c:v>
                </c:pt>
              </c:numCache>
            </c:numRef>
          </c:yVal>
          <c:smooth val="0"/>
          <c:extLst>
            <c:ext xmlns:c16="http://schemas.microsoft.com/office/drawing/2014/chart" uri="{C3380CC4-5D6E-409C-BE32-E72D297353CC}">
              <c16:uniqueId val="{00000001-5C80-9C4E-B0D3-929ED80DC50B}"/>
            </c:ext>
          </c:extLst>
        </c:ser>
        <c:dLbls>
          <c:showLegendKey val="0"/>
          <c:showVal val="0"/>
          <c:showCatName val="0"/>
          <c:showSerName val="0"/>
          <c:showPercent val="0"/>
          <c:showBubbleSize val="0"/>
        </c:dLbls>
        <c:axId val="122149352"/>
        <c:axId val="122153272"/>
      </c:scatterChart>
      <c:valAx>
        <c:axId val="1221493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Analysis #</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22153272"/>
        <c:crosses val="autoZero"/>
        <c:crossBetween val="midCat"/>
      </c:valAx>
      <c:valAx>
        <c:axId val="122153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d13C</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CH"/>
          </a:p>
        </c:txPr>
        <c:crossAx val="122149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CH"/>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H"/>
        </a:p>
      </c:txPr>
    </c:title>
    <c:autoTitleDeleted val="0"/>
    <c:plotArea>
      <c:layout/>
      <c:scatterChart>
        <c:scatterStyle val="lineMarker"/>
        <c:varyColors val="0"/>
        <c:ser>
          <c:idx val="0"/>
          <c:order val="0"/>
          <c:spPr>
            <a:ln w="317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trendlineLbl>
          </c:trendline>
          <c:xVal>
            <c:numRef>
              <c:f>'13C'!$AQ$2:$AQ$5</c:f>
              <c:numCache>
                <c:formatCode>0.00</c:formatCode>
                <c:ptCount val="4"/>
                <c:pt idx="0">
                  <c:v>-46.172392694340296</c:v>
                </c:pt>
                <c:pt idx="1">
                  <c:v>-16.477576651219973</c:v>
                </c:pt>
                <c:pt idx="2">
                  <c:v>-46.170694279601975</c:v>
                </c:pt>
                <c:pt idx="3">
                  <c:v>-16.47687823648165</c:v>
                </c:pt>
              </c:numCache>
            </c:numRef>
          </c:xVal>
          <c:yVal>
            <c:numRef>
              <c:f>'13C'!$AR$2:$AR$5</c:f>
              <c:numCache>
                <c:formatCode>0.00</c:formatCode>
                <c:ptCount val="4"/>
                <c:pt idx="0">
                  <c:v>-41.61</c:v>
                </c:pt>
                <c:pt idx="1">
                  <c:v>-11.38</c:v>
                </c:pt>
                <c:pt idx="2">
                  <c:v>-41.61</c:v>
                </c:pt>
                <c:pt idx="3">
                  <c:v>-11.38</c:v>
                </c:pt>
              </c:numCache>
            </c:numRef>
          </c:yVal>
          <c:smooth val="0"/>
          <c:extLst>
            <c:ext xmlns:c16="http://schemas.microsoft.com/office/drawing/2014/chart" uri="{C3380CC4-5D6E-409C-BE32-E72D297353CC}">
              <c16:uniqueId val="{00000001-BE46-C349-BCC0-84B158530378}"/>
            </c:ext>
          </c:extLst>
        </c:ser>
        <c:dLbls>
          <c:showLegendKey val="0"/>
          <c:showVal val="0"/>
          <c:showCatName val="0"/>
          <c:showSerName val="0"/>
          <c:showPercent val="0"/>
          <c:showBubbleSize val="0"/>
        </c:dLbls>
        <c:axId val="168470384"/>
        <c:axId val="168470776"/>
      </c:scatterChart>
      <c:valAx>
        <c:axId val="168470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470776"/>
        <c:crosses val="autoZero"/>
        <c:crossBetween val="midCat"/>
      </c:valAx>
      <c:valAx>
        <c:axId val="16847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4703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tx>
            <c:strRef>
              <c:f>'13C'!$Z$1</c:f>
              <c:strCache>
                <c:ptCount val="1"/>
                <c:pt idx="0">
                  <c:v>δ13C (‰ VPDB)</c:v>
                </c:pt>
              </c:strCache>
            </c:strRef>
          </c:tx>
          <c:spPr>
            <a:ln w="25400" cap="rnd">
              <a:noFill/>
              <a:round/>
            </a:ln>
            <a:effectLst/>
          </c:spPr>
          <c:marker>
            <c:symbol val="circle"/>
            <c:size val="7"/>
            <c:spPr>
              <a:noFill/>
              <a:ln w="9525">
                <a:solidFill>
                  <a:srgbClr val="FF0000"/>
                </a:solidFill>
              </a:ln>
              <a:effectLst/>
            </c:spPr>
          </c:marker>
          <c:xVal>
            <c:numRef>
              <c:f>'13C'!$B$2:$B$125</c:f>
              <c:numCache>
                <c:formatCode>General</c:formatCode>
                <c:ptCount val="124"/>
                <c:pt idx="0">
                  <c:v>27808</c:v>
                </c:pt>
                <c:pt idx="1">
                  <c:v>27809</c:v>
                </c:pt>
                <c:pt idx="2">
                  <c:v>27810</c:v>
                </c:pt>
                <c:pt idx="3">
                  <c:v>27812</c:v>
                </c:pt>
                <c:pt idx="4">
                  <c:v>27813</c:v>
                </c:pt>
                <c:pt idx="5">
                  <c:v>27814</c:v>
                </c:pt>
                <c:pt idx="6">
                  <c:v>27815</c:v>
                </c:pt>
                <c:pt idx="7">
                  <c:v>27816</c:v>
                </c:pt>
                <c:pt idx="8">
                  <c:v>27817</c:v>
                </c:pt>
                <c:pt idx="9">
                  <c:v>27818</c:v>
                </c:pt>
                <c:pt idx="10">
                  <c:v>27819</c:v>
                </c:pt>
                <c:pt idx="11">
                  <c:v>27820</c:v>
                </c:pt>
                <c:pt idx="12">
                  <c:v>27821</c:v>
                </c:pt>
                <c:pt idx="13">
                  <c:v>27822</c:v>
                </c:pt>
                <c:pt idx="14">
                  <c:v>27823</c:v>
                </c:pt>
                <c:pt idx="15">
                  <c:v>27824</c:v>
                </c:pt>
                <c:pt idx="16">
                  <c:v>27825</c:v>
                </c:pt>
                <c:pt idx="17">
                  <c:v>27826</c:v>
                </c:pt>
                <c:pt idx="18">
                  <c:v>27827</c:v>
                </c:pt>
                <c:pt idx="19">
                  <c:v>27828</c:v>
                </c:pt>
                <c:pt idx="20">
                  <c:v>27829</c:v>
                </c:pt>
                <c:pt idx="21">
                  <c:v>27830</c:v>
                </c:pt>
                <c:pt idx="22">
                  <c:v>27831</c:v>
                </c:pt>
                <c:pt idx="23">
                  <c:v>27832</c:v>
                </c:pt>
                <c:pt idx="24">
                  <c:v>27833</c:v>
                </c:pt>
                <c:pt idx="25">
                  <c:v>27834</c:v>
                </c:pt>
                <c:pt idx="26">
                  <c:v>27835</c:v>
                </c:pt>
                <c:pt idx="27">
                  <c:v>27836</c:v>
                </c:pt>
                <c:pt idx="28">
                  <c:v>27837</c:v>
                </c:pt>
                <c:pt idx="29">
                  <c:v>27838</c:v>
                </c:pt>
                <c:pt idx="30">
                  <c:v>27839</c:v>
                </c:pt>
                <c:pt idx="31">
                  <c:v>27840</c:v>
                </c:pt>
                <c:pt idx="32">
                  <c:v>27841</c:v>
                </c:pt>
                <c:pt idx="33">
                  <c:v>27842</c:v>
                </c:pt>
                <c:pt idx="34">
                  <c:v>27843</c:v>
                </c:pt>
                <c:pt idx="35">
                  <c:v>27844</c:v>
                </c:pt>
                <c:pt idx="36">
                  <c:v>27845</c:v>
                </c:pt>
                <c:pt idx="37">
                  <c:v>27846</c:v>
                </c:pt>
                <c:pt idx="38">
                  <c:v>27847</c:v>
                </c:pt>
                <c:pt idx="39">
                  <c:v>27848</c:v>
                </c:pt>
                <c:pt idx="40">
                  <c:v>27849</c:v>
                </c:pt>
                <c:pt idx="41">
                  <c:v>27850</c:v>
                </c:pt>
                <c:pt idx="42">
                  <c:v>27851</c:v>
                </c:pt>
                <c:pt idx="43">
                  <c:v>27852</c:v>
                </c:pt>
                <c:pt idx="44">
                  <c:v>27853</c:v>
                </c:pt>
                <c:pt idx="45">
                  <c:v>27854</c:v>
                </c:pt>
                <c:pt idx="46">
                  <c:v>27855</c:v>
                </c:pt>
                <c:pt idx="47">
                  <c:v>27856</c:v>
                </c:pt>
                <c:pt idx="48">
                  <c:v>27857</c:v>
                </c:pt>
                <c:pt idx="49">
                  <c:v>27858</c:v>
                </c:pt>
                <c:pt idx="50">
                  <c:v>27859</c:v>
                </c:pt>
                <c:pt idx="51">
                  <c:v>27860</c:v>
                </c:pt>
                <c:pt idx="52">
                  <c:v>27861</c:v>
                </c:pt>
                <c:pt idx="53">
                  <c:v>27862</c:v>
                </c:pt>
                <c:pt idx="54">
                  <c:v>27863</c:v>
                </c:pt>
                <c:pt idx="55">
                  <c:v>27864</c:v>
                </c:pt>
                <c:pt idx="56">
                  <c:v>27865</c:v>
                </c:pt>
                <c:pt idx="57">
                  <c:v>27866</c:v>
                </c:pt>
                <c:pt idx="58">
                  <c:v>27867</c:v>
                </c:pt>
                <c:pt idx="59">
                  <c:v>27868</c:v>
                </c:pt>
                <c:pt idx="60">
                  <c:v>27869</c:v>
                </c:pt>
                <c:pt idx="61">
                  <c:v>27870</c:v>
                </c:pt>
                <c:pt idx="62">
                  <c:v>27871</c:v>
                </c:pt>
                <c:pt idx="63">
                  <c:v>27872</c:v>
                </c:pt>
                <c:pt idx="64">
                  <c:v>27873</c:v>
                </c:pt>
                <c:pt idx="65">
                  <c:v>27874</c:v>
                </c:pt>
                <c:pt idx="66">
                  <c:v>27875</c:v>
                </c:pt>
                <c:pt idx="67">
                  <c:v>27876</c:v>
                </c:pt>
                <c:pt idx="68">
                  <c:v>27877</c:v>
                </c:pt>
                <c:pt idx="69">
                  <c:v>27878</c:v>
                </c:pt>
                <c:pt idx="70">
                  <c:v>27879</c:v>
                </c:pt>
                <c:pt idx="71">
                  <c:v>27880</c:v>
                </c:pt>
                <c:pt idx="72">
                  <c:v>27881</c:v>
                </c:pt>
                <c:pt idx="73">
                  <c:v>27882</c:v>
                </c:pt>
                <c:pt idx="74">
                  <c:v>27883</c:v>
                </c:pt>
                <c:pt idx="75">
                  <c:v>27884</c:v>
                </c:pt>
                <c:pt idx="76">
                  <c:v>27885</c:v>
                </c:pt>
                <c:pt idx="77">
                  <c:v>27886</c:v>
                </c:pt>
                <c:pt idx="78">
                  <c:v>27887</c:v>
                </c:pt>
                <c:pt idx="79">
                  <c:v>27888</c:v>
                </c:pt>
                <c:pt idx="80">
                  <c:v>27889</c:v>
                </c:pt>
                <c:pt idx="81">
                  <c:v>27890</c:v>
                </c:pt>
                <c:pt idx="82">
                  <c:v>27891</c:v>
                </c:pt>
                <c:pt idx="83">
                  <c:v>27892</c:v>
                </c:pt>
                <c:pt idx="84">
                  <c:v>27893</c:v>
                </c:pt>
                <c:pt idx="85">
                  <c:v>27894</c:v>
                </c:pt>
                <c:pt idx="86">
                  <c:v>27895</c:v>
                </c:pt>
                <c:pt idx="87">
                  <c:v>27896</c:v>
                </c:pt>
                <c:pt idx="88">
                  <c:v>27897</c:v>
                </c:pt>
                <c:pt idx="89">
                  <c:v>27898</c:v>
                </c:pt>
                <c:pt idx="90">
                  <c:v>27899</c:v>
                </c:pt>
                <c:pt idx="91">
                  <c:v>27900</c:v>
                </c:pt>
                <c:pt idx="92">
                  <c:v>27901</c:v>
                </c:pt>
                <c:pt idx="93">
                  <c:v>27902</c:v>
                </c:pt>
                <c:pt idx="94">
                  <c:v>27903</c:v>
                </c:pt>
                <c:pt idx="95">
                  <c:v>27904</c:v>
                </c:pt>
                <c:pt idx="96">
                  <c:v>27905</c:v>
                </c:pt>
                <c:pt idx="97">
                  <c:v>27906</c:v>
                </c:pt>
                <c:pt idx="98">
                  <c:v>27907</c:v>
                </c:pt>
                <c:pt idx="99">
                  <c:v>27908</c:v>
                </c:pt>
                <c:pt idx="100">
                  <c:v>27909</c:v>
                </c:pt>
                <c:pt idx="101">
                  <c:v>27910</c:v>
                </c:pt>
                <c:pt idx="102">
                  <c:v>27911</c:v>
                </c:pt>
                <c:pt idx="103">
                  <c:v>27912</c:v>
                </c:pt>
                <c:pt idx="104">
                  <c:v>27913</c:v>
                </c:pt>
                <c:pt idx="105">
                  <c:v>27914</c:v>
                </c:pt>
                <c:pt idx="106">
                  <c:v>27915</c:v>
                </c:pt>
                <c:pt idx="107">
                  <c:v>27916</c:v>
                </c:pt>
                <c:pt idx="108">
                  <c:v>27917</c:v>
                </c:pt>
                <c:pt idx="109">
                  <c:v>27918</c:v>
                </c:pt>
                <c:pt idx="110">
                  <c:v>27919</c:v>
                </c:pt>
                <c:pt idx="111">
                  <c:v>27920</c:v>
                </c:pt>
                <c:pt idx="112">
                  <c:v>27921</c:v>
                </c:pt>
                <c:pt idx="113">
                  <c:v>27922</c:v>
                </c:pt>
                <c:pt idx="114">
                  <c:v>27923</c:v>
                </c:pt>
                <c:pt idx="115">
                  <c:v>27924</c:v>
                </c:pt>
                <c:pt idx="116">
                  <c:v>27925</c:v>
                </c:pt>
                <c:pt idx="117">
                  <c:v>27926</c:v>
                </c:pt>
                <c:pt idx="118">
                  <c:v>27927</c:v>
                </c:pt>
                <c:pt idx="119">
                  <c:v>27928</c:v>
                </c:pt>
                <c:pt idx="120">
                  <c:v>27929</c:v>
                </c:pt>
                <c:pt idx="121">
                  <c:v>27930</c:v>
                </c:pt>
                <c:pt idx="122">
                  <c:v>27931</c:v>
                </c:pt>
                <c:pt idx="123">
                  <c:v>27932</c:v>
                </c:pt>
              </c:numCache>
            </c:numRef>
          </c:xVal>
          <c:yVal>
            <c:numRef>
              <c:f>'13C'!$Z$2:$Z$125</c:f>
              <c:numCache>
                <c:formatCode>0.00</c:formatCode>
                <c:ptCount val="124"/>
                <c:pt idx="0">
                  <c:v>-29.304656479752566</c:v>
                </c:pt>
                <c:pt idx="1">
                  <c:v>-29.415864150067364</c:v>
                </c:pt>
                <c:pt idx="2">
                  <c:v>-29.505682339559598</c:v>
                </c:pt>
                <c:pt idx="3">
                  <c:v>-32.247838786860939</c:v>
                </c:pt>
                <c:pt idx="4">
                  <c:v>-41.605398181018472</c:v>
                </c:pt>
                <c:pt idx="5">
                  <c:v>-11.357801513316076</c:v>
                </c:pt>
                <c:pt idx="6">
                  <c:v>-29.406803012814748</c:v>
                </c:pt>
                <c:pt idx="7">
                  <c:v>-30.966331909858695</c:v>
                </c:pt>
                <c:pt idx="8">
                  <c:v>-26.277089487176568</c:v>
                </c:pt>
                <c:pt idx="9">
                  <c:v>-26.400529820306929</c:v>
                </c:pt>
                <c:pt idx="10">
                  <c:v>-24.7963589786184</c:v>
                </c:pt>
                <c:pt idx="11">
                  <c:v>-26.467114673620586</c:v>
                </c:pt>
                <c:pt idx="12">
                  <c:v>-26.402110583179137</c:v>
                </c:pt>
                <c:pt idx="13">
                  <c:v>-24.708297397122237</c:v>
                </c:pt>
                <c:pt idx="14">
                  <c:v>-32.221382930130858</c:v>
                </c:pt>
                <c:pt idx="15">
                  <c:v>-25.728341603440981</c:v>
                </c:pt>
                <c:pt idx="16">
                  <c:v>-24.9675995677012</c:v>
                </c:pt>
                <c:pt idx="17">
                  <c:v>-26.061808985534071</c:v>
                </c:pt>
                <c:pt idx="18">
                  <c:v>-26.330912950106267</c:v>
                </c:pt>
                <c:pt idx="19">
                  <c:v>-26.11922682931538</c:v>
                </c:pt>
                <c:pt idx="20">
                  <c:v>-24.549678371899404</c:v>
                </c:pt>
                <c:pt idx="21">
                  <c:v>-25.078551386023491</c:v>
                </c:pt>
                <c:pt idx="22">
                  <c:v>-25.418967849728574</c:v>
                </c:pt>
                <c:pt idx="23">
                  <c:v>-25.516945040626979</c:v>
                </c:pt>
                <c:pt idx="24">
                  <c:v>-25.360261156336719</c:v>
                </c:pt>
                <c:pt idx="25">
                  <c:v>-32.239739072699422</c:v>
                </c:pt>
                <c:pt idx="26">
                  <c:v>-26.363989201013737</c:v>
                </c:pt>
                <c:pt idx="27">
                  <c:v>-25.834490995073793</c:v>
                </c:pt>
                <c:pt idx="28">
                  <c:v>-24.419768906303148</c:v>
                </c:pt>
                <c:pt idx="29">
                  <c:v>-24.807050024973705</c:v>
                </c:pt>
                <c:pt idx="30">
                  <c:v>-26.665230006593447</c:v>
                </c:pt>
                <c:pt idx="31">
                  <c:v>-26.168332170786698</c:v>
                </c:pt>
                <c:pt idx="32">
                  <c:v>-24.885030445063194</c:v>
                </c:pt>
                <c:pt idx="33">
                  <c:v>-26.087216910279608</c:v>
                </c:pt>
                <c:pt idx="34">
                  <c:v>-25.123770905939864</c:v>
                </c:pt>
                <c:pt idx="35">
                  <c:v>-23.820058568490367</c:v>
                </c:pt>
                <c:pt idx="36">
                  <c:v>-32.224486214236663</c:v>
                </c:pt>
                <c:pt idx="37">
                  <c:v>-25.280186708931637</c:v>
                </c:pt>
                <c:pt idx="38">
                  <c:v>-24.684459529025617</c:v>
                </c:pt>
                <c:pt idx="39">
                  <c:v>-25.554577044134135</c:v>
                </c:pt>
                <c:pt idx="40">
                  <c:v>-25.066831946008278</c:v>
                </c:pt>
                <c:pt idx="41">
                  <c:v>-26.047970897120877</c:v>
                </c:pt>
                <c:pt idx="42">
                  <c:v>-25.710990996317264</c:v>
                </c:pt>
                <c:pt idx="43">
                  <c:v>-25.261956697439928</c:v>
                </c:pt>
                <c:pt idx="44">
                  <c:v>-24.85570064440833</c:v>
                </c:pt>
                <c:pt idx="45">
                  <c:v>-26.090484136765212</c:v>
                </c:pt>
                <c:pt idx="46">
                  <c:v>-24.237742997720716</c:v>
                </c:pt>
                <c:pt idx="47">
                  <c:v>-32.206177983675843</c:v>
                </c:pt>
                <c:pt idx="48">
                  <c:v>-25.011286331397514</c:v>
                </c:pt>
                <c:pt idx="49">
                  <c:v>-26.150313950856116</c:v>
                </c:pt>
                <c:pt idx="50">
                  <c:v>-25.922328686321634</c:v>
                </c:pt>
                <c:pt idx="51">
                  <c:v>-25.643410085435335</c:v>
                </c:pt>
                <c:pt idx="52">
                  <c:v>-24.991662750197861</c:v>
                </c:pt>
                <c:pt idx="53">
                  <c:v>-25.660083075064335</c:v>
                </c:pt>
                <c:pt idx="54">
                  <c:v>-25.632767213021225</c:v>
                </c:pt>
                <c:pt idx="55">
                  <c:v>-25.516829547100997</c:v>
                </c:pt>
                <c:pt idx="56">
                  <c:v>-25.568967659882333</c:v>
                </c:pt>
                <c:pt idx="57">
                  <c:v>-25.656758063413349</c:v>
                </c:pt>
                <c:pt idx="58">
                  <c:v>-32.125743887662793</c:v>
                </c:pt>
                <c:pt idx="59">
                  <c:v>-30.919039069382393</c:v>
                </c:pt>
                <c:pt idx="60">
                  <c:v>-41.603668868095042</c:v>
                </c:pt>
                <c:pt idx="61">
                  <c:v>-11.357089801721372</c:v>
                </c:pt>
                <c:pt idx="62">
                  <c:v>-29.355164937556765</c:v>
                </c:pt>
                <c:pt idx="63">
                  <c:v>-24.715629588483466</c:v>
                </c:pt>
                <c:pt idx="64">
                  <c:v>-25.336178580840738</c:v>
                </c:pt>
                <c:pt idx="65">
                  <c:v>-25.994406291539576</c:v>
                </c:pt>
                <c:pt idx="66">
                  <c:v>-26.077102535809445</c:v>
                </c:pt>
                <c:pt idx="67">
                  <c:v>-25.288864280060466</c:v>
                </c:pt>
                <c:pt idx="68">
                  <c:v>-24.178707543557493</c:v>
                </c:pt>
                <c:pt idx="69">
                  <c:v>-32.185856792131858</c:v>
                </c:pt>
                <c:pt idx="70">
                  <c:v>-24.693512023183644</c:v>
                </c:pt>
                <c:pt idx="71">
                  <c:v>-23.633253228493118</c:v>
                </c:pt>
                <c:pt idx="72">
                  <c:v>-25.353976033908339</c:v>
                </c:pt>
                <c:pt idx="73">
                  <c:v>-25.11885520842236</c:v>
                </c:pt>
                <c:pt idx="74">
                  <c:v>-25.024307692646516</c:v>
                </c:pt>
                <c:pt idx="75">
                  <c:v>-25.906640666173303</c:v>
                </c:pt>
                <c:pt idx="76">
                  <c:v>-23.529264461647585</c:v>
                </c:pt>
                <c:pt idx="77">
                  <c:v>-24.843548605335513</c:v>
                </c:pt>
                <c:pt idx="78">
                  <c:v>-24.73473907707546</c:v>
                </c:pt>
                <c:pt idx="79">
                  <c:v>-24.223553395223121</c:v>
                </c:pt>
                <c:pt idx="80">
                  <c:v>-32.230692781654739</c:v>
                </c:pt>
                <c:pt idx="81">
                  <c:v>-26.495510597571069</c:v>
                </c:pt>
                <c:pt idx="82">
                  <c:v>-25.682834101909179</c:v>
                </c:pt>
                <c:pt idx="83">
                  <c:v>-24.796795834323234</c:v>
                </c:pt>
                <c:pt idx="84">
                  <c:v>-25.769792980514467</c:v>
                </c:pt>
                <c:pt idx="85">
                  <c:v>-25.20463335949762</c:v>
                </c:pt>
                <c:pt idx="86">
                  <c:v>-24.307378016899634</c:v>
                </c:pt>
                <c:pt idx="87">
                  <c:v>-26.049460147365721</c:v>
                </c:pt>
                <c:pt idx="88">
                  <c:v>-25.963064088696342</c:v>
                </c:pt>
                <c:pt idx="89">
                  <c:v>-25.514032898748269</c:v>
                </c:pt>
                <c:pt idx="90">
                  <c:v>-25.81369994864508</c:v>
                </c:pt>
                <c:pt idx="91">
                  <c:v>-32.210347643948467</c:v>
                </c:pt>
                <c:pt idx="92">
                  <c:v>-24.938038842838523</c:v>
                </c:pt>
                <c:pt idx="93">
                  <c:v>-24.682542021541849</c:v>
                </c:pt>
                <c:pt idx="94">
                  <c:v>-24.927208374910606</c:v>
                </c:pt>
                <c:pt idx="95">
                  <c:v>-24.967123440417481</c:v>
                </c:pt>
                <c:pt idx="96">
                  <c:v>-23.034865694627115</c:v>
                </c:pt>
                <c:pt idx="97">
                  <c:v>-25.450338813005374</c:v>
                </c:pt>
                <c:pt idx="98">
                  <c:v>-25.700093193638281</c:v>
                </c:pt>
                <c:pt idx="99">
                  <c:v>-25.407930501444525</c:v>
                </c:pt>
                <c:pt idx="100">
                  <c:v>-26.529629276634296</c:v>
                </c:pt>
                <c:pt idx="101">
                  <c:v>-25.678245322487328</c:v>
                </c:pt>
                <c:pt idx="102">
                  <c:v>-32.268423501699203</c:v>
                </c:pt>
                <c:pt idx="103">
                  <c:v>-26.632052684933797</c:v>
                </c:pt>
                <c:pt idx="104">
                  <c:v>-24.931119585722854</c:v>
                </c:pt>
                <c:pt idx="105">
                  <c:v>-25.251164436391946</c:v>
                </c:pt>
                <c:pt idx="106">
                  <c:v>-26.031629252238645</c:v>
                </c:pt>
                <c:pt idx="107">
                  <c:v>-25.487865210006817</c:v>
                </c:pt>
                <c:pt idx="108">
                  <c:v>-25.633718287386387</c:v>
                </c:pt>
                <c:pt idx="109">
                  <c:v>-25.18264573196916</c:v>
                </c:pt>
                <c:pt idx="110">
                  <c:v>-26.059881732477493</c:v>
                </c:pt>
                <c:pt idx="111">
                  <c:v>-24.777594847170349</c:v>
                </c:pt>
                <c:pt idx="112">
                  <c:v>-25.964505414499513</c:v>
                </c:pt>
                <c:pt idx="113">
                  <c:v>-32.177804983915621</c:v>
                </c:pt>
                <c:pt idx="114">
                  <c:v>-24.318737062939022</c:v>
                </c:pt>
                <c:pt idx="115">
                  <c:v>-24.730467210807547</c:v>
                </c:pt>
                <c:pt idx="116">
                  <c:v>-22.311246209164324</c:v>
                </c:pt>
                <c:pt idx="117">
                  <c:v>-23.180401734014822</c:v>
                </c:pt>
                <c:pt idx="118">
                  <c:v>-30.885279587343348</c:v>
                </c:pt>
                <c:pt idx="119">
                  <c:v>-41.620828924622401</c:v>
                </c:pt>
                <c:pt idx="120">
                  <c:v>-11.425215992457197</c:v>
                </c:pt>
                <c:pt idx="121">
                  <c:v>-29.239921035342604</c:v>
                </c:pt>
                <c:pt idx="122">
                  <c:v>-32.188657254959253</c:v>
                </c:pt>
                <c:pt idx="123">
                  <c:v>-32.287634681918348</c:v>
                </c:pt>
              </c:numCache>
            </c:numRef>
          </c:yVal>
          <c:smooth val="0"/>
          <c:extLst>
            <c:ext xmlns:c16="http://schemas.microsoft.com/office/drawing/2014/chart" uri="{C3380CC4-5D6E-409C-BE32-E72D297353CC}">
              <c16:uniqueId val="{00000000-35E7-EC48-A860-6E7CEB490DA8}"/>
            </c:ext>
          </c:extLst>
        </c:ser>
        <c:ser>
          <c:idx val="1"/>
          <c:order val="1"/>
          <c:tx>
            <c:strRef>
              <c:f>'13C'!$Y$1</c:f>
              <c:strCache>
                <c:ptCount val="1"/>
                <c:pt idx="0">
                  <c:v>Initial Corrected δ13C (‰ VPDB)</c:v>
                </c:pt>
              </c:strCache>
            </c:strRef>
          </c:tx>
          <c:spPr>
            <a:ln w="25400" cap="rnd">
              <a:noFill/>
              <a:round/>
            </a:ln>
            <a:effectLst/>
          </c:spPr>
          <c:marker>
            <c:symbol val="circle"/>
            <c:size val="5"/>
            <c:spPr>
              <a:noFill/>
              <a:ln w="9525">
                <a:solidFill>
                  <a:srgbClr val="00B0F0"/>
                </a:solidFill>
              </a:ln>
              <a:effectLst/>
            </c:spPr>
          </c:marker>
          <c:xVal>
            <c:numRef>
              <c:f>'13C'!$B$2:$B$125</c:f>
              <c:numCache>
                <c:formatCode>General</c:formatCode>
                <c:ptCount val="124"/>
                <c:pt idx="0">
                  <c:v>27808</c:v>
                </c:pt>
                <c:pt idx="1">
                  <c:v>27809</c:v>
                </c:pt>
                <c:pt idx="2">
                  <c:v>27810</c:v>
                </c:pt>
                <c:pt idx="3">
                  <c:v>27812</c:v>
                </c:pt>
                <c:pt idx="4">
                  <c:v>27813</c:v>
                </c:pt>
                <c:pt idx="5">
                  <c:v>27814</c:v>
                </c:pt>
                <c:pt idx="6">
                  <c:v>27815</c:v>
                </c:pt>
                <c:pt idx="7">
                  <c:v>27816</c:v>
                </c:pt>
                <c:pt idx="8">
                  <c:v>27817</c:v>
                </c:pt>
                <c:pt idx="9">
                  <c:v>27818</c:v>
                </c:pt>
                <c:pt idx="10">
                  <c:v>27819</c:v>
                </c:pt>
                <c:pt idx="11">
                  <c:v>27820</c:v>
                </c:pt>
                <c:pt idx="12">
                  <c:v>27821</c:v>
                </c:pt>
                <c:pt idx="13">
                  <c:v>27822</c:v>
                </c:pt>
                <c:pt idx="14">
                  <c:v>27823</c:v>
                </c:pt>
                <c:pt idx="15">
                  <c:v>27824</c:v>
                </c:pt>
                <c:pt idx="16">
                  <c:v>27825</c:v>
                </c:pt>
                <c:pt idx="17">
                  <c:v>27826</c:v>
                </c:pt>
                <c:pt idx="18">
                  <c:v>27827</c:v>
                </c:pt>
                <c:pt idx="19">
                  <c:v>27828</c:v>
                </c:pt>
                <c:pt idx="20">
                  <c:v>27829</c:v>
                </c:pt>
                <c:pt idx="21">
                  <c:v>27830</c:v>
                </c:pt>
                <c:pt idx="22">
                  <c:v>27831</c:v>
                </c:pt>
                <c:pt idx="23">
                  <c:v>27832</c:v>
                </c:pt>
                <c:pt idx="24">
                  <c:v>27833</c:v>
                </c:pt>
                <c:pt idx="25">
                  <c:v>27834</c:v>
                </c:pt>
                <c:pt idx="26">
                  <c:v>27835</c:v>
                </c:pt>
                <c:pt idx="27">
                  <c:v>27836</c:v>
                </c:pt>
                <c:pt idx="28">
                  <c:v>27837</c:v>
                </c:pt>
                <c:pt idx="29">
                  <c:v>27838</c:v>
                </c:pt>
                <c:pt idx="30">
                  <c:v>27839</c:v>
                </c:pt>
                <c:pt idx="31">
                  <c:v>27840</c:v>
                </c:pt>
                <c:pt idx="32">
                  <c:v>27841</c:v>
                </c:pt>
                <c:pt idx="33">
                  <c:v>27842</c:v>
                </c:pt>
                <c:pt idx="34">
                  <c:v>27843</c:v>
                </c:pt>
                <c:pt idx="35">
                  <c:v>27844</c:v>
                </c:pt>
                <c:pt idx="36">
                  <c:v>27845</c:v>
                </c:pt>
                <c:pt idx="37">
                  <c:v>27846</c:v>
                </c:pt>
                <c:pt idx="38">
                  <c:v>27847</c:v>
                </c:pt>
                <c:pt idx="39">
                  <c:v>27848</c:v>
                </c:pt>
                <c:pt idx="40">
                  <c:v>27849</c:v>
                </c:pt>
                <c:pt idx="41">
                  <c:v>27850</c:v>
                </c:pt>
                <c:pt idx="42">
                  <c:v>27851</c:v>
                </c:pt>
                <c:pt idx="43">
                  <c:v>27852</c:v>
                </c:pt>
                <c:pt idx="44">
                  <c:v>27853</c:v>
                </c:pt>
                <c:pt idx="45">
                  <c:v>27854</c:v>
                </c:pt>
                <c:pt idx="46">
                  <c:v>27855</c:v>
                </c:pt>
                <c:pt idx="47">
                  <c:v>27856</c:v>
                </c:pt>
                <c:pt idx="48">
                  <c:v>27857</c:v>
                </c:pt>
                <c:pt idx="49">
                  <c:v>27858</c:v>
                </c:pt>
                <c:pt idx="50">
                  <c:v>27859</c:v>
                </c:pt>
                <c:pt idx="51">
                  <c:v>27860</c:v>
                </c:pt>
                <c:pt idx="52">
                  <c:v>27861</c:v>
                </c:pt>
                <c:pt idx="53">
                  <c:v>27862</c:v>
                </c:pt>
                <c:pt idx="54">
                  <c:v>27863</c:v>
                </c:pt>
                <c:pt idx="55">
                  <c:v>27864</c:v>
                </c:pt>
                <c:pt idx="56">
                  <c:v>27865</c:v>
                </c:pt>
                <c:pt idx="57">
                  <c:v>27866</c:v>
                </c:pt>
                <c:pt idx="58">
                  <c:v>27867</c:v>
                </c:pt>
                <c:pt idx="59">
                  <c:v>27868</c:v>
                </c:pt>
                <c:pt idx="60">
                  <c:v>27869</c:v>
                </c:pt>
                <c:pt idx="61">
                  <c:v>27870</c:v>
                </c:pt>
                <c:pt idx="62">
                  <c:v>27871</c:v>
                </c:pt>
                <c:pt idx="63">
                  <c:v>27872</c:v>
                </c:pt>
                <c:pt idx="64">
                  <c:v>27873</c:v>
                </c:pt>
                <c:pt idx="65">
                  <c:v>27874</c:v>
                </c:pt>
                <c:pt idx="66">
                  <c:v>27875</c:v>
                </c:pt>
                <c:pt idx="67">
                  <c:v>27876</c:v>
                </c:pt>
                <c:pt idx="68">
                  <c:v>27877</c:v>
                </c:pt>
                <c:pt idx="69">
                  <c:v>27878</c:v>
                </c:pt>
                <c:pt idx="70">
                  <c:v>27879</c:v>
                </c:pt>
                <c:pt idx="71">
                  <c:v>27880</c:v>
                </c:pt>
                <c:pt idx="72">
                  <c:v>27881</c:v>
                </c:pt>
                <c:pt idx="73">
                  <c:v>27882</c:v>
                </c:pt>
                <c:pt idx="74">
                  <c:v>27883</c:v>
                </c:pt>
                <c:pt idx="75">
                  <c:v>27884</c:v>
                </c:pt>
                <c:pt idx="76">
                  <c:v>27885</c:v>
                </c:pt>
                <c:pt idx="77">
                  <c:v>27886</c:v>
                </c:pt>
                <c:pt idx="78">
                  <c:v>27887</c:v>
                </c:pt>
                <c:pt idx="79">
                  <c:v>27888</c:v>
                </c:pt>
                <c:pt idx="80">
                  <c:v>27889</c:v>
                </c:pt>
                <c:pt idx="81">
                  <c:v>27890</c:v>
                </c:pt>
                <c:pt idx="82">
                  <c:v>27891</c:v>
                </c:pt>
                <c:pt idx="83">
                  <c:v>27892</c:v>
                </c:pt>
                <c:pt idx="84">
                  <c:v>27893</c:v>
                </c:pt>
                <c:pt idx="85">
                  <c:v>27894</c:v>
                </c:pt>
                <c:pt idx="86">
                  <c:v>27895</c:v>
                </c:pt>
                <c:pt idx="87">
                  <c:v>27896</c:v>
                </c:pt>
                <c:pt idx="88">
                  <c:v>27897</c:v>
                </c:pt>
                <c:pt idx="89">
                  <c:v>27898</c:v>
                </c:pt>
                <c:pt idx="90">
                  <c:v>27899</c:v>
                </c:pt>
                <c:pt idx="91">
                  <c:v>27900</c:v>
                </c:pt>
                <c:pt idx="92">
                  <c:v>27901</c:v>
                </c:pt>
                <c:pt idx="93">
                  <c:v>27902</c:v>
                </c:pt>
                <c:pt idx="94">
                  <c:v>27903</c:v>
                </c:pt>
                <c:pt idx="95">
                  <c:v>27904</c:v>
                </c:pt>
                <c:pt idx="96">
                  <c:v>27905</c:v>
                </c:pt>
                <c:pt idx="97">
                  <c:v>27906</c:v>
                </c:pt>
                <c:pt idx="98">
                  <c:v>27907</c:v>
                </c:pt>
                <c:pt idx="99">
                  <c:v>27908</c:v>
                </c:pt>
                <c:pt idx="100">
                  <c:v>27909</c:v>
                </c:pt>
                <c:pt idx="101">
                  <c:v>27910</c:v>
                </c:pt>
                <c:pt idx="102">
                  <c:v>27911</c:v>
                </c:pt>
                <c:pt idx="103">
                  <c:v>27912</c:v>
                </c:pt>
                <c:pt idx="104">
                  <c:v>27913</c:v>
                </c:pt>
                <c:pt idx="105">
                  <c:v>27914</c:v>
                </c:pt>
                <c:pt idx="106">
                  <c:v>27915</c:v>
                </c:pt>
                <c:pt idx="107">
                  <c:v>27916</c:v>
                </c:pt>
                <c:pt idx="108">
                  <c:v>27917</c:v>
                </c:pt>
                <c:pt idx="109">
                  <c:v>27918</c:v>
                </c:pt>
                <c:pt idx="110">
                  <c:v>27919</c:v>
                </c:pt>
                <c:pt idx="111">
                  <c:v>27920</c:v>
                </c:pt>
                <c:pt idx="112">
                  <c:v>27921</c:v>
                </c:pt>
                <c:pt idx="113">
                  <c:v>27922</c:v>
                </c:pt>
                <c:pt idx="114">
                  <c:v>27923</c:v>
                </c:pt>
                <c:pt idx="115">
                  <c:v>27924</c:v>
                </c:pt>
                <c:pt idx="116">
                  <c:v>27925</c:v>
                </c:pt>
                <c:pt idx="117">
                  <c:v>27926</c:v>
                </c:pt>
                <c:pt idx="118">
                  <c:v>27927</c:v>
                </c:pt>
                <c:pt idx="119">
                  <c:v>27928</c:v>
                </c:pt>
                <c:pt idx="120">
                  <c:v>27929</c:v>
                </c:pt>
                <c:pt idx="121">
                  <c:v>27930</c:v>
                </c:pt>
                <c:pt idx="122">
                  <c:v>27931</c:v>
                </c:pt>
                <c:pt idx="123">
                  <c:v>27932</c:v>
                </c:pt>
              </c:numCache>
            </c:numRef>
          </c:xVal>
          <c:yVal>
            <c:numRef>
              <c:f>'13C'!$Y$2:$Y$125</c:f>
              <c:numCache>
                <c:formatCode>0.00</c:formatCode>
                <c:ptCount val="124"/>
                <c:pt idx="0">
                  <c:v>-29.3175276145937</c:v>
                </c:pt>
                <c:pt idx="1">
                  <c:v>0.61799040374307879</c:v>
                </c:pt>
                <c:pt idx="2">
                  <c:v>0.53743714108679796</c:v>
                </c:pt>
                <c:pt idx="3">
                  <c:v>0.54457476196978405</c:v>
                </c:pt>
                <c:pt idx="4">
                  <c:v>0.6689736091626628</c:v>
                </c:pt>
                <c:pt idx="5">
                  <c:v>0.66387528416294117</c:v>
                </c:pt>
                <c:pt idx="6">
                  <c:v>0.70364224543197906</c:v>
                </c:pt>
                <c:pt idx="7">
                  <c:v>0.47013966821702979</c:v>
                </c:pt>
                <c:pt idx="8">
                  <c:v>0.55681068800049616</c:v>
                </c:pt>
                <c:pt idx="9">
                  <c:v>0.46912001086457167</c:v>
                </c:pt>
                <c:pt idx="10">
                  <c:v>0.64552132236622128</c:v>
                </c:pt>
                <c:pt idx="11">
                  <c:v>0.58536120426197158</c:v>
                </c:pt>
                <c:pt idx="12">
                  <c:v>0.74646827112337633</c:v>
                </c:pt>
                <c:pt idx="13">
                  <c:v>0.62308871982736491</c:v>
                </c:pt>
                <c:pt idx="14">
                  <c:v>0.54151578135360978</c:v>
                </c:pt>
                <c:pt idx="15">
                  <c:v>0.67917026213387999</c:v>
                </c:pt>
                <c:pt idx="16">
                  <c:v>0.39162616801991135</c:v>
                </c:pt>
                <c:pt idx="17">
                  <c:v>0.50990633586889089</c:v>
                </c:pt>
                <c:pt idx="18">
                  <c:v>0.6506196437997005</c:v>
                </c:pt>
                <c:pt idx="19">
                  <c:v>0.65265897265044259</c:v>
                </c:pt>
                <c:pt idx="20">
                  <c:v>0.52418156459816601</c:v>
                </c:pt>
                <c:pt idx="21">
                  <c:v>0.3589972500294607</c:v>
                </c:pt>
                <c:pt idx="22">
                  <c:v>0.58740052804080278</c:v>
                </c:pt>
                <c:pt idx="23">
                  <c:v>0.66591461404391339</c:v>
                </c:pt>
                <c:pt idx="24">
                  <c:v>0.36511516906205088</c:v>
                </c:pt>
                <c:pt idx="25">
                  <c:v>0.53437816130281135</c:v>
                </c:pt>
                <c:pt idx="26">
                  <c:v>0.74646827112337633</c:v>
                </c:pt>
                <c:pt idx="27">
                  <c:v>0.79745172617879234</c:v>
                </c:pt>
                <c:pt idx="28">
                  <c:v>0.4854345332585126</c:v>
                </c:pt>
                <c:pt idx="29">
                  <c:v>0.33554524028591004</c:v>
                </c:pt>
                <c:pt idx="30">
                  <c:v>0.84945495238935109</c:v>
                </c:pt>
                <c:pt idx="31">
                  <c:v>0.72097658074392257</c:v>
                </c:pt>
                <c:pt idx="32">
                  <c:v>0.62104939327468855</c:v>
                </c:pt>
                <c:pt idx="33">
                  <c:v>0.77195998626825713</c:v>
                </c:pt>
                <c:pt idx="34">
                  <c:v>0.62206905653113154</c:v>
                </c:pt>
                <c:pt idx="35">
                  <c:v>0.33656489244754084</c:v>
                </c:pt>
                <c:pt idx="36">
                  <c:v>0.54865340334595203</c:v>
                </c:pt>
                <c:pt idx="37">
                  <c:v>0.33554524028591004</c:v>
                </c:pt>
                <c:pt idx="38">
                  <c:v>0.70160291261868224</c:v>
                </c:pt>
                <c:pt idx="39">
                  <c:v>0.32330941743623498</c:v>
                </c:pt>
                <c:pt idx="40">
                  <c:v>0.42833374925908174</c:v>
                </c:pt>
                <c:pt idx="41">
                  <c:v>0.61493141456810463</c:v>
                </c:pt>
                <c:pt idx="42">
                  <c:v>0.50174906579604794</c:v>
                </c:pt>
                <c:pt idx="43">
                  <c:v>0.33758454464884835</c:v>
                </c:pt>
                <c:pt idx="44">
                  <c:v>0.78623535756696583</c:v>
                </c:pt>
                <c:pt idx="45">
                  <c:v>0.66591461404391339</c:v>
                </c:pt>
                <c:pt idx="46">
                  <c:v>0.35593829104800534</c:v>
                </c:pt>
                <c:pt idx="47">
                  <c:v>0.53029952214558307</c:v>
                </c:pt>
                <c:pt idx="48">
                  <c:v>0.71587824563994218</c:v>
                </c:pt>
                <c:pt idx="49">
                  <c:v>0.47829692846300986</c:v>
                </c:pt>
                <c:pt idx="50">
                  <c:v>0.81580579424917232</c:v>
                </c:pt>
                <c:pt idx="51">
                  <c:v>0.42425512658542175</c:v>
                </c:pt>
                <c:pt idx="52">
                  <c:v>0.34574176368573717</c:v>
                </c:pt>
                <c:pt idx="53">
                  <c:v>0.52927986245515513</c:v>
                </c:pt>
                <c:pt idx="54">
                  <c:v>0.34778106884118642</c:v>
                </c:pt>
                <c:pt idx="55">
                  <c:v>0.52622088362215891</c:v>
                </c:pt>
                <c:pt idx="56">
                  <c:v>0.7607436285534277</c:v>
                </c:pt>
                <c:pt idx="57">
                  <c:v>0.34472211116758444</c:v>
                </c:pt>
                <c:pt idx="58">
                  <c:v>0.55273204535626519</c:v>
                </c:pt>
                <c:pt idx="59">
                  <c:v>0.47625761316385251</c:v>
                </c:pt>
                <c:pt idx="60">
                  <c:v>0.63124602762241011</c:v>
                </c:pt>
                <c:pt idx="61">
                  <c:v>0.67611126582653469</c:v>
                </c:pt>
                <c:pt idx="62">
                  <c:v>0.65571796622384682</c:v>
                </c:pt>
                <c:pt idx="63">
                  <c:v>0.5741449263115328</c:v>
                </c:pt>
                <c:pt idx="64">
                  <c:v>0.50888667697097389</c:v>
                </c:pt>
                <c:pt idx="65">
                  <c:v>0.80255007713265059</c:v>
                </c:pt>
                <c:pt idx="66">
                  <c:v>0.4895131654418492</c:v>
                </c:pt>
                <c:pt idx="67">
                  <c:v>0.58026289550832644</c:v>
                </c:pt>
                <c:pt idx="68">
                  <c:v>0.34472211116758444</c:v>
                </c:pt>
                <c:pt idx="69">
                  <c:v>0.52927986245515513</c:v>
                </c:pt>
                <c:pt idx="70">
                  <c:v>0.48441487531169969</c:v>
                </c:pt>
                <c:pt idx="71">
                  <c:v>0.69140625092995833</c:v>
                </c:pt>
                <c:pt idx="72">
                  <c:v>0.40896029720590832</c:v>
                </c:pt>
                <c:pt idx="73">
                  <c:v>0.47523795557356152</c:v>
                </c:pt>
                <c:pt idx="74">
                  <c:v>0.33758454464884835</c:v>
                </c:pt>
                <c:pt idx="75">
                  <c:v>0.40182271321293683</c:v>
                </c:pt>
                <c:pt idx="76">
                  <c:v>0.70772091153389738</c:v>
                </c:pt>
                <c:pt idx="77">
                  <c:v>0.46300206758212425</c:v>
                </c:pt>
                <c:pt idx="78">
                  <c:v>0.6618359544404484</c:v>
                </c:pt>
                <c:pt idx="79">
                  <c:v>0.74035026317369557</c:v>
                </c:pt>
                <c:pt idx="80">
                  <c:v>0.53845680109407112</c:v>
                </c:pt>
                <c:pt idx="81">
                  <c:v>0.84945495238935109</c:v>
                </c:pt>
                <c:pt idx="82">
                  <c:v>0.57924323387646837</c:v>
                </c:pt>
                <c:pt idx="83">
                  <c:v>0.48135590170898013</c:v>
                </c:pt>
                <c:pt idx="84">
                  <c:v>0.35287933242329927</c:v>
                </c:pt>
                <c:pt idx="85">
                  <c:v>0.69140625092995833</c:v>
                </c:pt>
                <c:pt idx="86">
                  <c:v>0.34064350149060374</c:v>
                </c:pt>
                <c:pt idx="87">
                  <c:v>0.54967306378910052</c:v>
                </c:pt>
                <c:pt idx="88">
                  <c:v>0.54559442225433941</c:v>
                </c:pt>
                <c:pt idx="89">
                  <c:v>0.67305226987571132</c:v>
                </c:pt>
                <c:pt idx="90">
                  <c:v>0.34676141624368029</c:v>
                </c:pt>
                <c:pt idx="91">
                  <c:v>0.54559442225433941</c:v>
                </c:pt>
                <c:pt idx="92">
                  <c:v>0.75666495420944102</c:v>
                </c:pt>
                <c:pt idx="93">
                  <c:v>0.36715447572316862</c:v>
                </c:pt>
                <c:pt idx="94">
                  <c:v>0.50888667697097389</c:v>
                </c:pt>
                <c:pt idx="95">
                  <c:v>0.40080305851540743</c:v>
                </c:pt>
                <c:pt idx="96">
                  <c:v>0.57312526491739391</c:v>
                </c:pt>
                <c:pt idx="97">
                  <c:v>0.48441487531169969</c:v>
                </c:pt>
                <c:pt idx="98">
                  <c:v>0.36613482237271455</c:v>
                </c:pt>
                <c:pt idx="99">
                  <c:v>0.34982037415522882</c:v>
                </c:pt>
                <c:pt idx="100">
                  <c:v>0.54049612122753388</c:v>
                </c:pt>
                <c:pt idx="101">
                  <c:v>0.45586446888887622</c:v>
                </c:pt>
                <c:pt idx="102">
                  <c:v>0.54967306378910052</c:v>
                </c:pt>
                <c:pt idx="103">
                  <c:v>0.70466191189802885</c:v>
                </c:pt>
                <c:pt idx="104">
                  <c:v>0.64450165819835092</c:v>
                </c:pt>
                <c:pt idx="105">
                  <c:v>0.81274678201248207</c:v>
                </c:pt>
                <c:pt idx="106">
                  <c:v>0.51194565378330026</c:v>
                </c:pt>
                <c:pt idx="107">
                  <c:v>0.77909767094683957</c:v>
                </c:pt>
                <c:pt idx="108">
                  <c:v>0.34880072147848296</c:v>
                </c:pt>
                <c:pt idx="109">
                  <c:v>0.38652789690934242</c:v>
                </c:pt>
                <c:pt idx="110">
                  <c:v>0.48849350733655683</c:v>
                </c:pt>
                <c:pt idx="111">
                  <c:v>0.54661408257868516</c:v>
                </c:pt>
                <c:pt idx="112">
                  <c:v>0.60269546143410935</c:v>
                </c:pt>
                <c:pt idx="113">
                  <c:v>0.55579102727995178</c:v>
                </c:pt>
                <c:pt idx="114">
                  <c:v>0.72607491683857006</c:v>
                </c:pt>
                <c:pt idx="115">
                  <c:v>0.37939031901873932</c:v>
                </c:pt>
                <c:pt idx="116">
                  <c:v>0.70058324627154889</c:v>
                </c:pt>
                <c:pt idx="117">
                  <c:v>0.83823856154799614</c:v>
                </c:pt>
                <c:pt idx="118">
                  <c:v>0.48849350733655683</c:v>
                </c:pt>
                <c:pt idx="119">
                  <c:v>0.66489494908353208</c:v>
                </c:pt>
                <c:pt idx="120">
                  <c:v>0.63124602762241011</c:v>
                </c:pt>
                <c:pt idx="121">
                  <c:v>0.71077991152662889</c:v>
                </c:pt>
                <c:pt idx="122">
                  <c:v>0.52724054319355673</c:v>
                </c:pt>
                <c:pt idx="123">
                  <c:v>0.53947646114102099</c:v>
                </c:pt>
              </c:numCache>
            </c:numRef>
          </c:yVal>
          <c:smooth val="0"/>
          <c:extLst>
            <c:ext xmlns:c16="http://schemas.microsoft.com/office/drawing/2014/chart" uri="{C3380CC4-5D6E-409C-BE32-E72D297353CC}">
              <c16:uniqueId val="{00000001-35E7-EC48-A860-6E7CEB490DA8}"/>
            </c:ext>
          </c:extLst>
        </c:ser>
        <c:ser>
          <c:idx val="0"/>
          <c:order val="2"/>
          <c:tx>
            <c:strRef>
              <c:f>'13C'!$S$1</c:f>
              <c:strCache>
                <c:ptCount val="1"/>
                <c:pt idx="0">
                  <c:v>Area 46</c:v>
                </c:pt>
              </c:strCache>
            </c:strRef>
          </c:tx>
          <c:spPr>
            <a:ln w="19050" cap="rnd">
              <a:noFill/>
              <a:round/>
            </a:ln>
            <a:effectLst/>
          </c:spPr>
          <c:marker>
            <c:symbol val="circle"/>
            <c:size val="3"/>
            <c:spPr>
              <a:solidFill>
                <a:schemeClr val="tx1"/>
              </a:solidFill>
              <a:ln w="9525">
                <a:noFill/>
              </a:ln>
              <a:effectLst/>
            </c:spPr>
          </c:marker>
          <c:xVal>
            <c:numRef>
              <c:f>'13C'!$B$2:$B$125</c:f>
              <c:numCache>
                <c:formatCode>General</c:formatCode>
                <c:ptCount val="124"/>
                <c:pt idx="0">
                  <c:v>27808</c:v>
                </c:pt>
                <c:pt idx="1">
                  <c:v>27809</c:v>
                </c:pt>
                <c:pt idx="2">
                  <c:v>27810</c:v>
                </c:pt>
                <c:pt idx="3">
                  <c:v>27812</c:v>
                </c:pt>
                <c:pt idx="4">
                  <c:v>27813</c:v>
                </c:pt>
                <c:pt idx="5">
                  <c:v>27814</c:v>
                </c:pt>
                <c:pt idx="6">
                  <c:v>27815</c:v>
                </c:pt>
                <c:pt idx="7">
                  <c:v>27816</c:v>
                </c:pt>
                <c:pt idx="8">
                  <c:v>27817</c:v>
                </c:pt>
                <c:pt idx="9">
                  <c:v>27818</c:v>
                </c:pt>
                <c:pt idx="10">
                  <c:v>27819</c:v>
                </c:pt>
                <c:pt idx="11">
                  <c:v>27820</c:v>
                </c:pt>
                <c:pt idx="12">
                  <c:v>27821</c:v>
                </c:pt>
                <c:pt idx="13">
                  <c:v>27822</c:v>
                </c:pt>
                <c:pt idx="14">
                  <c:v>27823</c:v>
                </c:pt>
                <c:pt idx="15">
                  <c:v>27824</c:v>
                </c:pt>
                <c:pt idx="16">
                  <c:v>27825</c:v>
                </c:pt>
                <c:pt idx="17">
                  <c:v>27826</c:v>
                </c:pt>
                <c:pt idx="18">
                  <c:v>27827</c:v>
                </c:pt>
                <c:pt idx="19">
                  <c:v>27828</c:v>
                </c:pt>
                <c:pt idx="20">
                  <c:v>27829</c:v>
                </c:pt>
                <c:pt idx="21">
                  <c:v>27830</c:v>
                </c:pt>
                <c:pt idx="22">
                  <c:v>27831</c:v>
                </c:pt>
                <c:pt idx="23">
                  <c:v>27832</c:v>
                </c:pt>
                <c:pt idx="24">
                  <c:v>27833</c:v>
                </c:pt>
                <c:pt idx="25">
                  <c:v>27834</c:v>
                </c:pt>
                <c:pt idx="26">
                  <c:v>27835</c:v>
                </c:pt>
                <c:pt idx="27">
                  <c:v>27836</c:v>
                </c:pt>
                <c:pt idx="28">
                  <c:v>27837</c:v>
                </c:pt>
                <c:pt idx="29">
                  <c:v>27838</c:v>
                </c:pt>
                <c:pt idx="30">
                  <c:v>27839</c:v>
                </c:pt>
                <c:pt idx="31">
                  <c:v>27840</c:v>
                </c:pt>
                <c:pt idx="32">
                  <c:v>27841</c:v>
                </c:pt>
                <c:pt idx="33">
                  <c:v>27842</c:v>
                </c:pt>
                <c:pt idx="34">
                  <c:v>27843</c:v>
                </c:pt>
                <c:pt idx="35">
                  <c:v>27844</c:v>
                </c:pt>
                <c:pt idx="36">
                  <c:v>27845</c:v>
                </c:pt>
                <c:pt idx="37">
                  <c:v>27846</c:v>
                </c:pt>
                <c:pt idx="38">
                  <c:v>27847</c:v>
                </c:pt>
                <c:pt idx="39">
                  <c:v>27848</c:v>
                </c:pt>
                <c:pt idx="40">
                  <c:v>27849</c:v>
                </c:pt>
                <c:pt idx="41">
                  <c:v>27850</c:v>
                </c:pt>
                <c:pt idx="42">
                  <c:v>27851</c:v>
                </c:pt>
                <c:pt idx="43">
                  <c:v>27852</c:v>
                </c:pt>
                <c:pt idx="44">
                  <c:v>27853</c:v>
                </c:pt>
                <c:pt idx="45">
                  <c:v>27854</c:v>
                </c:pt>
                <c:pt idx="46">
                  <c:v>27855</c:v>
                </c:pt>
                <c:pt idx="47">
                  <c:v>27856</c:v>
                </c:pt>
                <c:pt idx="48">
                  <c:v>27857</c:v>
                </c:pt>
                <c:pt idx="49">
                  <c:v>27858</c:v>
                </c:pt>
                <c:pt idx="50">
                  <c:v>27859</c:v>
                </c:pt>
                <c:pt idx="51">
                  <c:v>27860</c:v>
                </c:pt>
                <c:pt idx="52">
                  <c:v>27861</c:v>
                </c:pt>
                <c:pt idx="53">
                  <c:v>27862</c:v>
                </c:pt>
                <c:pt idx="54">
                  <c:v>27863</c:v>
                </c:pt>
                <c:pt idx="55">
                  <c:v>27864</c:v>
                </c:pt>
                <c:pt idx="56">
                  <c:v>27865</c:v>
                </c:pt>
                <c:pt idx="57">
                  <c:v>27866</c:v>
                </c:pt>
                <c:pt idx="58">
                  <c:v>27867</c:v>
                </c:pt>
                <c:pt idx="59">
                  <c:v>27868</c:v>
                </c:pt>
                <c:pt idx="60">
                  <c:v>27869</c:v>
                </c:pt>
                <c:pt idx="61">
                  <c:v>27870</c:v>
                </c:pt>
                <c:pt idx="62">
                  <c:v>27871</c:v>
                </c:pt>
                <c:pt idx="63">
                  <c:v>27872</c:v>
                </c:pt>
                <c:pt idx="64">
                  <c:v>27873</c:v>
                </c:pt>
                <c:pt idx="65">
                  <c:v>27874</c:v>
                </c:pt>
                <c:pt idx="66">
                  <c:v>27875</c:v>
                </c:pt>
                <c:pt idx="67">
                  <c:v>27876</c:v>
                </c:pt>
                <c:pt idx="68">
                  <c:v>27877</c:v>
                </c:pt>
                <c:pt idx="69">
                  <c:v>27878</c:v>
                </c:pt>
                <c:pt idx="70">
                  <c:v>27879</c:v>
                </c:pt>
                <c:pt idx="71">
                  <c:v>27880</c:v>
                </c:pt>
                <c:pt idx="72">
                  <c:v>27881</c:v>
                </c:pt>
                <c:pt idx="73">
                  <c:v>27882</c:v>
                </c:pt>
                <c:pt idx="74">
                  <c:v>27883</c:v>
                </c:pt>
                <c:pt idx="75">
                  <c:v>27884</c:v>
                </c:pt>
                <c:pt idx="76">
                  <c:v>27885</c:v>
                </c:pt>
                <c:pt idx="77">
                  <c:v>27886</c:v>
                </c:pt>
                <c:pt idx="78">
                  <c:v>27887</c:v>
                </c:pt>
                <c:pt idx="79">
                  <c:v>27888</c:v>
                </c:pt>
                <c:pt idx="80">
                  <c:v>27889</c:v>
                </c:pt>
                <c:pt idx="81">
                  <c:v>27890</c:v>
                </c:pt>
                <c:pt idx="82">
                  <c:v>27891</c:v>
                </c:pt>
                <c:pt idx="83">
                  <c:v>27892</c:v>
                </c:pt>
                <c:pt idx="84">
                  <c:v>27893</c:v>
                </c:pt>
                <c:pt idx="85">
                  <c:v>27894</c:v>
                </c:pt>
                <c:pt idx="86">
                  <c:v>27895</c:v>
                </c:pt>
                <c:pt idx="87">
                  <c:v>27896</c:v>
                </c:pt>
                <c:pt idx="88">
                  <c:v>27897</c:v>
                </c:pt>
                <c:pt idx="89">
                  <c:v>27898</c:v>
                </c:pt>
                <c:pt idx="90">
                  <c:v>27899</c:v>
                </c:pt>
                <c:pt idx="91">
                  <c:v>27900</c:v>
                </c:pt>
                <c:pt idx="92">
                  <c:v>27901</c:v>
                </c:pt>
                <c:pt idx="93">
                  <c:v>27902</c:v>
                </c:pt>
                <c:pt idx="94">
                  <c:v>27903</c:v>
                </c:pt>
                <c:pt idx="95">
                  <c:v>27904</c:v>
                </c:pt>
                <c:pt idx="96">
                  <c:v>27905</c:v>
                </c:pt>
                <c:pt idx="97">
                  <c:v>27906</c:v>
                </c:pt>
                <c:pt idx="98">
                  <c:v>27907</c:v>
                </c:pt>
                <c:pt idx="99">
                  <c:v>27908</c:v>
                </c:pt>
                <c:pt idx="100">
                  <c:v>27909</c:v>
                </c:pt>
                <c:pt idx="101">
                  <c:v>27910</c:v>
                </c:pt>
                <c:pt idx="102">
                  <c:v>27911</c:v>
                </c:pt>
                <c:pt idx="103">
                  <c:v>27912</c:v>
                </c:pt>
                <c:pt idx="104">
                  <c:v>27913</c:v>
                </c:pt>
                <c:pt idx="105">
                  <c:v>27914</c:v>
                </c:pt>
                <c:pt idx="106">
                  <c:v>27915</c:v>
                </c:pt>
                <c:pt idx="107">
                  <c:v>27916</c:v>
                </c:pt>
                <c:pt idx="108">
                  <c:v>27917</c:v>
                </c:pt>
                <c:pt idx="109">
                  <c:v>27918</c:v>
                </c:pt>
                <c:pt idx="110">
                  <c:v>27919</c:v>
                </c:pt>
                <c:pt idx="111">
                  <c:v>27920</c:v>
                </c:pt>
                <c:pt idx="112">
                  <c:v>27921</c:v>
                </c:pt>
                <c:pt idx="113">
                  <c:v>27922</c:v>
                </c:pt>
                <c:pt idx="114">
                  <c:v>27923</c:v>
                </c:pt>
                <c:pt idx="115">
                  <c:v>27924</c:v>
                </c:pt>
                <c:pt idx="116">
                  <c:v>27925</c:v>
                </c:pt>
                <c:pt idx="117">
                  <c:v>27926</c:v>
                </c:pt>
                <c:pt idx="118">
                  <c:v>27927</c:v>
                </c:pt>
                <c:pt idx="119">
                  <c:v>27928</c:v>
                </c:pt>
                <c:pt idx="120">
                  <c:v>27929</c:v>
                </c:pt>
                <c:pt idx="121">
                  <c:v>27930</c:v>
                </c:pt>
                <c:pt idx="122">
                  <c:v>27931</c:v>
                </c:pt>
                <c:pt idx="123">
                  <c:v>27932</c:v>
                </c:pt>
              </c:numCache>
            </c:numRef>
          </c:xVal>
          <c:yVal>
            <c:numRef>
              <c:f>'13C'!$S$2:$S$125</c:f>
              <c:numCache>
                <c:formatCode>General</c:formatCode>
                <c:ptCount val="124"/>
                <c:pt idx="0">
                  <c:v>0.433</c:v>
                </c:pt>
                <c:pt idx="1">
                  <c:v>0.39700000000000002</c:v>
                </c:pt>
                <c:pt idx="2">
                  <c:v>0.318</c:v>
                </c:pt>
                <c:pt idx="3">
                  <c:v>0.32500000000000001</c:v>
                </c:pt>
                <c:pt idx="4">
                  <c:v>0.44700000000000001</c:v>
                </c:pt>
                <c:pt idx="5">
                  <c:v>0.442</c:v>
                </c:pt>
                <c:pt idx="6">
                  <c:v>0.48099999999999998</c:v>
                </c:pt>
                <c:pt idx="7">
                  <c:v>0.252</c:v>
                </c:pt>
                <c:pt idx="8">
                  <c:v>0.33700000000000002</c:v>
                </c:pt>
                <c:pt idx="9">
                  <c:v>0.251</c:v>
                </c:pt>
                <c:pt idx="10">
                  <c:v>0.42399999999999999</c:v>
                </c:pt>
                <c:pt idx="11">
                  <c:v>0.36499999999999999</c:v>
                </c:pt>
                <c:pt idx="12">
                  <c:v>0.52300000000000002</c:v>
                </c:pt>
                <c:pt idx="13">
                  <c:v>0.40200000000000002</c:v>
                </c:pt>
                <c:pt idx="14">
                  <c:v>0.32200000000000001</c:v>
                </c:pt>
                <c:pt idx="15">
                  <c:v>0.45700000000000002</c:v>
                </c:pt>
                <c:pt idx="16">
                  <c:v>0.17499999999999999</c:v>
                </c:pt>
                <c:pt idx="17">
                  <c:v>0.29099999999999998</c:v>
                </c:pt>
                <c:pt idx="18">
                  <c:v>0.42899999999999999</c:v>
                </c:pt>
                <c:pt idx="19">
                  <c:v>0.43099999999999999</c:v>
                </c:pt>
                <c:pt idx="20">
                  <c:v>0.30499999999999999</c:v>
                </c:pt>
                <c:pt idx="21">
                  <c:v>0.14299999999999999</c:v>
                </c:pt>
                <c:pt idx="22">
                  <c:v>0.36699999999999999</c:v>
                </c:pt>
                <c:pt idx="23">
                  <c:v>0.44400000000000001</c:v>
                </c:pt>
                <c:pt idx="24">
                  <c:v>0.14899999999999999</c:v>
                </c:pt>
                <c:pt idx="25">
                  <c:v>0.315</c:v>
                </c:pt>
                <c:pt idx="26">
                  <c:v>0.52300000000000002</c:v>
                </c:pt>
                <c:pt idx="27">
                  <c:v>0.57299999999999995</c:v>
                </c:pt>
                <c:pt idx="28">
                  <c:v>0.26700000000000002</c:v>
                </c:pt>
                <c:pt idx="29">
                  <c:v>0.12</c:v>
                </c:pt>
                <c:pt idx="30">
                  <c:v>0.624</c:v>
                </c:pt>
                <c:pt idx="31">
                  <c:v>0.498</c:v>
                </c:pt>
                <c:pt idx="32">
                  <c:v>0.4</c:v>
                </c:pt>
                <c:pt idx="33">
                  <c:v>0.54800000000000004</c:v>
                </c:pt>
                <c:pt idx="34">
                  <c:v>0.40100000000000002</c:v>
                </c:pt>
                <c:pt idx="35">
                  <c:v>0.121</c:v>
                </c:pt>
                <c:pt idx="36">
                  <c:v>0.32900000000000001</c:v>
                </c:pt>
                <c:pt idx="37">
                  <c:v>0.12</c:v>
                </c:pt>
                <c:pt idx="38">
                  <c:v>0.47899999999999998</c:v>
                </c:pt>
                <c:pt idx="39">
                  <c:v>0.108</c:v>
                </c:pt>
                <c:pt idx="40">
                  <c:v>0.21099999999999999</c:v>
                </c:pt>
                <c:pt idx="41">
                  <c:v>0.39400000000000002</c:v>
                </c:pt>
                <c:pt idx="42">
                  <c:v>0.28299999999999997</c:v>
                </c:pt>
                <c:pt idx="43">
                  <c:v>0.122</c:v>
                </c:pt>
                <c:pt idx="44">
                  <c:v>0.56200000000000006</c:v>
                </c:pt>
                <c:pt idx="45">
                  <c:v>0.44400000000000001</c:v>
                </c:pt>
                <c:pt idx="46">
                  <c:v>0.14000000000000001</c:v>
                </c:pt>
                <c:pt idx="47">
                  <c:v>0.311</c:v>
                </c:pt>
                <c:pt idx="48">
                  <c:v>0.49299999999999999</c:v>
                </c:pt>
                <c:pt idx="49">
                  <c:v>0.26</c:v>
                </c:pt>
                <c:pt idx="50">
                  <c:v>0.59099999999999997</c:v>
                </c:pt>
                <c:pt idx="51">
                  <c:v>0.20699999999999999</c:v>
                </c:pt>
                <c:pt idx="52">
                  <c:v>0.13</c:v>
                </c:pt>
                <c:pt idx="53">
                  <c:v>0.31</c:v>
                </c:pt>
                <c:pt idx="54">
                  <c:v>0.13200000000000001</c:v>
                </c:pt>
                <c:pt idx="55">
                  <c:v>0.307</c:v>
                </c:pt>
                <c:pt idx="56">
                  <c:v>0.53700000000000003</c:v>
                </c:pt>
                <c:pt idx="57">
                  <c:v>0.129</c:v>
                </c:pt>
                <c:pt idx="58">
                  <c:v>0.33300000000000002</c:v>
                </c:pt>
                <c:pt idx="59">
                  <c:v>0.25800000000000001</c:v>
                </c:pt>
                <c:pt idx="60">
                  <c:v>0.41</c:v>
                </c:pt>
                <c:pt idx="61">
                  <c:v>0.45400000000000001</c:v>
                </c:pt>
                <c:pt idx="62">
                  <c:v>0.434</c:v>
                </c:pt>
                <c:pt idx="63">
                  <c:v>0.35399999999999998</c:v>
                </c:pt>
                <c:pt idx="64">
                  <c:v>0.28999999999999998</c:v>
                </c:pt>
                <c:pt idx="65">
                  <c:v>0.57799999999999996</c:v>
                </c:pt>
                <c:pt idx="66">
                  <c:v>0.27100000000000002</c:v>
                </c:pt>
                <c:pt idx="67">
                  <c:v>0.36</c:v>
                </c:pt>
                <c:pt idx="68">
                  <c:v>0.129</c:v>
                </c:pt>
                <c:pt idx="69">
                  <c:v>0.31</c:v>
                </c:pt>
                <c:pt idx="70">
                  <c:v>0.26600000000000001</c:v>
                </c:pt>
                <c:pt idx="71">
                  <c:v>0.46899999999999997</c:v>
                </c:pt>
                <c:pt idx="72">
                  <c:v>0.192</c:v>
                </c:pt>
                <c:pt idx="73">
                  <c:v>0.25700000000000001</c:v>
                </c:pt>
                <c:pt idx="74">
                  <c:v>0.122</c:v>
                </c:pt>
                <c:pt idx="75">
                  <c:v>0.185</c:v>
                </c:pt>
                <c:pt idx="76">
                  <c:v>0.48499999999999999</c:v>
                </c:pt>
                <c:pt idx="77">
                  <c:v>0.245</c:v>
                </c:pt>
                <c:pt idx="78">
                  <c:v>0.44</c:v>
                </c:pt>
                <c:pt idx="79">
                  <c:v>0.51700000000000002</c:v>
                </c:pt>
                <c:pt idx="80">
                  <c:v>0.31900000000000001</c:v>
                </c:pt>
                <c:pt idx="81">
                  <c:v>0.624</c:v>
                </c:pt>
                <c:pt idx="82">
                  <c:v>0.35899999999999999</c:v>
                </c:pt>
                <c:pt idx="83">
                  <c:v>0.26300000000000001</c:v>
                </c:pt>
                <c:pt idx="84">
                  <c:v>0.13700000000000001</c:v>
                </c:pt>
                <c:pt idx="85">
                  <c:v>0.46899999999999997</c:v>
                </c:pt>
                <c:pt idx="86">
                  <c:v>0.125</c:v>
                </c:pt>
                <c:pt idx="87">
                  <c:v>0.33</c:v>
                </c:pt>
                <c:pt idx="88">
                  <c:v>0.32600000000000001</c:v>
                </c:pt>
                <c:pt idx="89">
                  <c:v>0.45100000000000001</c:v>
                </c:pt>
                <c:pt idx="90">
                  <c:v>0.13100000000000001</c:v>
                </c:pt>
                <c:pt idx="91">
                  <c:v>0.32600000000000001</c:v>
                </c:pt>
                <c:pt idx="92">
                  <c:v>0.53300000000000003</c:v>
                </c:pt>
                <c:pt idx="93">
                  <c:v>0.151</c:v>
                </c:pt>
                <c:pt idx="94">
                  <c:v>0.28999999999999998</c:v>
                </c:pt>
                <c:pt idx="95">
                  <c:v>0.184</c:v>
                </c:pt>
                <c:pt idx="96">
                  <c:v>0.35299999999999998</c:v>
                </c:pt>
                <c:pt idx="97">
                  <c:v>0.26600000000000001</c:v>
                </c:pt>
                <c:pt idx="98">
                  <c:v>0.15</c:v>
                </c:pt>
                <c:pt idx="99">
                  <c:v>0.13400000000000001</c:v>
                </c:pt>
                <c:pt idx="100">
                  <c:v>0.32100000000000001</c:v>
                </c:pt>
                <c:pt idx="101">
                  <c:v>0.23799999999999999</c:v>
                </c:pt>
                <c:pt idx="102">
                  <c:v>0.33</c:v>
                </c:pt>
                <c:pt idx="103">
                  <c:v>0.48199999999999998</c:v>
                </c:pt>
                <c:pt idx="104">
                  <c:v>0.42299999999999999</c:v>
                </c:pt>
                <c:pt idx="105">
                  <c:v>0.58799999999999997</c:v>
                </c:pt>
                <c:pt idx="106">
                  <c:v>0.29299999999999998</c:v>
                </c:pt>
                <c:pt idx="107">
                  <c:v>0.55500000000000005</c:v>
                </c:pt>
                <c:pt idx="108">
                  <c:v>0.13300000000000001</c:v>
                </c:pt>
                <c:pt idx="109">
                  <c:v>0.17</c:v>
                </c:pt>
                <c:pt idx="110">
                  <c:v>0.27</c:v>
                </c:pt>
                <c:pt idx="111">
                  <c:v>0.32700000000000001</c:v>
                </c:pt>
                <c:pt idx="112">
                  <c:v>0.38200000000000001</c:v>
                </c:pt>
                <c:pt idx="113">
                  <c:v>0.33600000000000002</c:v>
                </c:pt>
                <c:pt idx="114">
                  <c:v>0.503</c:v>
                </c:pt>
                <c:pt idx="115">
                  <c:v>0.16300000000000001</c:v>
                </c:pt>
                <c:pt idx="116">
                  <c:v>0.47799999999999998</c:v>
                </c:pt>
                <c:pt idx="117">
                  <c:v>0.61299999999999999</c:v>
                </c:pt>
                <c:pt idx="118">
                  <c:v>0.27</c:v>
                </c:pt>
                <c:pt idx="119">
                  <c:v>0.443</c:v>
                </c:pt>
                <c:pt idx="120">
                  <c:v>0.41</c:v>
                </c:pt>
                <c:pt idx="121">
                  <c:v>0.48799999999999999</c:v>
                </c:pt>
                <c:pt idx="122">
                  <c:v>0.308</c:v>
                </c:pt>
                <c:pt idx="123">
                  <c:v>0.32</c:v>
                </c:pt>
              </c:numCache>
            </c:numRef>
          </c:yVal>
          <c:smooth val="0"/>
          <c:extLst>
            <c:ext xmlns:c16="http://schemas.microsoft.com/office/drawing/2014/chart" uri="{C3380CC4-5D6E-409C-BE32-E72D297353CC}">
              <c16:uniqueId val="{00000002-35E7-EC48-A860-6E7CEB490DA8}"/>
            </c:ext>
          </c:extLst>
        </c:ser>
        <c:dLbls>
          <c:showLegendKey val="0"/>
          <c:showVal val="0"/>
          <c:showCatName val="0"/>
          <c:showSerName val="0"/>
          <c:showPercent val="0"/>
          <c:showBubbleSize val="0"/>
        </c:dLbls>
        <c:axId val="168391944"/>
        <c:axId val="168392336"/>
      </c:scatterChart>
      <c:valAx>
        <c:axId val="1683919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2336"/>
        <c:crosses val="autoZero"/>
        <c:crossBetween val="midCat"/>
      </c:valAx>
      <c:valAx>
        <c:axId val="168392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d13C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19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1"/>
          <c:tx>
            <c:strRef>
              <c:f>'13C'!$M$1</c:f>
              <c:strCache>
                <c:ptCount val="1"/>
                <c:pt idx="0">
                  <c:v>Ampl. 44</c:v>
                </c:pt>
              </c:strCache>
            </c:strRef>
          </c:tx>
          <c:spPr>
            <a:ln w="25400" cap="rnd">
              <a:noFill/>
              <a:round/>
            </a:ln>
            <a:effectLst/>
          </c:spPr>
          <c:marker>
            <c:symbol val="circle"/>
            <c:size val="7"/>
            <c:spPr>
              <a:noFill/>
              <a:ln w="9525">
                <a:solidFill>
                  <a:srgbClr val="FF0000"/>
                </a:solidFill>
              </a:ln>
              <a:effectLst/>
            </c:spPr>
          </c:marker>
          <c:xVal>
            <c:numRef>
              <c:f>'13C'!$B$2:$B$125</c:f>
              <c:numCache>
                <c:formatCode>General</c:formatCode>
                <c:ptCount val="124"/>
                <c:pt idx="0">
                  <c:v>27808</c:v>
                </c:pt>
                <c:pt idx="1">
                  <c:v>27809</c:v>
                </c:pt>
                <c:pt idx="2">
                  <c:v>27810</c:v>
                </c:pt>
                <c:pt idx="3">
                  <c:v>27812</c:v>
                </c:pt>
                <c:pt idx="4">
                  <c:v>27813</c:v>
                </c:pt>
                <c:pt idx="5">
                  <c:v>27814</c:v>
                </c:pt>
                <c:pt idx="6">
                  <c:v>27815</c:v>
                </c:pt>
                <c:pt idx="7">
                  <c:v>27816</c:v>
                </c:pt>
                <c:pt idx="8">
                  <c:v>27817</c:v>
                </c:pt>
                <c:pt idx="9">
                  <c:v>27818</c:v>
                </c:pt>
                <c:pt idx="10">
                  <c:v>27819</c:v>
                </c:pt>
                <c:pt idx="11">
                  <c:v>27820</c:v>
                </c:pt>
                <c:pt idx="12">
                  <c:v>27821</c:v>
                </c:pt>
                <c:pt idx="13">
                  <c:v>27822</c:v>
                </c:pt>
                <c:pt idx="14">
                  <c:v>27823</c:v>
                </c:pt>
                <c:pt idx="15">
                  <c:v>27824</c:v>
                </c:pt>
                <c:pt idx="16">
                  <c:v>27825</c:v>
                </c:pt>
                <c:pt idx="17">
                  <c:v>27826</c:v>
                </c:pt>
                <c:pt idx="18">
                  <c:v>27827</c:v>
                </c:pt>
                <c:pt idx="19">
                  <c:v>27828</c:v>
                </c:pt>
                <c:pt idx="20">
                  <c:v>27829</c:v>
                </c:pt>
                <c:pt idx="21">
                  <c:v>27830</c:v>
                </c:pt>
                <c:pt idx="22">
                  <c:v>27831</c:v>
                </c:pt>
                <c:pt idx="23">
                  <c:v>27832</c:v>
                </c:pt>
                <c:pt idx="24">
                  <c:v>27833</c:v>
                </c:pt>
                <c:pt idx="25">
                  <c:v>27834</c:v>
                </c:pt>
                <c:pt idx="26">
                  <c:v>27835</c:v>
                </c:pt>
                <c:pt idx="27">
                  <c:v>27836</c:v>
                </c:pt>
                <c:pt idx="28">
                  <c:v>27837</c:v>
                </c:pt>
                <c:pt idx="29">
                  <c:v>27838</c:v>
                </c:pt>
                <c:pt idx="30">
                  <c:v>27839</c:v>
                </c:pt>
                <c:pt idx="31">
                  <c:v>27840</c:v>
                </c:pt>
                <c:pt idx="32">
                  <c:v>27841</c:v>
                </c:pt>
                <c:pt idx="33">
                  <c:v>27842</c:v>
                </c:pt>
                <c:pt idx="34">
                  <c:v>27843</c:v>
                </c:pt>
                <c:pt idx="35">
                  <c:v>27844</c:v>
                </c:pt>
                <c:pt idx="36">
                  <c:v>27845</c:v>
                </c:pt>
                <c:pt idx="37">
                  <c:v>27846</c:v>
                </c:pt>
                <c:pt idx="38">
                  <c:v>27847</c:v>
                </c:pt>
                <c:pt idx="39">
                  <c:v>27848</c:v>
                </c:pt>
                <c:pt idx="40">
                  <c:v>27849</c:v>
                </c:pt>
                <c:pt idx="41">
                  <c:v>27850</c:v>
                </c:pt>
                <c:pt idx="42">
                  <c:v>27851</c:v>
                </c:pt>
                <c:pt idx="43">
                  <c:v>27852</c:v>
                </c:pt>
                <c:pt idx="44">
                  <c:v>27853</c:v>
                </c:pt>
                <c:pt idx="45">
                  <c:v>27854</c:v>
                </c:pt>
                <c:pt idx="46">
                  <c:v>27855</c:v>
                </c:pt>
                <c:pt idx="47">
                  <c:v>27856</c:v>
                </c:pt>
                <c:pt idx="48">
                  <c:v>27857</c:v>
                </c:pt>
                <c:pt idx="49">
                  <c:v>27858</c:v>
                </c:pt>
                <c:pt idx="50">
                  <c:v>27859</c:v>
                </c:pt>
                <c:pt idx="51">
                  <c:v>27860</c:v>
                </c:pt>
                <c:pt idx="52">
                  <c:v>27861</c:v>
                </c:pt>
                <c:pt idx="53">
                  <c:v>27862</c:v>
                </c:pt>
                <c:pt idx="54">
                  <c:v>27863</c:v>
                </c:pt>
                <c:pt idx="55">
                  <c:v>27864</c:v>
                </c:pt>
                <c:pt idx="56">
                  <c:v>27865</c:v>
                </c:pt>
                <c:pt idx="57">
                  <c:v>27866</c:v>
                </c:pt>
                <c:pt idx="58">
                  <c:v>27867</c:v>
                </c:pt>
                <c:pt idx="59">
                  <c:v>27868</c:v>
                </c:pt>
                <c:pt idx="60">
                  <c:v>27869</c:v>
                </c:pt>
                <c:pt idx="61">
                  <c:v>27870</c:v>
                </c:pt>
                <c:pt idx="62">
                  <c:v>27871</c:v>
                </c:pt>
                <c:pt idx="63">
                  <c:v>27872</c:v>
                </c:pt>
                <c:pt idx="64">
                  <c:v>27873</c:v>
                </c:pt>
                <c:pt idx="65">
                  <c:v>27874</c:v>
                </c:pt>
                <c:pt idx="66">
                  <c:v>27875</c:v>
                </c:pt>
                <c:pt idx="67">
                  <c:v>27876</c:v>
                </c:pt>
                <c:pt idx="68">
                  <c:v>27877</c:v>
                </c:pt>
                <c:pt idx="69">
                  <c:v>27878</c:v>
                </c:pt>
                <c:pt idx="70">
                  <c:v>27879</c:v>
                </c:pt>
                <c:pt idx="71">
                  <c:v>27880</c:v>
                </c:pt>
                <c:pt idx="72">
                  <c:v>27881</c:v>
                </c:pt>
                <c:pt idx="73">
                  <c:v>27882</c:v>
                </c:pt>
                <c:pt idx="74">
                  <c:v>27883</c:v>
                </c:pt>
                <c:pt idx="75">
                  <c:v>27884</c:v>
                </c:pt>
                <c:pt idx="76">
                  <c:v>27885</c:v>
                </c:pt>
                <c:pt idx="77">
                  <c:v>27886</c:v>
                </c:pt>
                <c:pt idx="78">
                  <c:v>27887</c:v>
                </c:pt>
                <c:pt idx="79">
                  <c:v>27888</c:v>
                </c:pt>
                <c:pt idx="80">
                  <c:v>27889</c:v>
                </c:pt>
                <c:pt idx="81">
                  <c:v>27890</c:v>
                </c:pt>
                <c:pt idx="82">
                  <c:v>27891</c:v>
                </c:pt>
                <c:pt idx="83">
                  <c:v>27892</c:v>
                </c:pt>
                <c:pt idx="84">
                  <c:v>27893</c:v>
                </c:pt>
                <c:pt idx="85">
                  <c:v>27894</c:v>
                </c:pt>
                <c:pt idx="86">
                  <c:v>27895</c:v>
                </c:pt>
                <c:pt idx="87">
                  <c:v>27896</c:v>
                </c:pt>
                <c:pt idx="88">
                  <c:v>27897</c:v>
                </c:pt>
                <c:pt idx="89">
                  <c:v>27898</c:v>
                </c:pt>
                <c:pt idx="90">
                  <c:v>27899</c:v>
                </c:pt>
                <c:pt idx="91">
                  <c:v>27900</c:v>
                </c:pt>
                <c:pt idx="92">
                  <c:v>27901</c:v>
                </c:pt>
                <c:pt idx="93">
                  <c:v>27902</c:v>
                </c:pt>
                <c:pt idx="94">
                  <c:v>27903</c:v>
                </c:pt>
                <c:pt idx="95">
                  <c:v>27904</c:v>
                </c:pt>
                <c:pt idx="96">
                  <c:v>27905</c:v>
                </c:pt>
                <c:pt idx="97">
                  <c:v>27906</c:v>
                </c:pt>
                <c:pt idx="98">
                  <c:v>27907</c:v>
                </c:pt>
                <c:pt idx="99">
                  <c:v>27908</c:v>
                </c:pt>
                <c:pt idx="100">
                  <c:v>27909</c:v>
                </c:pt>
                <c:pt idx="101">
                  <c:v>27910</c:v>
                </c:pt>
                <c:pt idx="102">
                  <c:v>27911</c:v>
                </c:pt>
                <c:pt idx="103">
                  <c:v>27912</c:v>
                </c:pt>
                <c:pt idx="104">
                  <c:v>27913</c:v>
                </c:pt>
                <c:pt idx="105">
                  <c:v>27914</c:v>
                </c:pt>
                <c:pt idx="106">
                  <c:v>27915</c:v>
                </c:pt>
                <c:pt idx="107">
                  <c:v>27916</c:v>
                </c:pt>
                <c:pt idx="108">
                  <c:v>27917</c:v>
                </c:pt>
                <c:pt idx="109">
                  <c:v>27918</c:v>
                </c:pt>
                <c:pt idx="110">
                  <c:v>27919</c:v>
                </c:pt>
                <c:pt idx="111">
                  <c:v>27920</c:v>
                </c:pt>
                <c:pt idx="112">
                  <c:v>27921</c:v>
                </c:pt>
                <c:pt idx="113">
                  <c:v>27922</c:v>
                </c:pt>
                <c:pt idx="114">
                  <c:v>27923</c:v>
                </c:pt>
                <c:pt idx="115">
                  <c:v>27924</c:v>
                </c:pt>
                <c:pt idx="116">
                  <c:v>27925</c:v>
                </c:pt>
                <c:pt idx="117">
                  <c:v>27926</c:v>
                </c:pt>
                <c:pt idx="118">
                  <c:v>27927</c:v>
                </c:pt>
                <c:pt idx="119">
                  <c:v>27928</c:v>
                </c:pt>
                <c:pt idx="120">
                  <c:v>27929</c:v>
                </c:pt>
                <c:pt idx="121">
                  <c:v>27930</c:v>
                </c:pt>
                <c:pt idx="122">
                  <c:v>27931</c:v>
                </c:pt>
                <c:pt idx="123">
                  <c:v>27932</c:v>
                </c:pt>
              </c:numCache>
            </c:numRef>
          </c:xVal>
          <c:yVal>
            <c:numRef>
              <c:f>'13C'!$M$2:$M$125</c:f>
              <c:numCache>
                <c:formatCode>General</c:formatCode>
                <c:ptCount val="124"/>
                <c:pt idx="0">
                  <c:v>3696</c:v>
                </c:pt>
                <c:pt idx="1">
                  <c:v>3406</c:v>
                </c:pt>
                <c:pt idx="2">
                  <c:v>2739</c:v>
                </c:pt>
                <c:pt idx="3">
                  <c:v>4071</c:v>
                </c:pt>
                <c:pt idx="4">
                  <c:v>4055</c:v>
                </c:pt>
                <c:pt idx="5">
                  <c:v>3808</c:v>
                </c:pt>
                <c:pt idx="6">
                  <c:v>4118</c:v>
                </c:pt>
                <c:pt idx="7">
                  <c:v>3191</c:v>
                </c:pt>
                <c:pt idx="8">
                  <c:v>4232</c:v>
                </c:pt>
                <c:pt idx="9">
                  <c:v>3208</c:v>
                </c:pt>
                <c:pt idx="10">
                  <c:v>5255</c:v>
                </c:pt>
                <c:pt idx="11">
                  <c:v>4583</c:v>
                </c:pt>
                <c:pt idx="12">
                  <c:v>4518</c:v>
                </c:pt>
                <c:pt idx="13">
                  <c:v>5011</c:v>
                </c:pt>
                <c:pt idx="14">
                  <c:v>4087</c:v>
                </c:pt>
                <c:pt idx="15">
                  <c:v>5638</c:v>
                </c:pt>
                <c:pt idx="16">
                  <c:v>2084</c:v>
                </c:pt>
                <c:pt idx="17">
                  <c:v>3695</c:v>
                </c:pt>
                <c:pt idx="18">
                  <c:v>5325</c:v>
                </c:pt>
                <c:pt idx="19">
                  <c:v>5345</c:v>
                </c:pt>
                <c:pt idx="20">
                  <c:v>3878</c:v>
                </c:pt>
                <c:pt idx="21">
                  <c:v>1535</c:v>
                </c:pt>
                <c:pt idx="22">
                  <c:v>4611</c:v>
                </c:pt>
                <c:pt idx="23">
                  <c:v>5500</c:v>
                </c:pt>
                <c:pt idx="24">
                  <c:v>1811</c:v>
                </c:pt>
                <c:pt idx="25">
                  <c:v>4002</c:v>
                </c:pt>
                <c:pt idx="26">
                  <c:v>4514</c:v>
                </c:pt>
                <c:pt idx="27">
                  <c:v>4948</c:v>
                </c:pt>
                <c:pt idx="28">
                  <c:v>3425</c:v>
                </c:pt>
                <c:pt idx="29">
                  <c:v>1502</c:v>
                </c:pt>
                <c:pt idx="30">
                  <c:v>5367</c:v>
                </c:pt>
                <c:pt idx="31">
                  <c:v>4326</c:v>
                </c:pt>
                <c:pt idx="32">
                  <c:v>5003</c:v>
                </c:pt>
                <c:pt idx="33">
                  <c:v>4731</c:v>
                </c:pt>
                <c:pt idx="34">
                  <c:v>5016</c:v>
                </c:pt>
                <c:pt idx="35">
                  <c:v>1509</c:v>
                </c:pt>
                <c:pt idx="36">
                  <c:v>4170</c:v>
                </c:pt>
                <c:pt idx="37">
                  <c:v>1330</c:v>
                </c:pt>
                <c:pt idx="38">
                  <c:v>4166</c:v>
                </c:pt>
                <c:pt idx="39">
                  <c:v>1220</c:v>
                </c:pt>
                <c:pt idx="40">
                  <c:v>2438</c:v>
                </c:pt>
                <c:pt idx="41">
                  <c:v>4929</c:v>
                </c:pt>
                <c:pt idx="42">
                  <c:v>3620</c:v>
                </c:pt>
                <c:pt idx="43">
                  <c:v>1515</c:v>
                </c:pt>
                <c:pt idx="44">
                  <c:v>4846</c:v>
                </c:pt>
                <c:pt idx="45">
                  <c:v>5496</c:v>
                </c:pt>
                <c:pt idx="46">
                  <c:v>1719</c:v>
                </c:pt>
                <c:pt idx="47">
                  <c:v>3961</c:v>
                </c:pt>
                <c:pt idx="48">
                  <c:v>4286</c:v>
                </c:pt>
                <c:pt idx="49">
                  <c:v>3339</c:v>
                </c:pt>
                <c:pt idx="50">
                  <c:v>5097</c:v>
                </c:pt>
                <c:pt idx="51">
                  <c:v>2405</c:v>
                </c:pt>
                <c:pt idx="52">
                  <c:v>1605</c:v>
                </c:pt>
                <c:pt idx="53">
                  <c:v>3937</c:v>
                </c:pt>
                <c:pt idx="54">
                  <c:v>1632</c:v>
                </c:pt>
                <c:pt idx="55">
                  <c:v>3897</c:v>
                </c:pt>
                <c:pt idx="56">
                  <c:v>4652</c:v>
                </c:pt>
                <c:pt idx="57">
                  <c:v>1592</c:v>
                </c:pt>
                <c:pt idx="58">
                  <c:v>4242</c:v>
                </c:pt>
                <c:pt idx="59">
                  <c:v>3296</c:v>
                </c:pt>
                <c:pt idx="60">
                  <c:v>3759</c:v>
                </c:pt>
                <c:pt idx="61">
                  <c:v>3942</c:v>
                </c:pt>
                <c:pt idx="62">
                  <c:v>3774</c:v>
                </c:pt>
                <c:pt idx="63">
                  <c:v>3121</c:v>
                </c:pt>
                <c:pt idx="64">
                  <c:v>3688</c:v>
                </c:pt>
                <c:pt idx="65">
                  <c:v>4982</c:v>
                </c:pt>
                <c:pt idx="66">
                  <c:v>3465</c:v>
                </c:pt>
                <c:pt idx="67">
                  <c:v>4518</c:v>
                </c:pt>
                <c:pt idx="68">
                  <c:v>1591</c:v>
                </c:pt>
                <c:pt idx="69">
                  <c:v>3953</c:v>
                </c:pt>
                <c:pt idx="70">
                  <c:v>3402</c:v>
                </c:pt>
                <c:pt idx="71">
                  <c:v>4080</c:v>
                </c:pt>
                <c:pt idx="72">
                  <c:v>2259</c:v>
                </c:pt>
                <c:pt idx="73">
                  <c:v>3295</c:v>
                </c:pt>
                <c:pt idx="74">
                  <c:v>1519</c:v>
                </c:pt>
                <c:pt idx="75">
                  <c:v>2189</c:v>
                </c:pt>
                <c:pt idx="76">
                  <c:v>4231</c:v>
                </c:pt>
                <c:pt idx="77">
                  <c:v>3142</c:v>
                </c:pt>
                <c:pt idx="78">
                  <c:v>5441</c:v>
                </c:pt>
                <c:pt idx="79">
                  <c:v>4476</c:v>
                </c:pt>
                <c:pt idx="80">
                  <c:v>4046</c:v>
                </c:pt>
                <c:pt idx="81">
                  <c:v>5359</c:v>
                </c:pt>
                <c:pt idx="82">
                  <c:v>4505</c:v>
                </c:pt>
                <c:pt idx="83">
                  <c:v>3358</c:v>
                </c:pt>
                <c:pt idx="84">
                  <c:v>1677</c:v>
                </c:pt>
                <c:pt idx="85">
                  <c:v>4073</c:v>
                </c:pt>
                <c:pt idx="86">
                  <c:v>1544</c:v>
                </c:pt>
                <c:pt idx="87">
                  <c:v>2915</c:v>
                </c:pt>
                <c:pt idx="88">
                  <c:v>4128</c:v>
                </c:pt>
                <c:pt idx="89">
                  <c:v>5562</c:v>
                </c:pt>
                <c:pt idx="90">
                  <c:v>1614</c:v>
                </c:pt>
                <c:pt idx="91">
                  <c:v>4129</c:v>
                </c:pt>
                <c:pt idx="92">
                  <c:v>4601</c:v>
                </c:pt>
                <c:pt idx="93">
                  <c:v>1833</c:v>
                </c:pt>
                <c:pt idx="94">
                  <c:v>3680</c:v>
                </c:pt>
                <c:pt idx="95">
                  <c:v>2169</c:v>
                </c:pt>
                <c:pt idx="96">
                  <c:v>3098</c:v>
                </c:pt>
                <c:pt idx="97">
                  <c:v>3393</c:v>
                </c:pt>
                <c:pt idx="98">
                  <c:v>1816</c:v>
                </c:pt>
                <c:pt idx="99">
                  <c:v>1652</c:v>
                </c:pt>
                <c:pt idx="100">
                  <c:v>4060</c:v>
                </c:pt>
                <c:pt idx="101">
                  <c:v>3051</c:v>
                </c:pt>
                <c:pt idx="102">
                  <c:v>4159</c:v>
                </c:pt>
                <c:pt idx="103">
                  <c:v>4176</c:v>
                </c:pt>
                <c:pt idx="104">
                  <c:v>5223</c:v>
                </c:pt>
                <c:pt idx="105">
                  <c:v>5052</c:v>
                </c:pt>
                <c:pt idx="106">
                  <c:v>3719</c:v>
                </c:pt>
                <c:pt idx="107">
                  <c:v>4780</c:v>
                </c:pt>
                <c:pt idx="108">
                  <c:v>1637</c:v>
                </c:pt>
                <c:pt idx="109">
                  <c:v>2025</c:v>
                </c:pt>
                <c:pt idx="110">
                  <c:v>3443</c:v>
                </c:pt>
                <c:pt idx="111">
                  <c:v>4133</c:v>
                </c:pt>
                <c:pt idx="112">
                  <c:v>4783</c:v>
                </c:pt>
                <c:pt idx="113">
                  <c:v>4264</c:v>
                </c:pt>
                <c:pt idx="114">
                  <c:v>4354</c:v>
                </c:pt>
                <c:pt idx="115">
                  <c:v>1955</c:v>
                </c:pt>
                <c:pt idx="116">
                  <c:v>4170</c:v>
                </c:pt>
                <c:pt idx="117">
                  <c:v>5260</c:v>
                </c:pt>
                <c:pt idx="118">
                  <c:v>3416</c:v>
                </c:pt>
                <c:pt idx="119">
                  <c:v>4047</c:v>
                </c:pt>
                <c:pt idx="120">
                  <c:v>3555</c:v>
                </c:pt>
                <c:pt idx="121">
                  <c:v>4207</c:v>
                </c:pt>
                <c:pt idx="122">
                  <c:v>3908</c:v>
                </c:pt>
                <c:pt idx="123">
                  <c:v>4053</c:v>
                </c:pt>
              </c:numCache>
            </c:numRef>
          </c:yVal>
          <c:smooth val="0"/>
          <c:extLst>
            <c:ext xmlns:c16="http://schemas.microsoft.com/office/drawing/2014/chart" uri="{C3380CC4-5D6E-409C-BE32-E72D297353CC}">
              <c16:uniqueId val="{00000000-7680-584F-BB89-2078384B31FF}"/>
            </c:ext>
          </c:extLst>
        </c:ser>
        <c:dLbls>
          <c:showLegendKey val="0"/>
          <c:showVal val="0"/>
          <c:showCatName val="0"/>
          <c:showSerName val="0"/>
          <c:showPercent val="0"/>
          <c:showBubbleSize val="0"/>
        </c:dLbls>
        <c:axId val="168393120"/>
        <c:axId val="168393512"/>
      </c:scatterChart>
      <c:scatterChart>
        <c:scatterStyle val="lineMarker"/>
        <c:varyColors val="0"/>
        <c:ser>
          <c:idx val="1"/>
          <c:order val="0"/>
          <c:tx>
            <c:strRef>
              <c:f>'13C'!$H$1</c:f>
              <c:strCache>
                <c:ptCount val="1"/>
                <c:pt idx="0">
                  <c:v>Rt</c:v>
                </c:pt>
              </c:strCache>
            </c:strRef>
          </c:tx>
          <c:spPr>
            <a:ln w="25400" cap="rnd">
              <a:noFill/>
              <a:round/>
            </a:ln>
            <a:effectLst/>
          </c:spPr>
          <c:marker>
            <c:symbol val="circle"/>
            <c:size val="5"/>
            <c:spPr>
              <a:noFill/>
              <a:ln w="9525">
                <a:solidFill>
                  <a:srgbClr val="00B0F0"/>
                </a:solidFill>
              </a:ln>
              <a:effectLst/>
            </c:spPr>
          </c:marker>
          <c:xVal>
            <c:numRef>
              <c:f>'13C'!$B$2:$B$125</c:f>
              <c:numCache>
                <c:formatCode>General</c:formatCode>
                <c:ptCount val="124"/>
                <c:pt idx="0">
                  <c:v>27808</c:v>
                </c:pt>
                <c:pt idx="1">
                  <c:v>27809</c:v>
                </c:pt>
                <c:pt idx="2">
                  <c:v>27810</c:v>
                </c:pt>
                <c:pt idx="3">
                  <c:v>27812</c:v>
                </c:pt>
                <c:pt idx="4">
                  <c:v>27813</c:v>
                </c:pt>
                <c:pt idx="5">
                  <c:v>27814</c:v>
                </c:pt>
                <c:pt idx="6">
                  <c:v>27815</c:v>
                </c:pt>
                <c:pt idx="7">
                  <c:v>27816</c:v>
                </c:pt>
                <c:pt idx="8">
                  <c:v>27817</c:v>
                </c:pt>
                <c:pt idx="9">
                  <c:v>27818</c:v>
                </c:pt>
                <c:pt idx="10">
                  <c:v>27819</c:v>
                </c:pt>
                <c:pt idx="11">
                  <c:v>27820</c:v>
                </c:pt>
                <c:pt idx="12">
                  <c:v>27821</c:v>
                </c:pt>
                <c:pt idx="13">
                  <c:v>27822</c:v>
                </c:pt>
                <c:pt idx="14">
                  <c:v>27823</c:v>
                </c:pt>
                <c:pt idx="15">
                  <c:v>27824</c:v>
                </c:pt>
                <c:pt idx="16">
                  <c:v>27825</c:v>
                </c:pt>
                <c:pt idx="17">
                  <c:v>27826</c:v>
                </c:pt>
                <c:pt idx="18">
                  <c:v>27827</c:v>
                </c:pt>
                <c:pt idx="19">
                  <c:v>27828</c:v>
                </c:pt>
                <c:pt idx="20">
                  <c:v>27829</c:v>
                </c:pt>
                <c:pt idx="21">
                  <c:v>27830</c:v>
                </c:pt>
                <c:pt idx="22">
                  <c:v>27831</c:v>
                </c:pt>
                <c:pt idx="23">
                  <c:v>27832</c:v>
                </c:pt>
                <c:pt idx="24">
                  <c:v>27833</c:v>
                </c:pt>
                <c:pt idx="25">
                  <c:v>27834</c:v>
                </c:pt>
                <c:pt idx="26">
                  <c:v>27835</c:v>
                </c:pt>
                <c:pt idx="27">
                  <c:v>27836</c:v>
                </c:pt>
                <c:pt idx="28">
                  <c:v>27837</c:v>
                </c:pt>
                <c:pt idx="29">
                  <c:v>27838</c:v>
                </c:pt>
                <c:pt idx="30">
                  <c:v>27839</c:v>
                </c:pt>
                <c:pt idx="31">
                  <c:v>27840</c:v>
                </c:pt>
                <c:pt idx="32">
                  <c:v>27841</c:v>
                </c:pt>
                <c:pt idx="33">
                  <c:v>27842</c:v>
                </c:pt>
                <c:pt idx="34">
                  <c:v>27843</c:v>
                </c:pt>
                <c:pt idx="35">
                  <c:v>27844</c:v>
                </c:pt>
                <c:pt idx="36">
                  <c:v>27845</c:v>
                </c:pt>
                <c:pt idx="37">
                  <c:v>27846</c:v>
                </c:pt>
                <c:pt idx="38">
                  <c:v>27847</c:v>
                </c:pt>
                <c:pt idx="39">
                  <c:v>27848</c:v>
                </c:pt>
                <c:pt idx="40">
                  <c:v>27849</c:v>
                </c:pt>
                <c:pt idx="41">
                  <c:v>27850</c:v>
                </c:pt>
                <c:pt idx="42">
                  <c:v>27851</c:v>
                </c:pt>
                <c:pt idx="43">
                  <c:v>27852</c:v>
                </c:pt>
                <c:pt idx="44">
                  <c:v>27853</c:v>
                </c:pt>
                <c:pt idx="45">
                  <c:v>27854</c:v>
                </c:pt>
                <c:pt idx="46">
                  <c:v>27855</c:v>
                </c:pt>
                <c:pt idx="47">
                  <c:v>27856</c:v>
                </c:pt>
                <c:pt idx="48">
                  <c:v>27857</c:v>
                </c:pt>
                <c:pt idx="49">
                  <c:v>27858</c:v>
                </c:pt>
                <c:pt idx="50">
                  <c:v>27859</c:v>
                </c:pt>
                <c:pt idx="51">
                  <c:v>27860</c:v>
                </c:pt>
                <c:pt idx="52">
                  <c:v>27861</c:v>
                </c:pt>
                <c:pt idx="53">
                  <c:v>27862</c:v>
                </c:pt>
                <c:pt idx="54">
                  <c:v>27863</c:v>
                </c:pt>
                <c:pt idx="55">
                  <c:v>27864</c:v>
                </c:pt>
                <c:pt idx="56">
                  <c:v>27865</c:v>
                </c:pt>
                <c:pt idx="57">
                  <c:v>27866</c:v>
                </c:pt>
                <c:pt idx="58">
                  <c:v>27867</c:v>
                </c:pt>
                <c:pt idx="59">
                  <c:v>27868</c:v>
                </c:pt>
                <c:pt idx="60">
                  <c:v>27869</c:v>
                </c:pt>
                <c:pt idx="61">
                  <c:v>27870</c:v>
                </c:pt>
                <c:pt idx="62">
                  <c:v>27871</c:v>
                </c:pt>
                <c:pt idx="63">
                  <c:v>27872</c:v>
                </c:pt>
                <c:pt idx="64">
                  <c:v>27873</c:v>
                </c:pt>
                <c:pt idx="65">
                  <c:v>27874</c:v>
                </c:pt>
                <c:pt idx="66">
                  <c:v>27875</c:v>
                </c:pt>
                <c:pt idx="67">
                  <c:v>27876</c:v>
                </c:pt>
                <c:pt idx="68">
                  <c:v>27877</c:v>
                </c:pt>
                <c:pt idx="69">
                  <c:v>27878</c:v>
                </c:pt>
                <c:pt idx="70">
                  <c:v>27879</c:v>
                </c:pt>
                <c:pt idx="71">
                  <c:v>27880</c:v>
                </c:pt>
                <c:pt idx="72">
                  <c:v>27881</c:v>
                </c:pt>
                <c:pt idx="73">
                  <c:v>27882</c:v>
                </c:pt>
                <c:pt idx="74">
                  <c:v>27883</c:v>
                </c:pt>
                <c:pt idx="75">
                  <c:v>27884</c:v>
                </c:pt>
                <c:pt idx="76">
                  <c:v>27885</c:v>
                </c:pt>
                <c:pt idx="77">
                  <c:v>27886</c:v>
                </c:pt>
                <c:pt idx="78">
                  <c:v>27887</c:v>
                </c:pt>
                <c:pt idx="79">
                  <c:v>27888</c:v>
                </c:pt>
                <c:pt idx="80">
                  <c:v>27889</c:v>
                </c:pt>
                <c:pt idx="81">
                  <c:v>27890</c:v>
                </c:pt>
                <c:pt idx="82">
                  <c:v>27891</c:v>
                </c:pt>
                <c:pt idx="83">
                  <c:v>27892</c:v>
                </c:pt>
                <c:pt idx="84">
                  <c:v>27893</c:v>
                </c:pt>
                <c:pt idx="85">
                  <c:v>27894</c:v>
                </c:pt>
                <c:pt idx="86">
                  <c:v>27895</c:v>
                </c:pt>
                <c:pt idx="87">
                  <c:v>27896</c:v>
                </c:pt>
                <c:pt idx="88">
                  <c:v>27897</c:v>
                </c:pt>
                <c:pt idx="89">
                  <c:v>27898</c:v>
                </c:pt>
                <c:pt idx="90">
                  <c:v>27899</c:v>
                </c:pt>
                <c:pt idx="91">
                  <c:v>27900</c:v>
                </c:pt>
                <c:pt idx="92">
                  <c:v>27901</c:v>
                </c:pt>
                <c:pt idx="93">
                  <c:v>27902</c:v>
                </c:pt>
                <c:pt idx="94">
                  <c:v>27903</c:v>
                </c:pt>
                <c:pt idx="95">
                  <c:v>27904</c:v>
                </c:pt>
                <c:pt idx="96">
                  <c:v>27905</c:v>
                </c:pt>
                <c:pt idx="97">
                  <c:v>27906</c:v>
                </c:pt>
                <c:pt idx="98">
                  <c:v>27907</c:v>
                </c:pt>
                <c:pt idx="99">
                  <c:v>27908</c:v>
                </c:pt>
                <c:pt idx="100">
                  <c:v>27909</c:v>
                </c:pt>
                <c:pt idx="101">
                  <c:v>27910</c:v>
                </c:pt>
                <c:pt idx="102">
                  <c:v>27911</c:v>
                </c:pt>
                <c:pt idx="103">
                  <c:v>27912</c:v>
                </c:pt>
                <c:pt idx="104">
                  <c:v>27913</c:v>
                </c:pt>
                <c:pt idx="105">
                  <c:v>27914</c:v>
                </c:pt>
                <c:pt idx="106">
                  <c:v>27915</c:v>
                </c:pt>
                <c:pt idx="107">
                  <c:v>27916</c:v>
                </c:pt>
                <c:pt idx="108">
                  <c:v>27917</c:v>
                </c:pt>
                <c:pt idx="109">
                  <c:v>27918</c:v>
                </c:pt>
                <c:pt idx="110">
                  <c:v>27919</c:v>
                </c:pt>
                <c:pt idx="111">
                  <c:v>27920</c:v>
                </c:pt>
                <c:pt idx="112">
                  <c:v>27921</c:v>
                </c:pt>
                <c:pt idx="113">
                  <c:v>27922</c:v>
                </c:pt>
                <c:pt idx="114">
                  <c:v>27923</c:v>
                </c:pt>
                <c:pt idx="115">
                  <c:v>27924</c:v>
                </c:pt>
                <c:pt idx="116">
                  <c:v>27925</c:v>
                </c:pt>
                <c:pt idx="117">
                  <c:v>27926</c:v>
                </c:pt>
                <c:pt idx="118">
                  <c:v>27927</c:v>
                </c:pt>
                <c:pt idx="119">
                  <c:v>27928</c:v>
                </c:pt>
                <c:pt idx="120">
                  <c:v>27929</c:v>
                </c:pt>
                <c:pt idx="121">
                  <c:v>27930</c:v>
                </c:pt>
                <c:pt idx="122">
                  <c:v>27931</c:v>
                </c:pt>
                <c:pt idx="123">
                  <c:v>27932</c:v>
                </c:pt>
              </c:numCache>
            </c:numRef>
          </c:xVal>
          <c:yVal>
            <c:numRef>
              <c:f>'13C'!$H$2:$H$125</c:f>
              <c:numCache>
                <c:formatCode>General</c:formatCode>
                <c:ptCount val="124"/>
                <c:pt idx="0">
                  <c:v>348.2</c:v>
                </c:pt>
                <c:pt idx="1">
                  <c:v>348.6</c:v>
                </c:pt>
                <c:pt idx="2">
                  <c:v>348.8</c:v>
                </c:pt>
                <c:pt idx="3">
                  <c:v>326.89999999999998</c:v>
                </c:pt>
                <c:pt idx="4">
                  <c:v>348.2</c:v>
                </c:pt>
                <c:pt idx="5">
                  <c:v>347.8</c:v>
                </c:pt>
                <c:pt idx="6">
                  <c:v>347.8</c:v>
                </c:pt>
                <c:pt idx="7">
                  <c:v>328.5</c:v>
                </c:pt>
                <c:pt idx="8">
                  <c:v>326.89999999999998</c:v>
                </c:pt>
                <c:pt idx="9">
                  <c:v>328.3</c:v>
                </c:pt>
                <c:pt idx="10">
                  <c:v>326</c:v>
                </c:pt>
                <c:pt idx="11">
                  <c:v>326.7</c:v>
                </c:pt>
                <c:pt idx="12">
                  <c:v>347.1</c:v>
                </c:pt>
                <c:pt idx="13">
                  <c:v>326.2</c:v>
                </c:pt>
                <c:pt idx="14">
                  <c:v>326</c:v>
                </c:pt>
                <c:pt idx="15">
                  <c:v>325.60000000000002</c:v>
                </c:pt>
                <c:pt idx="16">
                  <c:v>325.39999999999998</c:v>
                </c:pt>
                <c:pt idx="17">
                  <c:v>327.5</c:v>
                </c:pt>
                <c:pt idx="18">
                  <c:v>325.60000000000002</c:v>
                </c:pt>
                <c:pt idx="19">
                  <c:v>325.60000000000002</c:v>
                </c:pt>
                <c:pt idx="20">
                  <c:v>327.3</c:v>
                </c:pt>
                <c:pt idx="21">
                  <c:v>324.2</c:v>
                </c:pt>
                <c:pt idx="22">
                  <c:v>326.7</c:v>
                </c:pt>
                <c:pt idx="23">
                  <c:v>325.60000000000002</c:v>
                </c:pt>
                <c:pt idx="24">
                  <c:v>326.5</c:v>
                </c:pt>
                <c:pt idx="25">
                  <c:v>326</c:v>
                </c:pt>
                <c:pt idx="26">
                  <c:v>346.9</c:v>
                </c:pt>
                <c:pt idx="27">
                  <c:v>347.1</c:v>
                </c:pt>
                <c:pt idx="28">
                  <c:v>327.5</c:v>
                </c:pt>
                <c:pt idx="29">
                  <c:v>327.9</c:v>
                </c:pt>
                <c:pt idx="30">
                  <c:v>346.1</c:v>
                </c:pt>
                <c:pt idx="31">
                  <c:v>347.6</c:v>
                </c:pt>
                <c:pt idx="32">
                  <c:v>326.2</c:v>
                </c:pt>
                <c:pt idx="33">
                  <c:v>346.9</c:v>
                </c:pt>
                <c:pt idx="34">
                  <c:v>326.2</c:v>
                </c:pt>
                <c:pt idx="35">
                  <c:v>327.5</c:v>
                </c:pt>
                <c:pt idx="36">
                  <c:v>325.8</c:v>
                </c:pt>
                <c:pt idx="37">
                  <c:v>326</c:v>
                </c:pt>
                <c:pt idx="38">
                  <c:v>347.1</c:v>
                </c:pt>
                <c:pt idx="39">
                  <c:v>327.10000000000002</c:v>
                </c:pt>
                <c:pt idx="40">
                  <c:v>323.89999999999998</c:v>
                </c:pt>
                <c:pt idx="41">
                  <c:v>326.7</c:v>
                </c:pt>
                <c:pt idx="42">
                  <c:v>327.7</c:v>
                </c:pt>
                <c:pt idx="43">
                  <c:v>328.1</c:v>
                </c:pt>
                <c:pt idx="44">
                  <c:v>346.5</c:v>
                </c:pt>
                <c:pt idx="45">
                  <c:v>325.8</c:v>
                </c:pt>
                <c:pt idx="46">
                  <c:v>327.10000000000002</c:v>
                </c:pt>
                <c:pt idx="47">
                  <c:v>326.2</c:v>
                </c:pt>
                <c:pt idx="48">
                  <c:v>347.6</c:v>
                </c:pt>
                <c:pt idx="49">
                  <c:v>328.1</c:v>
                </c:pt>
                <c:pt idx="50">
                  <c:v>346.9</c:v>
                </c:pt>
                <c:pt idx="51">
                  <c:v>324.60000000000002</c:v>
                </c:pt>
                <c:pt idx="52">
                  <c:v>327.3</c:v>
                </c:pt>
                <c:pt idx="53">
                  <c:v>327.10000000000002</c:v>
                </c:pt>
                <c:pt idx="54">
                  <c:v>327.5</c:v>
                </c:pt>
                <c:pt idx="55">
                  <c:v>327.5</c:v>
                </c:pt>
                <c:pt idx="56">
                  <c:v>346.9</c:v>
                </c:pt>
                <c:pt idx="57">
                  <c:v>327.5</c:v>
                </c:pt>
                <c:pt idx="58">
                  <c:v>327.5</c:v>
                </c:pt>
                <c:pt idx="59">
                  <c:v>327.9</c:v>
                </c:pt>
                <c:pt idx="60">
                  <c:v>347.6</c:v>
                </c:pt>
                <c:pt idx="61">
                  <c:v>347.6</c:v>
                </c:pt>
                <c:pt idx="62">
                  <c:v>348</c:v>
                </c:pt>
                <c:pt idx="63">
                  <c:v>348.6</c:v>
                </c:pt>
                <c:pt idx="64">
                  <c:v>327.9</c:v>
                </c:pt>
                <c:pt idx="65">
                  <c:v>346.9</c:v>
                </c:pt>
                <c:pt idx="66">
                  <c:v>328.1</c:v>
                </c:pt>
                <c:pt idx="67">
                  <c:v>326.89999999999998</c:v>
                </c:pt>
                <c:pt idx="68">
                  <c:v>327.7</c:v>
                </c:pt>
                <c:pt idx="69">
                  <c:v>327.7</c:v>
                </c:pt>
                <c:pt idx="70">
                  <c:v>327.7</c:v>
                </c:pt>
                <c:pt idx="71">
                  <c:v>347.6</c:v>
                </c:pt>
                <c:pt idx="72">
                  <c:v>324.60000000000002</c:v>
                </c:pt>
                <c:pt idx="73">
                  <c:v>328.1</c:v>
                </c:pt>
                <c:pt idx="74">
                  <c:v>327.5</c:v>
                </c:pt>
                <c:pt idx="75">
                  <c:v>324.8</c:v>
                </c:pt>
                <c:pt idx="76">
                  <c:v>347.8</c:v>
                </c:pt>
                <c:pt idx="77">
                  <c:v>328.3</c:v>
                </c:pt>
                <c:pt idx="78">
                  <c:v>326</c:v>
                </c:pt>
                <c:pt idx="79">
                  <c:v>347.1</c:v>
                </c:pt>
                <c:pt idx="80">
                  <c:v>326</c:v>
                </c:pt>
                <c:pt idx="81">
                  <c:v>346.3</c:v>
                </c:pt>
                <c:pt idx="82">
                  <c:v>326.89999999999998</c:v>
                </c:pt>
                <c:pt idx="83">
                  <c:v>328.1</c:v>
                </c:pt>
                <c:pt idx="84">
                  <c:v>327.10000000000002</c:v>
                </c:pt>
                <c:pt idx="85">
                  <c:v>347.1</c:v>
                </c:pt>
                <c:pt idx="86">
                  <c:v>327.5</c:v>
                </c:pt>
                <c:pt idx="87">
                  <c:v>348.4</c:v>
                </c:pt>
                <c:pt idx="88">
                  <c:v>327.3</c:v>
                </c:pt>
                <c:pt idx="89">
                  <c:v>325.60000000000002</c:v>
                </c:pt>
                <c:pt idx="90">
                  <c:v>327.5</c:v>
                </c:pt>
                <c:pt idx="91">
                  <c:v>325.60000000000002</c:v>
                </c:pt>
                <c:pt idx="92">
                  <c:v>346.7</c:v>
                </c:pt>
                <c:pt idx="93">
                  <c:v>326.5</c:v>
                </c:pt>
                <c:pt idx="94">
                  <c:v>327.5</c:v>
                </c:pt>
                <c:pt idx="95">
                  <c:v>324.8</c:v>
                </c:pt>
                <c:pt idx="96">
                  <c:v>348.4</c:v>
                </c:pt>
                <c:pt idx="97">
                  <c:v>327.7</c:v>
                </c:pt>
                <c:pt idx="98">
                  <c:v>326.2</c:v>
                </c:pt>
                <c:pt idx="99">
                  <c:v>327.5</c:v>
                </c:pt>
                <c:pt idx="100">
                  <c:v>327.3</c:v>
                </c:pt>
                <c:pt idx="101">
                  <c:v>328.3</c:v>
                </c:pt>
                <c:pt idx="102">
                  <c:v>325.8</c:v>
                </c:pt>
                <c:pt idx="103">
                  <c:v>347.6</c:v>
                </c:pt>
                <c:pt idx="104">
                  <c:v>325.8</c:v>
                </c:pt>
                <c:pt idx="105">
                  <c:v>346.9</c:v>
                </c:pt>
                <c:pt idx="106">
                  <c:v>327.7</c:v>
                </c:pt>
                <c:pt idx="107">
                  <c:v>346.9</c:v>
                </c:pt>
                <c:pt idx="108">
                  <c:v>327.7</c:v>
                </c:pt>
                <c:pt idx="109">
                  <c:v>325.39999999999998</c:v>
                </c:pt>
                <c:pt idx="110">
                  <c:v>327.7</c:v>
                </c:pt>
                <c:pt idx="111">
                  <c:v>327.10000000000002</c:v>
                </c:pt>
                <c:pt idx="112">
                  <c:v>326.5</c:v>
                </c:pt>
                <c:pt idx="113">
                  <c:v>327.10000000000002</c:v>
                </c:pt>
                <c:pt idx="114">
                  <c:v>346.5</c:v>
                </c:pt>
                <c:pt idx="115">
                  <c:v>325.39999999999998</c:v>
                </c:pt>
                <c:pt idx="116">
                  <c:v>346.9</c:v>
                </c:pt>
                <c:pt idx="117">
                  <c:v>346.5</c:v>
                </c:pt>
                <c:pt idx="118">
                  <c:v>327.9</c:v>
                </c:pt>
                <c:pt idx="119">
                  <c:v>347.4</c:v>
                </c:pt>
                <c:pt idx="120">
                  <c:v>347.6</c:v>
                </c:pt>
                <c:pt idx="121">
                  <c:v>347.4</c:v>
                </c:pt>
                <c:pt idx="122">
                  <c:v>325.60000000000002</c:v>
                </c:pt>
                <c:pt idx="123">
                  <c:v>325.8</c:v>
                </c:pt>
              </c:numCache>
            </c:numRef>
          </c:yVal>
          <c:smooth val="0"/>
          <c:extLst>
            <c:ext xmlns:c16="http://schemas.microsoft.com/office/drawing/2014/chart" uri="{C3380CC4-5D6E-409C-BE32-E72D297353CC}">
              <c16:uniqueId val="{00000001-7680-584F-BB89-2078384B31FF}"/>
            </c:ext>
          </c:extLst>
        </c:ser>
        <c:dLbls>
          <c:showLegendKey val="0"/>
          <c:showVal val="0"/>
          <c:showCatName val="0"/>
          <c:showSerName val="0"/>
          <c:showPercent val="0"/>
          <c:showBubbleSize val="0"/>
        </c:dLbls>
        <c:axId val="168950440"/>
        <c:axId val="168393904"/>
      </c:scatterChart>
      <c:valAx>
        <c:axId val="168393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3512"/>
        <c:crosses val="autoZero"/>
        <c:crossBetween val="midCat"/>
      </c:valAx>
      <c:valAx>
        <c:axId val="168393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3120"/>
        <c:crosses val="autoZero"/>
        <c:crossBetween val="midCat"/>
      </c:valAx>
      <c:valAx>
        <c:axId val="16839390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retention time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0440"/>
        <c:crosses val="max"/>
        <c:crossBetween val="midCat"/>
      </c:valAx>
      <c:valAx>
        <c:axId val="168950440"/>
        <c:scaling>
          <c:orientation val="minMax"/>
        </c:scaling>
        <c:delete val="1"/>
        <c:axPos val="b"/>
        <c:numFmt formatCode="General" sourceLinked="1"/>
        <c:majorTickMark val="out"/>
        <c:minorTickMark val="none"/>
        <c:tickLblPos val="nextTo"/>
        <c:crossAx val="1683939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'13C'!$I$2:$I$125</c:f>
              <c:numCache>
                <c:formatCode>General</c:formatCode>
                <c:ptCount val="124"/>
                <c:pt idx="0">
                  <c:v>78</c:v>
                </c:pt>
                <c:pt idx="1">
                  <c:v>78</c:v>
                </c:pt>
                <c:pt idx="2">
                  <c:v>78</c:v>
                </c:pt>
                <c:pt idx="3">
                  <c:v>89</c:v>
                </c:pt>
                <c:pt idx="4">
                  <c:v>33</c:v>
                </c:pt>
                <c:pt idx="5">
                  <c:v>78</c:v>
                </c:pt>
                <c:pt idx="6">
                  <c:v>78</c:v>
                </c:pt>
                <c:pt idx="7">
                  <c:v>89</c:v>
                </c:pt>
                <c:pt idx="8">
                  <c:v>89</c:v>
                </c:pt>
                <c:pt idx="9">
                  <c:v>89</c:v>
                </c:pt>
                <c:pt idx="10">
                  <c:v>89</c:v>
                </c:pt>
                <c:pt idx="11">
                  <c:v>89</c:v>
                </c:pt>
                <c:pt idx="12">
                  <c:v>79</c:v>
                </c:pt>
                <c:pt idx="13">
                  <c:v>89</c:v>
                </c:pt>
                <c:pt idx="14">
                  <c:v>89</c:v>
                </c:pt>
                <c:pt idx="15">
                  <c:v>89</c:v>
                </c:pt>
                <c:pt idx="16">
                  <c:v>94</c:v>
                </c:pt>
                <c:pt idx="17">
                  <c:v>89</c:v>
                </c:pt>
                <c:pt idx="18">
                  <c:v>89</c:v>
                </c:pt>
                <c:pt idx="19">
                  <c:v>89</c:v>
                </c:pt>
                <c:pt idx="20">
                  <c:v>89</c:v>
                </c:pt>
                <c:pt idx="21">
                  <c:v>96</c:v>
                </c:pt>
                <c:pt idx="22">
                  <c:v>89</c:v>
                </c:pt>
                <c:pt idx="23">
                  <c:v>89</c:v>
                </c:pt>
                <c:pt idx="24">
                  <c:v>94</c:v>
                </c:pt>
                <c:pt idx="25">
                  <c:v>89</c:v>
                </c:pt>
                <c:pt idx="26">
                  <c:v>79</c:v>
                </c:pt>
                <c:pt idx="27">
                  <c:v>79</c:v>
                </c:pt>
                <c:pt idx="28">
                  <c:v>89</c:v>
                </c:pt>
                <c:pt idx="29">
                  <c:v>94</c:v>
                </c:pt>
                <c:pt idx="30">
                  <c:v>79</c:v>
                </c:pt>
                <c:pt idx="31">
                  <c:v>79</c:v>
                </c:pt>
                <c:pt idx="32">
                  <c:v>89</c:v>
                </c:pt>
                <c:pt idx="33">
                  <c:v>79</c:v>
                </c:pt>
                <c:pt idx="34">
                  <c:v>89</c:v>
                </c:pt>
                <c:pt idx="35">
                  <c:v>94</c:v>
                </c:pt>
                <c:pt idx="36">
                  <c:v>89</c:v>
                </c:pt>
                <c:pt idx="37">
                  <c:v>96</c:v>
                </c:pt>
                <c:pt idx="38">
                  <c:v>79</c:v>
                </c:pt>
                <c:pt idx="39">
                  <c:v>96</c:v>
                </c:pt>
                <c:pt idx="40">
                  <c:v>94</c:v>
                </c:pt>
                <c:pt idx="41">
                  <c:v>89</c:v>
                </c:pt>
                <c:pt idx="42">
                  <c:v>89</c:v>
                </c:pt>
                <c:pt idx="43">
                  <c:v>94</c:v>
                </c:pt>
                <c:pt idx="44">
                  <c:v>79</c:v>
                </c:pt>
                <c:pt idx="45">
                  <c:v>89</c:v>
                </c:pt>
                <c:pt idx="46">
                  <c:v>94</c:v>
                </c:pt>
                <c:pt idx="47">
                  <c:v>89</c:v>
                </c:pt>
                <c:pt idx="48">
                  <c:v>79</c:v>
                </c:pt>
                <c:pt idx="49">
                  <c:v>89</c:v>
                </c:pt>
                <c:pt idx="50">
                  <c:v>79</c:v>
                </c:pt>
                <c:pt idx="51">
                  <c:v>94</c:v>
                </c:pt>
                <c:pt idx="52">
                  <c:v>94</c:v>
                </c:pt>
                <c:pt idx="53">
                  <c:v>89</c:v>
                </c:pt>
                <c:pt idx="54">
                  <c:v>94</c:v>
                </c:pt>
                <c:pt idx="55">
                  <c:v>89</c:v>
                </c:pt>
                <c:pt idx="56">
                  <c:v>79</c:v>
                </c:pt>
                <c:pt idx="57">
                  <c:v>94</c:v>
                </c:pt>
                <c:pt idx="58">
                  <c:v>89</c:v>
                </c:pt>
                <c:pt idx="59">
                  <c:v>89</c:v>
                </c:pt>
                <c:pt idx="60">
                  <c:v>50</c:v>
                </c:pt>
                <c:pt idx="61">
                  <c:v>78</c:v>
                </c:pt>
                <c:pt idx="62">
                  <c:v>78</c:v>
                </c:pt>
                <c:pt idx="63">
                  <c:v>78</c:v>
                </c:pt>
                <c:pt idx="64">
                  <c:v>89</c:v>
                </c:pt>
                <c:pt idx="65">
                  <c:v>79</c:v>
                </c:pt>
                <c:pt idx="66">
                  <c:v>89</c:v>
                </c:pt>
                <c:pt idx="67">
                  <c:v>89</c:v>
                </c:pt>
                <c:pt idx="68">
                  <c:v>94</c:v>
                </c:pt>
                <c:pt idx="69">
                  <c:v>89</c:v>
                </c:pt>
                <c:pt idx="70">
                  <c:v>89</c:v>
                </c:pt>
                <c:pt idx="71">
                  <c:v>79</c:v>
                </c:pt>
                <c:pt idx="72">
                  <c:v>94</c:v>
                </c:pt>
                <c:pt idx="73">
                  <c:v>89</c:v>
                </c:pt>
                <c:pt idx="74">
                  <c:v>94</c:v>
                </c:pt>
                <c:pt idx="75">
                  <c:v>94</c:v>
                </c:pt>
                <c:pt idx="76">
                  <c:v>78</c:v>
                </c:pt>
                <c:pt idx="77">
                  <c:v>89</c:v>
                </c:pt>
                <c:pt idx="78">
                  <c:v>89</c:v>
                </c:pt>
                <c:pt idx="79">
                  <c:v>79</c:v>
                </c:pt>
                <c:pt idx="80">
                  <c:v>89</c:v>
                </c:pt>
                <c:pt idx="81">
                  <c:v>79</c:v>
                </c:pt>
                <c:pt idx="82">
                  <c:v>89</c:v>
                </c:pt>
                <c:pt idx="83">
                  <c:v>89</c:v>
                </c:pt>
                <c:pt idx="84">
                  <c:v>94</c:v>
                </c:pt>
                <c:pt idx="85">
                  <c:v>79</c:v>
                </c:pt>
                <c:pt idx="86">
                  <c:v>94</c:v>
                </c:pt>
                <c:pt idx="87">
                  <c:v>78</c:v>
                </c:pt>
                <c:pt idx="88">
                  <c:v>89</c:v>
                </c:pt>
                <c:pt idx="89">
                  <c:v>89</c:v>
                </c:pt>
                <c:pt idx="90">
                  <c:v>94</c:v>
                </c:pt>
                <c:pt idx="91">
                  <c:v>89</c:v>
                </c:pt>
                <c:pt idx="92">
                  <c:v>79</c:v>
                </c:pt>
                <c:pt idx="93">
                  <c:v>94</c:v>
                </c:pt>
                <c:pt idx="94">
                  <c:v>89</c:v>
                </c:pt>
                <c:pt idx="95">
                  <c:v>94</c:v>
                </c:pt>
                <c:pt idx="96">
                  <c:v>78</c:v>
                </c:pt>
                <c:pt idx="97">
                  <c:v>89</c:v>
                </c:pt>
                <c:pt idx="98">
                  <c:v>94</c:v>
                </c:pt>
                <c:pt idx="99">
                  <c:v>94</c:v>
                </c:pt>
                <c:pt idx="100">
                  <c:v>89</c:v>
                </c:pt>
                <c:pt idx="101">
                  <c:v>89</c:v>
                </c:pt>
                <c:pt idx="102">
                  <c:v>89</c:v>
                </c:pt>
                <c:pt idx="103">
                  <c:v>79</c:v>
                </c:pt>
                <c:pt idx="104">
                  <c:v>89</c:v>
                </c:pt>
                <c:pt idx="105">
                  <c:v>79</c:v>
                </c:pt>
                <c:pt idx="106">
                  <c:v>89</c:v>
                </c:pt>
                <c:pt idx="107">
                  <c:v>79</c:v>
                </c:pt>
                <c:pt idx="108">
                  <c:v>94</c:v>
                </c:pt>
                <c:pt idx="109">
                  <c:v>94</c:v>
                </c:pt>
                <c:pt idx="110">
                  <c:v>89</c:v>
                </c:pt>
                <c:pt idx="111">
                  <c:v>89</c:v>
                </c:pt>
                <c:pt idx="112">
                  <c:v>89</c:v>
                </c:pt>
                <c:pt idx="113">
                  <c:v>89</c:v>
                </c:pt>
                <c:pt idx="114">
                  <c:v>79</c:v>
                </c:pt>
                <c:pt idx="115">
                  <c:v>94</c:v>
                </c:pt>
                <c:pt idx="116">
                  <c:v>78</c:v>
                </c:pt>
                <c:pt idx="117">
                  <c:v>79</c:v>
                </c:pt>
                <c:pt idx="118">
                  <c:v>89</c:v>
                </c:pt>
                <c:pt idx="119">
                  <c:v>50</c:v>
                </c:pt>
                <c:pt idx="120">
                  <c:v>78</c:v>
                </c:pt>
                <c:pt idx="121">
                  <c:v>78</c:v>
                </c:pt>
                <c:pt idx="122">
                  <c:v>89</c:v>
                </c:pt>
                <c:pt idx="123">
                  <c:v>89</c:v>
                </c:pt>
              </c:numCache>
            </c:numRef>
          </c:xVal>
          <c:yVal>
            <c:numRef>
              <c:f>'13C'!$M$2:$M$125</c:f>
              <c:numCache>
                <c:formatCode>General</c:formatCode>
                <c:ptCount val="124"/>
                <c:pt idx="0">
                  <c:v>3696</c:v>
                </c:pt>
                <c:pt idx="1">
                  <c:v>3406</c:v>
                </c:pt>
                <c:pt idx="2">
                  <c:v>2739</c:v>
                </c:pt>
                <c:pt idx="3">
                  <c:v>4071</c:v>
                </c:pt>
                <c:pt idx="4">
                  <c:v>4055</c:v>
                </c:pt>
                <c:pt idx="5">
                  <c:v>3808</c:v>
                </c:pt>
                <c:pt idx="6">
                  <c:v>4118</c:v>
                </c:pt>
                <c:pt idx="7">
                  <c:v>3191</c:v>
                </c:pt>
                <c:pt idx="8">
                  <c:v>4232</c:v>
                </c:pt>
                <c:pt idx="9">
                  <c:v>3208</c:v>
                </c:pt>
                <c:pt idx="10">
                  <c:v>5255</c:v>
                </c:pt>
                <c:pt idx="11">
                  <c:v>4583</c:v>
                </c:pt>
                <c:pt idx="12">
                  <c:v>4518</c:v>
                </c:pt>
                <c:pt idx="13">
                  <c:v>5011</c:v>
                </c:pt>
                <c:pt idx="14">
                  <c:v>4087</c:v>
                </c:pt>
                <c:pt idx="15">
                  <c:v>5638</c:v>
                </c:pt>
                <c:pt idx="16">
                  <c:v>2084</c:v>
                </c:pt>
                <c:pt idx="17">
                  <c:v>3695</c:v>
                </c:pt>
                <c:pt idx="18">
                  <c:v>5325</c:v>
                </c:pt>
                <c:pt idx="19">
                  <c:v>5345</c:v>
                </c:pt>
                <c:pt idx="20">
                  <c:v>3878</c:v>
                </c:pt>
                <c:pt idx="21">
                  <c:v>1535</c:v>
                </c:pt>
                <c:pt idx="22">
                  <c:v>4611</c:v>
                </c:pt>
                <c:pt idx="23">
                  <c:v>5500</c:v>
                </c:pt>
                <c:pt idx="24">
                  <c:v>1811</c:v>
                </c:pt>
                <c:pt idx="25">
                  <c:v>4002</c:v>
                </c:pt>
                <c:pt idx="26">
                  <c:v>4514</c:v>
                </c:pt>
                <c:pt idx="27">
                  <c:v>4948</c:v>
                </c:pt>
                <c:pt idx="28">
                  <c:v>3425</c:v>
                </c:pt>
                <c:pt idx="29">
                  <c:v>1502</c:v>
                </c:pt>
                <c:pt idx="30">
                  <c:v>5367</c:v>
                </c:pt>
                <c:pt idx="31">
                  <c:v>4326</c:v>
                </c:pt>
                <c:pt idx="32">
                  <c:v>5003</c:v>
                </c:pt>
                <c:pt idx="33">
                  <c:v>4731</c:v>
                </c:pt>
                <c:pt idx="34">
                  <c:v>5016</c:v>
                </c:pt>
                <c:pt idx="35">
                  <c:v>1509</c:v>
                </c:pt>
                <c:pt idx="36">
                  <c:v>4170</c:v>
                </c:pt>
                <c:pt idx="37">
                  <c:v>1330</c:v>
                </c:pt>
                <c:pt idx="38">
                  <c:v>4166</c:v>
                </c:pt>
                <c:pt idx="39">
                  <c:v>1220</c:v>
                </c:pt>
                <c:pt idx="40">
                  <c:v>2438</c:v>
                </c:pt>
                <c:pt idx="41">
                  <c:v>4929</c:v>
                </c:pt>
                <c:pt idx="42">
                  <c:v>3620</c:v>
                </c:pt>
                <c:pt idx="43">
                  <c:v>1515</c:v>
                </c:pt>
                <c:pt idx="44">
                  <c:v>4846</c:v>
                </c:pt>
                <c:pt idx="45">
                  <c:v>5496</c:v>
                </c:pt>
                <c:pt idx="46">
                  <c:v>1719</c:v>
                </c:pt>
                <c:pt idx="47">
                  <c:v>3961</c:v>
                </c:pt>
                <c:pt idx="48">
                  <c:v>4286</c:v>
                </c:pt>
                <c:pt idx="49">
                  <c:v>3339</c:v>
                </c:pt>
                <c:pt idx="50">
                  <c:v>5097</c:v>
                </c:pt>
                <c:pt idx="51">
                  <c:v>2405</c:v>
                </c:pt>
                <c:pt idx="52">
                  <c:v>1605</c:v>
                </c:pt>
                <c:pt idx="53">
                  <c:v>3937</c:v>
                </c:pt>
                <c:pt idx="54">
                  <c:v>1632</c:v>
                </c:pt>
                <c:pt idx="55">
                  <c:v>3897</c:v>
                </c:pt>
                <c:pt idx="56">
                  <c:v>4652</c:v>
                </c:pt>
                <c:pt idx="57">
                  <c:v>1592</c:v>
                </c:pt>
                <c:pt idx="58">
                  <c:v>4242</c:v>
                </c:pt>
                <c:pt idx="59">
                  <c:v>3296</c:v>
                </c:pt>
                <c:pt idx="60">
                  <c:v>3759</c:v>
                </c:pt>
                <c:pt idx="61">
                  <c:v>3942</c:v>
                </c:pt>
                <c:pt idx="62">
                  <c:v>3774</c:v>
                </c:pt>
                <c:pt idx="63">
                  <c:v>3121</c:v>
                </c:pt>
                <c:pt idx="64">
                  <c:v>3688</c:v>
                </c:pt>
                <c:pt idx="65">
                  <c:v>4982</c:v>
                </c:pt>
                <c:pt idx="66">
                  <c:v>3465</c:v>
                </c:pt>
                <c:pt idx="67">
                  <c:v>4518</c:v>
                </c:pt>
                <c:pt idx="68">
                  <c:v>1591</c:v>
                </c:pt>
                <c:pt idx="69">
                  <c:v>3953</c:v>
                </c:pt>
                <c:pt idx="70">
                  <c:v>3402</c:v>
                </c:pt>
                <c:pt idx="71">
                  <c:v>4080</c:v>
                </c:pt>
                <c:pt idx="72">
                  <c:v>2259</c:v>
                </c:pt>
                <c:pt idx="73">
                  <c:v>3295</c:v>
                </c:pt>
                <c:pt idx="74">
                  <c:v>1519</c:v>
                </c:pt>
                <c:pt idx="75">
                  <c:v>2189</c:v>
                </c:pt>
                <c:pt idx="76">
                  <c:v>4231</c:v>
                </c:pt>
                <c:pt idx="77">
                  <c:v>3142</c:v>
                </c:pt>
                <c:pt idx="78">
                  <c:v>5441</c:v>
                </c:pt>
                <c:pt idx="79">
                  <c:v>4476</c:v>
                </c:pt>
                <c:pt idx="80">
                  <c:v>4046</c:v>
                </c:pt>
                <c:pt idx="81">
                  <c:v>5359</c:v>
                </c:pt>
                <c:pt idx="82">
                  <c:v>4505</c:v>
                </c:pt>
                <c:pt idx="83">
                  <c:v>3358</c:v>
                </c:pt>
                <c:pt idx="84">
                  <c:v>1677</c:v>
                </c:pt>
                <c:pt idx="85">
                  <c:v>4073</c:v>
                </c:pt>
                <c:pt idx="86">
                  <c:v>1544</c:v>
                </c:pt>
                <c:pt idx="87">
                  <c:v>2915</c:v>
                </c:pt>
                <c:pt idx="88">
                  <c:v>4128</c:v>
                </c:pt>
                <c:pt idx="89">
                  <c:v>5562</c:v>
                </c:pt>
                <c:pt idx="90">
                  <c:v>1614</c:v>
                </c:pt>
                <c:pt idx="91">
                  <c:v>4129</c:v>
                </c:pt>
                <c:pt idx="92">
                  <c:v>4601</c:v>
                </c:pt>
                <c:pt idx="93">
                  <c:v>1833</c:v>
                </c:pt>
                <c:pt idx="94">
                  <c:v>3680</c:v>
                </c:pt>
                <c:pt idx="95">
                  <c:v>2169</c:v>
                </c:pt>
                <c:pt idx="96">
                  <c:v>3098</c:v>
                </c:pt>
                <c:pt idx="97">
                  <c:v>3393</c:v>
                </c:pt>
                <c:pt idx="98">
                  <c:v>1816</c:v>
                </c:pt>
                <c:pt idx="99">
                  <c:v>1652</c:v>
                </c:pt>
                <c:pt idx="100">
                  <c:v>4060</c:v>
                </c:pt>
                <c:pt idx="101">
                  <c:v>3051</c:v>
                </c:pt>
                <c:pt idx="102">
                  <c:v>4159</c:v>
                </c:pt>
                <c:pt idx="103">
                  <c:v>4176</c:v>
                </c:pt>
                <c:pt idx="104">
                  <c:v>5223</c:v>
                </c:pt>
                <c:pt idx="105">
                  <c:v>5052</c:v>
                </c:pt>
                <c:pt idx="106">
                  <c:v>3719</c:v>
                </c:pt>
                <c:pt idx="107">
                  <c:v>4780</c:v>
                </c:pt>
                <c:pt idx="108">
                  <c:v>1637</c:v>
                </c:pt>
                <c:pt idx="109">
                  <c:v>2025</c:v>
                </c:pt>
                <c:pt idx="110">
                  <c:v>3443</c:v>
                </c:pt>
                <c:pt idx="111">
                  <c:v>4133</c:v>
                </c:pt>
                <c:pt idx="112">
                  <c:v>4783</c:v>
                </c:pt>
                <c:pt idx="113">
                  <c:v>4264</c:v>
                </c:pt>
                <c:pt idx="114">
                  <c:v>4354</c:v>
                </c:pt>
                <c:pt idx="115">
                  <c:v>1955</c:v>
                </c:pt>
                <c:pt idx="116">
                  <c:v>4170</c:v>
                </c:pt>
                <c:pt idx="117">
                  <c:v>5260</c:v>
                </c:pt>
                <c:pt idx="118">
                  <c:v>3416</c:v>
                </c:pt>
                <c:pt idx="119">
                  <c:v>4047</c:v>
                </c:pt>
                <c:pt idx="120">
                  <c:v>3555</c:v>
                </c:pt>
                <c:pt idx="121">
                  <c:v>4207</c:v>
                </c:pt>
                <c:pt idx="122">
                  <c:v>3908</c:v>
                </c:pt>
                <c:pt idx="123">
                  <c:v>4053</c:v>
                </c:pt>
              </c:numCache>
            </c:numRef>
          </c:yVal>
          <c:smooth val="0"/>
          <c:extLst>
            <c:ext xmlns:c16="http://schemas.microsoft.com/office/drawing/2014/chart" uri="{C3380CC4-5D6E-409C-BE32-E72D297353CC}">
              <c16:uniqueId val="{00000000-25DD-A14B-8A0C-DF5C960CF2E7}"/>
            </c:ext>
          </c:extLst>
        </c:ser>
        <c:dLbls>
          <c:showLegendKey val="0"/>
          <c:showVal val="0"/>
          <c:showCatName val="0"/>
          <c:showSerName val="0"/>
          <c:showPercent val="0"/>
          <c:showBubbleSize val="0"/>
        </c:dLbls>
        <c:axId val="168951224"/>
        <c:axId val="168951616"/>
      </c:scatterChart>
      <c:valAx>
        <c:axId val="1689512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sample dilution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1616"/>
        <c:crosses val="autoZero"/>
        <c:crossBetween val="midCat"/>
      </c:valAx>
      <c:valAx>
        <c:axId val="168951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12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'13C'!$CA$1</c:f>
              <c:strCache>
                <c:ptCount val="1"/>
                <c:pt idx="0">
                  <c:v>offset Initial Corrected δ13C (‰ VPDB)</c:v>
                </c:pt>
              </c:strCache>
            </c:strRef>
          </c:tx>
          <c:spPr>
            <a:ln w="25400" cap="rnd">
              <a:noFill/>
              <a:round/>
            </a:ln>
            <a:effectLst/>
          </c:spPr>
          <c:marker>
            <c:symbol val="circle"/>
            <c:size val="5"/>
            <c:spPr>
              <a:noFill/>
              <a:ln w="9525">
                <a:solidFill>
                  <a:srgbClr val="00B0F0"/>
                </a:solidFill>
              </a:ln>
              <a:effectLst/>
            </c:spPr>
          </c:marker>
          <c:xVal>
            <c:numRef>
              <c:f>'13C'!$BP$2:$BP$25</c:f>
              <c:numCache>
                <c:formatCode>General</c:formatCode>
                <c:ptCount val="24"/>
                <c:pt idx="0">
                  <c:v>76.225999999999999</c:v>
                </c:pt>
                <c:pt idx="1">
                  <c:v>103.789</c:v>
                </c:pt>
                <c:pt idx="2">
                  <c:v>103.16500000000001</c:v>
                </c:pt>
                <c:pt idx="3">
                  <c:v>112.39100000000001</c:v>
                </c:pt>
                <c:pt idx="4">
                  <c:v>75.483999999999995</c:v>
                </c:pt>
                <c:pt idx="5">
                  <c:v>73.962000000000003</c:v>
                </c:pt>
                <c:pt idx="6">
                  <c:v>77.206999999999994</c:v>
                </c:pt>
                <c:pt idx="7">
                  <c:v>73.075000000000003</c:v>
                </c:pt>
                <c:pt idx="8">
                  <c:v>78.198999999999998</c:v>
                </c:pt>
                <c:pt idx="9">
                  <c:v>95.257999999999996</c:v>
                </c:pt>
                <c:pt idx="10">
                  <c:v>106.111</c:v>
                </c:pt>
                <c:pt idx="11">
                  <c:v>101.34399999999999</c:v>
                </c:pt>
                <c:pt idx="12">
                  <c:v>72.731999999999999</c:v>
                </c:pt>
                <c:pt idx="13">
                  <c:v>74.894999999999996</c:v>
                </c:pt>
                <c:pt idx="14">
                  <c:v>76.497</c:v>
                </c:pt>
                <c:pt idx="15">
                  <c:v>77.349999999999994</c:v>
                </c:pt>
                <c:pt idx="16">
                  <c:v>78.882000000000005</c:v>
                </c:pt>
                <c:pt idx="17">
                  <c:v>102.80800000000001</c:v>
                </c:pt>
                <c:pt idx="18">
                  <c:v>95.522999999999996</c:v>
                </c:pt>
                <c:pt idx="19">
                  <c:v>114.03100000000001</c:v>
                </c:pt>
                <c:pt idx="20">
                  <c:v>72.283000000000001</c:v>
                </c:pt>
                <c:pt idx="21">
                  <c:v>75.117000000000004</c:v>
                </c:pt>
              </c:numCache>
            </c:numRef>
          </c:xVal>
          <c:yVal>
            <c:numRef>
              <c:f>'13C'!$CA$2:$CA$25</c:f>
              <c:numCache>
                <c:formatCode>General</c:formatCode>
                <c:ptCount val="24"/>
                <c:pt idx="0">
                  <c:v>33.780621751273273</c:v>
                </c:pt>
                <c:pt idx="1">
                  <c:v>44.114581338664529</c:v>
                </c:pt>
                <c:pt idx="2">
                  <c:v>12.182512273839263</c:v>
                </c:pt>
                <c:pt idx="3">
                  <c:v>30.813710736031563</c:v>
                </c:pt>
                <c:pt idx="4">
                  <c:v>33.777461157569412</c:v>
                </c:pt>
                <c:pt idx="5">
                  <c:v>33.770086440360281</c:v>
                </c:pt>
                <c:pt idx="6">
                  <c:v>33.784835876784491</c:v>
                </c:pt>
                <c:pt idx="7">
                  <c:v>33.765872317141678</c:v>
                </c:pt>
                <c:pt idx="8">
                  <c:v>33.789050002951186</c:v>
                </c:pt>
                <c:pt idx="9">
                  <c:v>44.07521575519624</c:v>
                </c:pt>
                <c:pt idx="10">
                  <c:v>12.194889103828155</c:v>
                </c:pt>
                <c:pt idx="11">
                  <c:v>30.764344468138248</c:v>
                </c:pt>
                <c:pt idx="12">
                  <c:v>33.764818786439221</c:v>
                </c:pt>
                <c:pt idx="13">
                  <c:v>33.774300564234139</c:v>
                </c:pt>
                <c:pt idx="14">
                  <c:v>33.781675282589461</c:v>
                </c:pt>
                <c:pt idx="15">
                  <c:v>33.785889408264765</c:v>
                </c:pt>
                <c:pt idx="16">
                  <c:v>33.792210598005745</c:v>
                </c:pt>
                <c:pt idx="17">
                  <c:v>44.110325597182197</c:v>
                </c:pt>
                <c:pt idx="18">
                  <c:v>12.149507422085648</c:v>
                </c:pt>
                <c:pt idx="19">
                  <c:v>30.821063166623695</c:v>
                </c:pt>
                <c:pt idx="20">
                  <c:v>33.762711725157324</c:v>
                </c:pt>
                <c:pt idx="21">
                  <c:v>33.775354095304962</c:v>
                </c:pt>
                <c:pt idx="22">
                  <c:v>0</c:v>
                </c:pt>
                <c:pt idx="23">
                  <c:v>0</c:v>
                </c:pt>
              </c:numCache>
            </c:numRef>
          </c:yVal>
          <c:smooth val="0"/>
          <c:extLst>
            <c:ext xmlns:c16="http://schemas.microsoft.com/office/drawing/2014/chart" uri="{C3380CC4-5D6E-409C-BE32-E72D297353CC}">
              <c16:uniqueId val="{00000001-CFEE-EB48-8D3D-8464EB7FBF63}"/>
            </c:ext>
          </c:extLst>
        </c:ser>
        <c:ser>
          <c:idx val="2"/>
          <c:order val="1"/>
          <c:tx>
            <c:strRef>
              <c:f>'13C'!$CB$1</c:f>
              <c:strCache>
                <c:ptCount val="1"/>
                <c:pt idx="0">
                  <c:v>offset δ13C (‰ VPDB)</c:v>
                </c:pt>
              </c:strCache>
            </c:strRef>
          </c:tx>
          <c:spPr>
            <a:ln w="25400" cap="rnd">
              <a:noFill/>
              <a:round/>
            </a:ln>
            <a:effectLst/>
          </c:spPr>
          <c:marker>
            <c:symbol val="circle"/>
            <c:size val="7"/>
            <c:spPr>
              <a:noFill/>
              <a:ln w="9525">
                <a:solidFill>
                  <a:srgbClr val="FF0000"/>
                </a:solidFill>
              </a:ln>
              <a:effectLst/>
            </c:spPr>
          </c:marker>
          <c:xVal>
            <c:numRef>
              <c:f>'13C'!$BP$2:$BP$25</c:f>
              <c:numCache>
                <c:formatCode>General</c:formatCode>
                <c:ptCount val="24"/>
                <c:pt idx="0">
                  <c:v>76.225999999999999</c:v>
                </c:pt>
                <c:pt idx="1">
                  <c:v>103.789</c:v>
                </c:pt>
                <c:pt idx="2">
                  <c:v>103.16500000000001</c:v>
                </c:pt>
                <c:pt idx="3">
                  <c:v>112.39100000000001</c:v>
                </c:pt>
                <c:pt idx="4">
                  <c:v>75.483999999999995</c:v>
                </c:pt>
                <c:pt idx="5">
                  <c:v>73.962000000000003</c:v>
                </c:pt>
                <c:pt idx="6">
                  <c:v>77.206999999999994</c:v>
                </c:pt>
                <c:pt idx="7">
                  <c:v>73.075000000000003</c:v>
                </c:pt>
                <c:pt idx="8">
                  <c:v>78.198999999999998</c:v>
                </c:pt>
                <c:pt idx="9">
                  <c:v>95.257999999999996</c:v>
                </c:pt>
                <c:pt idx="10">
                  <c:v>106.111</c:v>
                </c:pt>
                <c:pt idx="11">
                  <c:v>101.34399999999999</c:v>
                </c:pt>
                <c:pt idx="12">
                  <c:v>72.731999999999999</c:v>
                </c:pt>
                <c:pt idx="13">
                  <c:v>74.894999999999996</c:v>
                </c:pt>
                <c:pt idx="14">
                  <c:v>76.497</c:v>
                </c:pt>
                <c:pt idx="15">
                  <c:v>77.349999999999994</c:v>
                </c:pt>
                <c:pt idx="16">
                  <c:v>78.882000000000005</c:v>
                </c:pt>
                <c:pt idx="17">
                  <c:v>102.80800000000001</c:v>
                </c:pt>
                <c:pt idx="18">
                  <c:v>95.522999999999996</c:v>
                </c:pt>
                <c:pt idx="19">
                  <c:v>114.03100000000001</c:v>
                </c:pt>
                <c:pt idx="20">
                  <c:v>72.283000000000001</c:v>
                </c:pt>
                <c:pt idx="21">
                  <c:v>75.117000000000004</c:v>
                </c:pt>
              </c:numCache>
            </c:numRef>
          </c:xVal>
          <c:yVal>
            <c:numRef>
              <c:f>'13C'!$CB$2:$CB$25</c:f>
              <c:numCache>
                <c:formatCode>General</c:formatCode>
                <c:ptCount val="24"/>
                <c:pt idx="0">
                  <c:v>-0.1010887915079417</c:v>
                </c:pt>
                <c:pt idx="1">
                  <c:v>4.8016141460660577E-3</c:v>
                </c:pt>
                <c:pt idx="2">
                  <c:v>2.2454013355988067E-2</c:v>
                </c:pt>
                <c:pt idx="3">
                  <c:v>-0.20272459833203804</c:v>
                </c:pt>
                <c:pt idx="4">
                  <c:v>-7.3754125257896597E-2</c:v>
                </c:pt>
                <c:pt idx="5">
                  <c:v>-9.2720021387049378E-2</c:v>
                </c:pt>
                <c:pt idx="6">
                  <c:v>-7.6960494122757517E-2</c:v>
                </c:pt>
                <c:pt idx="7">
                  <c:v>-5.8044101540422055E-2</c:v>
                </c:pt>
                <c:pt idx="8">
                  <c:v>2.5061850841723299E-2</c:v>
                </c:pt>
                <c:pt idx="9">
                  <c:v>6.606007893372734E-3</c:v>
                </c:pt>
                <c:pt idx="10">
                  <c:v>2.3173917459207161E-2</c:v>
                </c:pt>
                <c:pt idx="11">
                  <c:v>-0.14953279036322709</c:v>
                </c:pt>
                <c:pt idx="12">
                  <c:v>-3.7047881522811466E-2</c:v>
                </c:pt>
                <c:pt idx="13">
                  <c:v>-8.3373231032468631E-2</c:v>
                </c:pt>
                <c:pt idx="14">
                  <c:v>-6.2352269409982064E-2</c:v>
                </c:pt>
                <c:pt idx="15">
                  <c:v>-0.12235728852527661</c:v>
                </c:pt>
                <c:pt idx="16">
                  <c:v>-2.8728608684858159E-2</c:v>
                </c:pt>
                <c:pt idx="17">
                  <c:v>-1.1299079312632188E-2</c:v>
                </c:pt>
                <c:pt idx="18">
                  <c:v>-4.5736473525903598E-2</c:v>
                </c:pt>
                <c:pt idx="19">
                  <c:v>-3.0821326283292372E-2</c:v>
                </c:pt>
                <c:pt idx="20">
                  <c:v>-3.9941370004958898E-2</c:v>
                </c:pt>
                <c:pt idx="21">
                  <c:v>-0.14220662490915803</c:v>
                </c:pt>
                <c:pt idx="22">
                  <c:v>0</c:v>
                </c:pt>
                <c:pt idx="23">
                  <c:v>0</c:v>
                </c:pt>
              </c:numCache>
            </c:numRef>
          </c:yVal>
          <c:smooth val="0"/>
          <c:extLst>
            <c:ext xmlns:c16="http://schemas.microsoft.com/office/drawing/2014/chart" uri="{C3380CC4-5D6E-409C-BE32-E72D297353CC}">
              <c16:uniqueId val="{00000000-CFEE-EB48-8D3D-8464EB7FBF63}"/>
            </c:ext>
          </c:extLst>
        </c:ser>
        <c:ser>
          <c:idx val="0"/>
          <c:order val="2"/>
          <c:tx>
            <c:strRef>
              <c:f>'13C'!$BY$1</c:f>
              <c:strCache>
                <c:ptCount val="1"/>
                <c:pt idx="0">
                  <c:v>offset d 13C/12C</c:v>
                </c:pt>
              </c:strCache>
            </c:strRef>
          </c:tx>
          <c:spPr>
            <a:ln w="25400" cap="rnd">
              <a:noFill/>
              <a:round/>
            </a:ln>
            <a:effectLst/>
          </c:spPr>
          <c:marker>
            <c:symbol val="circle"/>
            <c:size val="5"/>
            <c:spPr>
              <a:solidFill>
                <a:schemeClr val="accent1"/>
              </a:solidFill>
              <a:ln w="9525">
                <a:solidFill>
                  <a:schemeClr val="accent1"/>
                </a:solidFill>
              </a:ln>
              <a:effectLst/>
            </c:spPr>
          </c:marker>
          <c:xVal>
            <c:numRef>
              <c:f>'13C'!$BP$2:$BP$25</c:f>
              <c:numCache>
                <c:formatCode>General</c:formatCode>
                <c:ptCount val="24"/>
                <c:pt idx="0">
                  <c:v>76.225999999999999</c:v>
                </c:pt>
                <c:pt idx="1">
                  <c:v>103.789</c:v>
                </c:pt>
                <c:pt idx="2">
                  <c:v>103.16500000000001</c:v>
                </c:pt>
                <c:pt idx="3">
                  <c:v>112.39100000000001</c:v>
                </c:pt>
                <c:pt idx="4">
                  <c:v>75.483999999999995</c:v>
                </c:pt>
                <c:pt idx="5">
                  <c:v>73.962000000000003</c:v>
                </c:pt>
                <c:pt idx="6">
                  <c:v>77.206999999999994</c:v>
                </c:pt>
                <c:pt idx="7">
                  <c:v>73.075000000000003</c:v>
                </c:pt>
                <c:pt idx="8">
                  <c:v>78.198999999999998</c:v>
                </c:pt>
                <c:pt idx="9">
                  <c:v>95.257999999999996</c:v>
                </c:pt>
                <c:pt idx="10">
                  <c:v>106.111</c:v>
                </c:pt>
                <c:pt idx="11">
                  <c:v>101.34399999999999</c:v>
                </c:pt>
                <c:pt idx="12">
                  <c:v>72.731999999999999</c:v>
                </c:pt>
                <c:pt idx="13">
                  <c:v>74.894999999999996</c:v>
                </c:pt>
                <c:pt idx="14">
                  <c:v>76.497</c:v>
                </c:pt>
                <c:pt idx="15">
                  <c:v>77.349999999999994</c:v>
                </c:pt>
                <c:pt idx="16">
                  <c:v>78.882000000000005</c:v>
                </c:pt>
                <c:pt idx="17">
                  <c:v>102.80800000000001</c:v>
                </c:pt>
                <c:pt idx="18">
                  <c:v>95.522999999999996</c:v>
                </c:pt>
                <c:pt idx="19">
                  <c:v>114.03100000000001</c:v>
                </c:pt>
                <c:pt idx="20">
                  <c:v>72.283000000000001</c:v>
                </c:pt>
                <c:pt idx="21">
                  <c:v>75.117000000000004</c:v>
                </c:pt>
              </c:numCache>
            </c:numRef>
          </c:xVal>
          <c:yVal>
            <c:numRef>
              <c:f>'13C'!$BY$2:$BY$25</c:f>
              <c:numCache>
                <c:formatCode>General</c:formatCode>
                <c:ptCount val="24"/>
                <c:pt idx="0">
                  <c:v>0.29240068192382118</c:v>
                </c:pt>
                <c:pt idx="1">
                  <c:v>0.57805277600975202</c:v>
                </c:pt>
                <c:pt idx="2">
                  <c:v>1.9218708907420279E-2</c:v>
                </c:pt>
                <c:pt idx="3">
                  <c:v>0.13700182325737664</c:v>
                </c:pt>
                <c:pt idx="4">
                  <c:v>0.32133078472917909</c:v>
                </c:pt>
                <c:pt idx="5">
                  <c:v>0.30479929741167311</c:v>
                </c:pt>
                <c:pt idx="6">
                  <c:v>0.32236400268637055</c:v>
                </c:pt>
                <c:pt idx="7">
                  <c:v>0.34302836183286445</c:v>
                </c:pt>
                <c:pt idx="8">
                  <c:v>0.42671901637647558</c:v>
                </c:pt>
                <c:pt idx="9">
                  <c:v>0.5905737747682327</c:v>
                </c:pt>
                <c:pt idx="10">
                  <c:v>3.034532985379812E-2</c:v>
                </c:pt>
                <c:pt idx="11">
                  <c:v>0.199837245954404</c:v>
                </c:pt>
                <c:pt idx="12">
                  <c:v>0.36782559280879035</c:v>
                </c:pt>
                <c:pt idx="13">
                  <c:v>0.32443043860097553</c:v>
                </c:pt>
                <c:pt idx="14">
                  <c:v>0.34716123366229645</c:v>
                </c:pt>
                <c:pt idx="15">
                  <c:v>0.2903342460092162</c:v>
                </c:pt>
                <c:pt idx="16">
                  <c:v>0.38435708012607428</c:v>
                </c:pt>
                <c:pt idx="17">
                  <c:v>0.58431327538910338</c:v>
                </c:pt>
                <c:pt idx="18">
                  <c:v>-2.6299285873165879E-2</c:v>
                </c:pt>
                <c:pt idx="19">
                  <c:v>0.32756826914170922</c:v>
                </c:pt>
                <c:pt idx="20">
                  <c:v>0.3750581185100188</c:v>
                </c:pt>
                <c:pt idx="21">
                  <c:v>0.27483597664934578</c:v>
                </c:pt>
                <c:pt idx="22">
                  <c:v>0</c:v>
                </c:pt>
                <c:pt idx="23">
                  <c:v>0</c:v>
                </c:pt>
              </c:numCache>
            </c:numRef>
          </c:yVal>
          <c:smooth val="0"/>
          <c:extLst>
            <c:ext xmlns:c16="http://schemas.microsoft.com/office/drawing/2014/chart" uri="{C3380CC4-5D6E-409C-BE32-E72D297353CC}">
              <c16:uniqueId val="{00000002-CFEE-EB48-8D3D-8464EB7FBF63}"/>
            </c:ext>
          </c:extLst>
        </c:ser>
        <c:dLbls>
          <c:showLegendKey val="0"/>
          <c:showVal val="0"/>
          <c:showCatName val="0"/>
          <c:showSerName val="0"/>
          <c:showPercent val="0"/>
          <c:showBubbleSize val="0"/>
        </c:dLbls>
        <c:axId val="197234120"/>
        <c:axId val="197234512"/>
      </c:scatterChart>
      <c:valAx>
        <c:axId val="197234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97234512"/>
        <c:crosses val="autoZero"/>
        <c:crossBetween val="midCat"/>
      </c:valAx>
      <c:valAx>
        <c:axId val="197234512"/>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d13C offset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97234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
          <c:order val="0"/>
          <c:tx>
            <c:strRef>
              <c:f>'13C'!$CA$1</c:f>
              <c:strCache>
                <c:ptCount val="1"/>
                <c:pt idx="0">
                  <c:v>offset Initial Corrected δ13C (‰ VPDB)</c:v>
                </c:pt>
              </c:strCache>
            </c:strRef>
          </c:tx>
          <c:spPr>
            <a:ln w="25400" cap="rnd">
              <a:noFill/>
              <a:round/>
            </a:ln>
            <a:effectLst/>
          </c:spPr>
          <c:marker>
            <c:symbol val="circle"/>
            <c:size val="5"/>
            <c:spPr>
              <a:noFill/>
              <a:ln w="9525">
                <a:solidFill>
                  <a:srgbClr val="00B0F0"/>
                </a:solidFill>
              </a:ln>
              <a:effectLst/>
            </c:spPr>
          </c:marker>
          <c:xVal>
            <c:numRef>
              <c:f>'13C'!$BV$2:$BV$25</c:f>
              <c:numCache>
                <c:formatCode>General</c:formatCode>
                <c:ptCount val="24"/>
                <c:pt idx="0">
                  <c:v>1278369</c:v>
                </c:pt>
                <c:pt idx="1">
                  <c:v>154705</c:v>
                </c:pt>
                <c:pt idx="2">
                  <c:v>589206</c:v>
                </c:pt>
                <c:pt idx="3">
                  <c:v>660524</c:v>
                </c:pt>
                <c:pt idx="4">
                  <c:v>1253277</c:v>
                </c:pt>
                <c:pt idx="5">
                  <c:v>1232387</c:v>
                </c:pt>
                <c:pt idx="6">
                  <c:v>1282204</c:v>
                </c:pt>
                <c:pt idx="7">
                  <c:v>1212805</c:v>
                </c:pt>
                <c:pt idx="8">
                  <c:v>1303636</c:v>
                </c:pt>
                <c:pt idx="9">
                  <c:v>227086</c:v>
                </c:pt>
                <c:pt idx="10">
                  <c:v>603461</c:v>
                </c:pt>
                <c:pt idx="11">
                  <c:v>577165</c:v>
                </c:pt>
                <c:pt idx="12">
                  <c:v>1215117</c:v>
                </c:pt>
                <c:pt idx="13">
                  <c:v>1243322</c:v>
                </c:pt>
                <c:pt idx="14">
                  <c:v>1272400</c:v>
                </c:pt>
                <c:pt idx="15">
                  <c:v>1286281</c:v>
                </c:pt>
                <c:pt idx="16">
                  <c:v>1320928</c:v>
                </c:pt>
                <c:pt idx="17">
                  <c:v>245752</c:v>
                </c:pt>
                <c:pt idx="18">
                  <c:v>550063</c:v>
                </c:pt>
                <c:pt idx="19">
                  <c:v>650822</c:v>
                </c:pt>
                <c:pt idx="20">
                  <c:v>1219464</c:v>
                </c:pt>
                <c:pt idx="21">
                  <c:v>1263201</c:v>
                </c:pt>
              </c:numCache>
            </c:numRef>
          </c:xVal>
          <c:yVal>
            <c:numRef>
              <c:f>'13C'!$CA$2:$CA$25</c:f>
              <c:numCache>
                <c:formatCode>General</c:formatCode>
                <c:ptCount val="24"/>
                <c:pt idx="0">
                  <c:v>33.780621751273273</c:v>
                </c:pt>
                <c:pt idx="1">
                  <c:v>44.114581338664529</c:v>
                </c:pt>
                <c:pt idx="2">
                  <c:v>12.182512273839263</c:v>
                </c:pt>
                <c:pt idx="3">
                  <c:v>30.813710736031563</c:v>
                </c:pt>
                <c:pt idx="4">
                  <c:v>33.777461157569412</c:v>
                </c:pt>
                <c:pt idx="5">
                  <c:v>33.770086440360281</c:v>
                </c:pt>
                <c:pt idx="6">
                  <c:v>33.784835876784491</c:v>
                </c:pt>
                <c:pt idx="7">
                  <c:v>33.765872317141678</c:v>
                </c:pt>
                <c:pt idx="8">
                  <c:v>33.789050002951186</c:v>
                </c:pt>
                <c:pt idx="9">
                  <c:v>44.07521575519624</c:v>
                </c:pt>
                <c:pt idx="10">
                  <c:v>12.194889103828155</c:v>
                </c:pt>
                <c:pt idx="11">
                  <c:v>30.764344468138248</c:v>
                </c:pt>
                <c:pt idx="12">
                  <c:v>33.764818786439221</c:v>
                </c:pt>
                <c:pt idx="13">
                  <c:v>33.774300564234139</c:v>
                </c:pt>
                <c:pt idx="14">
                  <c:v>33.781675282589461</c:v>
                </c:pt>
                <c:pt idx="15">
                  <c:v>33.785889408264765</c:v>
                </c:pt>
                <c:pt idx="16">
                  <c:v>33.792210598005745</c:v>
                </c:pt>
                <c:pt idx="17">
                  <c:v>44.110325597182197</c:v>
                </c:pt>
                <c:pt idx="18">
                  <c:v>12.149507422085648</c:v>
                </c:pt>
                <c:pt idx="19">
                  <c:v>30.821063166623695</c:v>
                </c:pt>
                <c:pt idx="20">
                  <c:v>33.762711725157324</c:v>
                </c:pt>
                <c:pt idx="21">
                  <c:v>33.775354095304962</c:v>
                </c:pt>
                <c:pt idx="22">
                  <c:v>0</c:v>
                </c:pt>
                <c:pt idx="23">
                  <c:v>0</c:v>
                </c:pt>
              </c:numCache>
            </c:numRef>
          </c:yVal>
          <c:smooth val="0"/>
          <c:extLst>
            <c:ext xmlns:c16="http://schemas.microsoft.com/office/drawing/2014/chart" uri="{C3380CC4-5D6E-409C-BE32-E72D297353CC}">
              <c16:uniqueId val="{00000001-CFEE-EB48-8D3D-8464EB7FBF63}"/>
            </c:ext>
          </c:extLst>
        </c:ser>
        <c:ser>
          <c:idx val="2"/>
          <c:order val="1"/>
          <c:tx>
            <c:strRef>
              <c:f>'13C'!$CB$1</c:f>
              <c:strCache>
                <c:ptCount val="1"/>
                <c:pt idx="0">
                  <c:v>offset δ13C (‰ VPDB)</c:v>
                </c:pt>
              </c:strCache>
            </c:strRef>
          </c:tx>
          <c:spPr>
            <a:ln w="25400" cap="rnd">
              <a:noFill/>
              <a:round/>
            </a:ln>
            <a:effectLst/>
          </c:spPr>
          <c:marker>
            <c:symbol val="circle"/>
            <c:size val="7"/>
            <c:spPr>
              <a:noFill/>
              <a:ln w="9525">
                <a:solidFill>
                  <a:srgbClr val="FF0000"/>
                </a:solidFill>
              </a:ln>
              <a:effectLst/>
            </c:spPr>
          </c:marker>
          <c:xVal>
            <c:numRef>
              <c:f>'13C'!$BV$2:$BV$25</c:f>
              <c:numCache>
                <c:formatCode>General</c:formatCode>
                <c:ptCount val="24"/>
                <c:pt idx="0">
                  <c:v>1278369</c:v>
                </c:pt>
                <c:pt idx="1">
                  <c:v>154705</c:v>
                </c:pt>
                <c:pt idx="2">
                  <c:v>589206</c:v>
                </c:pt>
                <c:pt idx="3">
                  <c:v>660524</c:v>
                </c:pt>
                <c:pt idx="4">
                  <c:v>1253277</c:v>
                </c:pt>
                <c:pt idx="5">
                  <c:v>1232387</c:v>
                </c:pt>
                <c:pt idx="6">
                  <c:v>1282204</c:v>
                </c:pt>
                <c:pt idx="7">
                  <c:v>1212805</c:v>
                </c:pt>
                <c:pt idx="8">
                  <c:v>1303636</c:v>
                </c:pt>
                <c:pt idx="9">
                  <c:v>227086</c:v>
                </c:pt>
                <c:pt idx="10">
                  <c:v>603461</c:v>
                </c:pt>
                <c:pt idx="11">
                  <c:v>577165</c:v>
                </c:pt>
                <c:pt idx="12">
                  <c:v>1215117</c:v>
                </c:pt>
                <c:pt idx="13">
                  <c:v>1243322</c:v>
                </c:pt>
                <c:pt idx="14">
                  <c:v>1272400</c:v>
                </c:pt>
                <c:pt idx="15">
                  <c:v>1286281</c:v>
                </c:pt>
                <c:pt idx="16">
                  <c:v>1320928</c:v>
                </c:pt>
                <c:pt idx="17">
                  <c:v>245752</c:v>
                </c:pt>
                <c:pt idx="18">
                  <c:v>550063</c:v>
                </c:pt>
                <c:pt idx="19">
                  <c:v>650822</c:v>
                </c:pt>
                <c:pt idx="20">
                  <c:v>1219464</c:v>
                </c:pt>
                <c:pt idx="21">
                  <c:v>1263201</c:v>
                </c:pt>
              </c:numCache>
            </c:numRef>
          </c:xVal>
          <c:yVal>
            <c:numRef>
              <c:f>'13C'!$CB$2:$CB$25</c:f>
              <c:numCache>
                <c:formatCode>General</c:formatCode>
                <c:ptCount val="24"/>
                <c:pt idx="0">
                  <c:v>-0.1010887915079417</c:v>
                </c:pt>
                <c:pt idx="1">
                  <c:v>4.8016141460660577E-3</c:v>
                </c:pt>
                <c:pt idx="2">
                  <c:v>2.2454013355988067E-2</c:v>
                </c:pt>
                <c:pt idx="3">
                  <c:v>-0.20272459833203804</c:v>
                </c:pt>
                <c:pt idx="4">
                  <c:v>-7.3754125257896597E-2</c:v>
                </c:pt>
                <c:pt idx="5">
                  <c:v>-9.2720021387049378E-2</c:v>
                </c:pt>
                <c:pt idx="6">
                  <c:v>-7.6960494122757517E-2</c:v>
                </c:pt>
                <c:pt idx="7">
                  <c:v>-5.8044101540422055E-2</c:v>
                </c:pt>
                <c:pt idx="8">
                  <c:v>2.5061850841723299E-2</c:v>
                </c:pt>
                <c:pt idx="9">
                  <c:v>6.606007893372734E-3</c:v>
                </c:pt>
                <c:pt idx="10">
                  <c:v>2.3173917459207161E-2</c:v>
                </c:pt>
                <c:pt idx="11">
                  <c:v>-0.14953279036322709</c:v>
                </c:pt>
                <c:pt idx="12">
                  <c:v>-3.7047881522811466E-2</c:v>
                </c:pt>
                <c:pt idx="13">
                  <c:v>-8.3373231032468631E-2</c:v>
                </c:pt>
                <c:pt idx="14">
                  <c:v>-6.2352269409982064E-2</c:v>
                </c:pt>
                <c:pt idx="15">
                  <c:v>-0.12235728852527661</c:v>
                </c:pt>
                <c:pt idx="16">
                  <c:v>-2.8728608684858159E-2</c:v>
                </c:pt>
                <c:pt idx="17">
                  <c:v>-1.1299079312632188E-2</c:v>
                </c:pt>
                <c:pt idx="18">
                  <c:v>-4.5736473525903598E-2</c:v>
                </c:pt>
                <c:pt idx="19">
                  <c:v>-3.0821326283292372E-2</c:v>
                </c:pt>
                <c:pt idx="20">
                  <c:v>-3.9941370004958898E-2</c:v>
                </c:pt>
                <c:pt idx="21">
                  <c:v>-0.14220662490915803</c:v>
                </c:pt>
                <c:pt idx="22">
                  <c:v>0</c:v>
                </c:pt>
                <c:pt idx="23">
                  <c:v>0</c:v>
                </c:pt>
              </c:numCache>
            </c:numRef>
          </c:yVal>
          <c:smooth val="0"/>
          <c:extLst>
            <c:ext xmlns:c16="http://schemas.microsoft.com/office/drawing/2014/chart" uri="{C3380CC4-5D6E-409C-BE32-E72D297353CC}">
              <c16:uniqueId val="{00000000-CFEE-EB48-8D3D-8464EB7FBF63}"/>
            </c:ext>
          </c:extLst>
        </c:ser>
        <c:ser>
          <c:idx val="3"/>
          <c:order val="3"/>
          <c:tx>
            <c:strRef>
              <c:f>'13C'!$BZ$1</c:f>
              <c:strCache>
                <c:ptCount val="1"/>
                <c:pt idx="0">
                  <c:v>offset Drift_corr d 13C/12C</c:v>
                </c:pt>
              </c:strCache>
            </c:strRef>
          </c:tx>
          <c:spPr>
            <a:ln w="25400" cap="rnd">
              <a:noFill/>
              <a:round/>
            </a:ln>
            <a:effectLst/>
          </c:spPr>
          <c:marker>
            <c:symbol val="circle"/>
            <c:size val="5"/>
            <c:spPr>
              <a:solidFill>
                <a:schemeClr val="accent4"/>
              </a:solidFill>
              <a:ln w="9525">
                <a:solidFill>
                  <a:schemeClr val="accent4"/>
                </a:solidFill>
              </a:ln>
              <a:effectLst/>
            </c:spPr>
          </c:marker>
          <c:xVal>
            <c:numRef>
              <c:f>'13C'!$BV$2:$BV$25</c:f>
              <c:numCache>
                <c:formatCode>General</c:formatCode>
                <c:ptCount val="24"/>
                <c:pt idx="0">
                  <c:v>1278369</c:v>
                </c:pt>
                <c:pt idx="1">
                  <c:v>154705</c:v>
                </c:pt>
                <c:pt idx="2">
                  <c:v>589206</c:v>
                </c:pt>
                <c:pt idx="3">
                  <c:v>660524</c:v>
                </c:pt>
                <c:pt idx="4">
                  <c:v>1253277</c:v>
                </c:pt>
                <c:pt idx="5">
                  <c:v>1232387</c:v>
                </c:pt>
                <c:pt idx="6">
                  <c:v>1282204</c:v>
                </c:pt>
                <c:pt idx="7">
                  <c:v>1212805</c:v>
                </c:pt>
                <c:pt idx="8">
                  <c:v>1303636</c:v>
                </c:pt>
                <c:pt idx="9">
                  <c:v>227086</c:v>
                </c:pt>
                <c:pt idx="10">
                  <c:v>603461</c:v>
                </c:pt>
                <c:pt idx="11">
                  <c:v>577165</c:v>
                </c:pt>
                <c:pt idx="12">
                  <c:v>1215117</c:v>
                </c:pt>
                <c:pt idx="13">
                  <c:v>1243322</c:v>
                </c:pt>
                <c:pt idx="14">
                  <c:v>1272400</c:v>
                </c:pt>
                <c:pt idx="15">
                  <c:v>1286281</c:v>
                </c:pt>
                <c:pt idx="16">
                  <c:v>1320928</c:v>
                </c:pt>
                <c:pt idx="17">
                  <c:v>245752</c:v>
                </c:pt>
                <c:pt idx="18">
                  <c:v>550063</c:v>
                </c:pt>
                <c:pt idx="19">
                  <c:v>650822</c:v>
                </c:pt>
                <c:pt idx="20">
                  <c:v>1219464</c:v>
                </c:pt>
                <c:pt idx="21">
                  <c:v>1263201</c:v>
                </c:pt>
              </c:numCache>
            </c:numRef>
          </c:xVal>
          <c:yVal>
            <c:numRef>
              <c:f>'13C'!$BZ$2:$BZ$25</c:f>
              <c:numCache>
                <c:formatCode>General</c:formatCode>
                <c:ptCount val="24"/>
                <c:pt idx="0">
                  <c:v>-4.9937580590593278</c:v>
                </c:pt>
                <c:pt idx="1">
                  <c:v>-4.7604761050723532</c:v>
                </c:pt>
                <c:pt idx="2">
                  <c:v>-5.1562548311989698</c:v>
                </c:pt>
                <c:pt idx="3">
                  <c:v>-5.1337164660736345</c:v>
                </c:pt>
                <c:pt idx="4">
                  <c:v>-4.9669186993201997</c:v>
                </c:pt>
                <c:pt idx="5">
                  <c:v>-4.9855409297034914</c:v>
                </c:pt>
                <c:pt idx="6">
                  <c:v>-4.9700669674948017</c:v>
                </c:pt>
                <c:pt idx="7">
                  <c:v>-4.9514933514142045</c:v>
                </c:pt>
                <c:pt idx="8">
                  <c:v>-4.8698934399367122</c:v>
                </c:pt>
                <c:pt idx="9">
                  <c:v>-4.7587039510031959</c:v>
                </c:pt>
                <c:pt idx="10">
                  <c:v>-5.1555483770120425</c:v>
                </c:pt>
                <c:pt idx="11">
                  <c:v>-5.0814925919727694</c:v>
                </c:pt>
                <c:pt idx="12">
                  <c:v>-4.9308776065702942</c:v>
                </c:pt>
                <c:pt idx="13">
                  <c:v>-4.9763635038440057</c:v>
                </c:pt>
                <c:pt idx="14">
                  <c:v>-4.9557234518488036</c:v>
                </c:pt>
                <c:pt idx="15">
                  <c:v>-5.0146411825677806</c:v>
                </c:pt>
                <c:pt idx="16">
                  <c:v>-4.9227090915169303</c:v>
                </c:pt>
                <c:pt idx="17">
                  <c:v>-4.7762891260371143</c:v>
                </c:pt>
                <c:pt idx="18">
                  <c:v>-5.2231713827176618</c:v>
                </c:pt>
                <c:pt idx="19">
                  <c:v>-4.964941593199268</c:v>
                </c:pt>
                <c:pt idx="20">
                  <c:v>-4.9337186610959316</c:v>
                </c:pt>
                <c:pt idx="21">
                  <c:v>-5.0341308705081911</c:v>
                </c:pt>
                <c:pt idx="22">
                  <c:v>0</c:v>
                </c:pt>
                <c:pt idx="23">
                  <c:v>0</c:v>
                </c:pt>
              </c:numCache>
            </c:numRef>
          </c:yVal>
          <c:smooth val="0"/>
          <c:extLst>
            <c:ext xmlns:c16="http://schemas.microsoft.com/office/drawing/2014/chart" uri="{C3380CC4-5D6E-409C-BE32-E72D297353CC}">
              <c16:uniqueId val="{00000003-CFEE-EB48-8D3D-8464EB7FBF63}"/>
            </c:ext>
          </c:extLst>
        </c:ser>
        <c:dLbls>
          <c:showLegendKey val="0"/>
          <c:showVal val="0"/>
          <c:showCatName val="0"/>
          <c:showSerName val="0"/>
          <c:showPercent val="0"/>
          <c:showBubbleSize val="0"/>
        </c:dLbls>
        <c:axId val="168953576"/>
        <c:axId val="168953184"/>
      </c:scatterChart>
      <c:scatterChart>
        <c:scatterStyle val="lineMarker"/>
        <c:varyColors val="0"/>
        <c:ser>
          <c:idx val="0"/>
          <c:order val="2"/>
          <c:tx>
            <c:strRef>
              <c:f>'13C'!$BY$1</c:f>
              <c:strCache>
                <c:ptCount val="1"/>
                <c:pt idx="0">
                  <c:v>offset d 13C/12C</c:v>
                </c:pt>
              </c:strCache>
            </c:strRef>
          </c:tx>
          <c:spPr>
            <a:ln w="25400" cap="rnd">
              <a:noFill/>
              <a:round/>
            </a:ln>
            <a:effectLst/>
          </c:spPr>
          <c:marker>
            <c:symbol val="circle"/>
            <c:size val="5"/>
            <c:spPr>
              <a:solidFill>
                <a:schemeClr val="accent1"/>
              </a:solidFill>
              <a:ln w="9525">
                <a:solidFill>
                  <a:schemeClr val="accent1"/>
                </a:solidFill>
              </a:ln>
              <a:effectLst/>
            </c:spPr>
          </c:marker>
          <c:xVal>
            <c:numRef>
              <c:f>'13C'!$BV$2:$BV$25</c:f>
              <c:numCache>
                <c:formatCode>General</c:formatCode>
                <c:ptCount val="24"/>
                <c:pt idx="0">
                  <c:v>1278369</c:v>
                </c:pt>
                <c:pt idx="1">
                  <c:v>154705</c:v>
                </c:pt>
                <c:pt idx="2">
                  <c:v>589206</c:v>
                </c:pt>
                <c:pt idx="3">
                  <c:v>660524</c:v>
                </c:pt>
                <c:pt idx="4">
                  <c:v>1253277</c:v>
                </c:pt>
                <c:pt idx="5">
                  <c:v>1232387</c:v>
                </c:pt>
                <c:pt idx="6">
                  <c:v>1282204</c:v>
                </c:pt>
                <c:pt idx="7">
                  <c:v>1212805</c:v>
                </c:pt>
                <c:pt idx="8">
                  <c:v>1303636</c:v>
                </c:pt>
                <c:pt idx="9">
                  <c:v>227086</c:v>
                </c:pt>
                <c:pt idx="10">
                  <c:v>603461</c:v>
                </c:pt>
                <c:pt idx="11">
                  <c:v>577165</c:v>
                </c:pt>
                <c:pt idx="12">
                  <c:v>1215117</c:v>
                </c:pt>
                <c:pt idx="13">
                  <c:v>1243322</c:v>
                </c:pt>
                <c:pt idx="14">
                  <c:v>1272400</c:v>
                </c:pt>
                <c:pt idx="15">
                  <c:v>1286281</c:v>
                </c:pt>
                <c:pt idx="16">
                  <c:v>1320928</c:v>
                </c:pt>
                <c:pt idx="17">
                  <c:v>245752</c:v>
                </c:pt>
                <c:pt idx="18">
                  <c:v>550063</c:v>
                </c:pt>
                <c:pt idx="19">
                  <c:v>650822</c:v>
                </c:pt>
                <c:pt idx="20">
                  <c:v>1219464</c:v>
                </c:pt>
                <c:pt idx="21">
                  <c:v>1263201</c:v>
                </c:pt>
              </c:numCache>
            </c:numRef>
          </c:xVal>
          <c:yVal>
            <c:numRef>
              <c:f>'13C'!$BY$2:$BY$25</c:f>
              <c:numCache>
                <c:formatCode>General</c:formatCode>
                <c:ptCount val="24"/>
                <c:pt idx="0">
                  <c:v>0.29240068192382118</c:v>
                </c:pt>
                <c:pt idx="1">
                  <c:v>0.57805277600975202</c:v>
                </c:pt>
                <c:pt idx="2">
                  <c:v>1.9218708907420279E-2</c:v>
                </c:pt>
                <c:pt idx="3">
                  <c:v>0.13700182325737664</c:v>
                </c:pt>
                <c:pt idx="4">
                  <c:v>0.32133078472917909</c:v>
                </c:pt>
                <c:pt idx="5">
                  <c:v>0.30479929741167311</c:v>
                </c:pt>
                <c:pt idx="6">
                  <c:v>0.32236400268637055</c:v>
                </c:pt>
                <c:pt idx="7">
                  <c:v>0.34302836183286445</c:v>
                </c:pt>
                <c:pt idx="8">
                  <c:v>0.42671901637647558</c:v>
                </c:pt>
                <c:pt idx="9">
                  <c:v>0.5905737747682327</c:v>
                </c:pt>
                <c:pt idx="10">
                  <c:v>3.034532985379812E-2</c:v>
                </c:pt>
                <c:pt idx="11">
                  <c:v>0.199837245954404</c:v>
                </c:pt>
                <c:pt idx="12">
                  <c:v>0.36782559280879035</c:v>
                </c:pt>
                <c:pt idx="13">
                  <c:v>0.32443043860097553</c:v>
                </c:pt>
                <c:pt idx="14">
                  <c:v>0.34716123366229645</c:v>
                </c:pt>
                <c:pt idx="15">
                  <c:v>0.2903342460092162</c:v>
                </c:pt>
                <c:pt idx="16">
                  <c:v>0.38435708012607428</c:v>
                </c:pt>
                <c:pt idx="17">
                  <c:v>0.58431327538910338</c:v>
                </c:pt>
                <c:pt idx="18">
                  <c:v>-2.6299285873165879E-2</c:v>
                </c:pt>
                <c:pt idx="19">
                  <c:v>0.32756826914170922</c:v>
                </c:pt>
                <c:pt idx="20">
                  <c:v>0.3750581185100188</c:v>
                </c:pt>
                <c:pt idx="21">
                  <c:v>0.27483597664934578</c:v>
                </c:pt>
                <c:pt idx="22">
                  <c:v>0</c:v>
                </c:pt>
                <c:pt idx="23">
                  <c:v>0</c:v>
                </c:pt>
              </c:numCache>
            </c:numRef>
          </c:yVal>
          <c:smooth val="0"/>
          <c:extLst>
            <c:ext xmlns:c16="http://schemas.microsoft.com/office/drawing/2014/chart" uri="{C3380CC4-5D6E-409C-BE32-E72D297353CC}">
              <c16:uniqueId val="{00000002-CFEE-EB48-8D3D-8464EB7FBF63}"/>
            </c:ext>
          </c:extLst>
        </c:ser>
        <c:dLbls>
          <c:showLegendKey val="0"/>
          <c:showVal val="0"/>
          <c:showCatName val="0"/>
          <c:showSerName val="0"/>
          <c:showPercent val="0"/>
          <c:showBubbleSize val="0"/>
        </c:dLbls>
        <c:axId val="168952400"/>
        <c:axId val="168952792"/>
      </c:scatterChart>
      <c:valAx>
        <c:axId val="1689535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rArea Flash TCD (raw area</a:t>
                </a:r>
                <a:r>
                  <a:rPr lang="en-US" baseline="0"/>
                  <a:t> signal)</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3184"/>
        <c:crosses val="autoZero"/>
        <c:crossBetween val="midCat"/>
      </c:valAx>
      <c:valAx>
        <c:axId val="168953184"/>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d13Coffset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953576"/>
        <c:crosses val="autoZero"/>
        <c:crossBetween val="midCat"/>
      </c:valAx>
      <c:valAx>
        <c:axId val="168952792"/>
        <c:scaling>
          <c:orientation val="minMax"/>
        </c:scaling>
        <c:delete val="1"/>
        <c:axPos val="r"/>
        <c:numFmt formatCode="General" sourceLinked="1"/>
        <c:majorTickMark val="out"/>
        <c:minorTickMark val="none"/>
        <c:tickLblPos val="nextTo"/>
        <c:crossAx val="168952400"/>
        <c:crosses val="max"/>
        <c:crossBetween val="midCat"/>
      </c:valAx>
      <c:valAx>
        <c:axId val="168952400"/>
        <c:scaling>
          <c:orientation val="minMax"/>
        </c:scaling>
        <c:delete val="1"/>
        <c:axPos val="b"/>
        <c:numFmt formatCode="General" sourceLinked="1"/>
        <c:majorTickMark val="out"/>
        <c:minorTickMark val="none"/>
        <c:tickLblPos val="nextTo"/>
        <c:crossAx val="1689527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'13C'!$BP$2:$BP$25</c:f>
              <c:numCache>
                <c:formatCode>General</c:formatCode>
                <c:ptCount val="24"/>
                <c:pt idx="0">
                  <c:v>76.225999999999999</c:v>
                </c:pt>
                <c:pt idx="1">
                  <c:v>103.789</c:v>
                </c:pt>
                <c:pt idx="2">
                  <c:v>103.16500000000001</c:v>
                </c:pt>
                <c:pt idx="3">
                  <c:v>112.39100000000001</c:v>
                </c:pt>
                <c:pt idx="4">
                  <c:v>75.483999999999995</c:v>
                </c:pt>
                <c:pt idx="5">
                  <c:v>73.962000000000003</c:v>
                </c:pt>
                <c:pt idx="6">
                  <c:v>77.206999999999994</c:v>
                </c:pt>
                <c:pt idx="7">
                  <c:v>73.075000000000003</c:v>
                </c:pt>
                <c:pt idx="8">
                  <c:v>78.198999999999998</c:v>
                </c:pt>
                <c:pt idx="9">
                  <c:v>95.257999999999996</c:v>
                </c:pt>
                <c:pt idx="10">
                  <c:v>106.111</c:v>
                </c:pt>
                <c:pt idx="11">
                  <c:v>101.34399999999999</c:v>
                </c:pt>
                <c:pt idx="12">
                  <c:v>72.731999999999999</c:v>
                </c:pt>
                <c:pt idx="13">
                  <c:v>74.894999999999996</c:v>
                </c:pt>
                <c:pt idx="14">
                  <c:v>76.497</c:v>
                </c:pt>
                <c:pt idx="15">
                  <c:v>77.349999999999994</c:v>
                </c:pt>
                <c:pt idx="16">
                  <c:v>78.882000000000005</c:v>
                </c:pt>
                <c:pt idx="17">
                  <c:v>102.80800000000001</c:v>
                </c:pt>
                <c:pt idx="18">
                  <c:v>95.522999999999996</c:v>
                </c:pt>
                <c:pt idx="19">
                  <c:v>114.03100000000001</c:v>
                </c:pt>
                <c:pt idx="20">
                  <c:v>72.283000000000001</c:v>
                </c:pt>
                <c:pt idx="21">
                  <c:v>75.117000000000004</c:v>
                </c:pt>
              </c:numCache>
            </c:numRef>
          </c:xVal>
          <c:yVal>
            <c:numRef>
              <c:f>'13C'!$BV$2:$BV$25</c:f>
              <c:numCache>
                <c:formatCode>General</c:formatCode>
                <c:ptCount val="24"/>
                <c:pt idx="0">
                  <c:v>1278369</c:v>
                </c:pt>
                <c:pt idx="1">
                  <c:v>154705</c:v>
                </c:pt>
                <c:pt idx="2">
                  <c:v>589206</c:v>
                </c:pt>
                <c:pt idx="3">
                  <c:v>660524</c:v>
                </c:pt>
                <c:pt idx="4">
                  <c:v>1253277</c:v>
                </c:pt>
                <c:pt idx="5">
                  <c:v>1232387</c:v>
                </c:pt>
                <c:pt idx="6">
                  <c:v>1282204</c:v>
                </c:pt>
                <c:pt idx="7">
                  <c:v>1212805</c:v>
                </c:pt>
                <c:pt idx="8">
                  <c:v>1303636</c:v>
                </c:pt>
                <c:pt idx="9">
                  <c:v>227086</c:v>
                </c:pt>
                <c:pt idx="10">
                  <c:v>603461</c:v>
                </c:pt>
                <c:pt idx="11">
                  <c:v>577165</c:v>
                </c:pt>
                <c:pt idx="12">
                  <c:v>1215117</c:v>
                </c:pt>
                <c:pt idx="13">
                  <c:v>1243322</c:v>
                </c:pt>
                <c:pt idx="14">
                  <c:v>1272400</c:v>
                </c:pt>
                <c:pt idx="15">
                  <c:v>1286281</c:v>
                </c:pt>
                <c:pt idx="16">
                  <c:v>1320928</c:v>
                </c:pt>
                <c:pt idx="17">
                  <c:v>245752</c:v>
                </c:pt>
                <c:pt idx="18">
                  <c:v>550063</c:v>
                </c:pt>
                <c:pt idx="19">
                  <c:v>650822</c:v>
                </c:pt>
                <c:pt idx="20">
                  <c:v>1219464</c:v>
                </c:pt>
                <c:pt idx="21">
                  <c:v>1263201</c:v>
                </c:pt>
              </c:numCache>
            </c:numRef>
          </c:yVal>
          <c:smooth val="0"/>
          <c:extLst>
            <c:ext xmlns:c16="http://schemas.microsoft.com/office/drawing/2014/chart" uri="{C3380CC4-5D6E-409C-BE32-E72D297353CC}">
              <c16:uniqueId val="{00000000-0C99-7A4C-891C-2E31B712C9A0}"/>
            </c:ext>
          </c:extLst>
        </c:ser>
        <c:dLbls>
          <c:showLegendKey val="0"/>
          <c:showVal val="0"/>
          <c:showCatName val="0"/>
          <c:showSerName val="0"/>
          <c:showPercent val="0"/>
          <c:showBubbleSize val="0"/>
        </c:dLbls>
        <c:axId val="197236472"/>
        <c:axId val="197236080"/>
      </c:scatterChart>
      <c:valAx>
        <c:axId val="1972364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All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97236080"/>
        <c:crosses val="autoZero"/>
        <c:crossBetween val="midCat"/>
      </c:valAx>
      <c:valAx>
        <c:axId val="197236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rArea Flash TCD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972364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'13C'!$J$1</c:f>
              <c:strCache>
                <c:ptCount val="1"/>
                <c:pt idx="0">
                  <c:v>BGD 44</c:v>
                </c:pt>
              </c:strCache>
            </c:strRef>
          </c:tx>
          <c:spPr>
            <a:ln w="25400" cap="rnd">
              <a:noFill/>
              <a:round/>
            </a:ln>
            <a:effectLst/>
          </c:spPr>
          <c:marker>
            <c:symbol val="circle"/>
            <c:size val="5"/>
            <c:spPr>
              <a:solidFill>
                <a:schemeClr val="accent1"/>
              </a:solidFill>
              <a:ln w="9525">
                <a:solidFill>
                  <a:schemeClr val="accent1"/>
                </a:solidFill>
              </a:ln>
              <a:effectLst/>
            </c:spPr>
          </c:marker>
          <c:xVal>
            <c:numRef>
              <c:f>'13C'!$B$2:$B$125</c:f>
              <c:numCache>
                <c:formatCode>General</c:formatCode>
                <c:ptCount val="124"/>
                <c:pt idx="0">
                  <c:v>27808</c:v>
                </c:pt>
                <c:pt idx="1">
                  <c:v>27809</c:v>
                </c:pt>
                <c:pt idx="2">
                  <c:v>27810</c:v>
                </c:pt>
                <c:pt idx="3">
                  <c:v>27812</c:v>
                </c:pt>
                <c:pt idx="4">
                  <c:v>27813</c:v>
                </c:pt>
                <c:pt idx="5">
                  <c:v>27814</c:v>
                </c:pt>
                <c:pt idx="6">
                  <c:v>27815</c:v>
                </c:pt>
                <c:pt idx="7">
                  <c:v>27816</c:v>
                </c:pt>
                <c:pt idx="8">
                  <c:v>27817</c:v>
                </c:pt>
                <c:pt idx="9">
                  <c:v>27818</c:v>
                </c:pt>
                <c:pt idx="10">
                  <c:v>27819</c:v>
                </c:pt>
                <c:pt idx="11">
                  <c:v>27820</c:v>
                </c:pt>
                <c:pt idx="12">
                  <c:v>27821</c:v>
                </c:pt>
                <c:pt idx="13">
                  <c:v>27822</c:v>
                </c:pt>
                <c:pt idx="14">
                  <c:v>27823</c:v>
                </c:pt>
                <c:pt idx="15">
                  <c:v>27824</c:v>
                </c:pt>
                <c:pt idx="16">
                  <c:v>27825</c:v>
                </c:pt>
                <c:pt idx="17">
                  <c:v>27826</c:v>
                </c:pt>
                <c:pt idx="18">
                  <c:v>27827</c:v>
                </c:pt>
                <c:pt idx="19">
                  <c:v>27828</c:v>
                </c:pt>
                <c:pt idx="20">
                  <c:v>27829</c:v>
                </c:pt>
                <c:pt idx="21">
                  <c:v>27830</c:v>
                </c:pt>
                <c:pt idx="22">
                  <c:v>27831</c:v>
                </c:pt>
                <c:pt idx="23">
                  <c:v>27832</c:v>
                </c:pt>
                <c:pt idx="24">
                  <c:v>27833</c:v>
                </c:pt>
                <c:pt idx="25">
                  <c:v>27834</c:v>
                </c:pt>
                <c:pt idx="26">
                  <c:v>27835</c:v>
                </c:pt>
                <c:pt idx="27">
                  <c:v>27836</c:v>
                </c:pt>
                <c:pt idx="28">
                  <c:v>27837</c:v>
                </c:pt>
                <c:pt idx="29">
                  <c:v>27838</c:v>
                </c:pt>
                <c:pt idx="30">
                  <c:v>27839</c:v>
                </c:pt>
                <c:pt idx="31">
                  <c:v>27840</c:v>
                </c:pt>
                <c:pt idx="32">
                  <c:v>27841</c:v>
                </c:pt>
                <c:pt idx="33">
                  <c:v>27842</c:v>
                </c:pt>
                <c:pt idx="34">
                  <c:v>27843</c:v>
                </c:pt>
                <c:pt idx="35">
                  <c:v>27844</c:v>
                </c:pt>
                <c:pt idx="36">
                  <c:v>27845</c:v>
                </c:pt>
                <c:pt idx="37">
                  <c:v>27846</c:v>
                </c:pt>
                <c:pt idx="38">
                  <c:v>27847</c:v>
                </c:pt>
                <c:pt idx="39">
                  <c:v>27848</c:v>
                </c:pt>
                <c:pt idx="40">
                  <c:v>27849</c:v>
                </c:pt>
                <c:pt idx="41">
                  <c:v>27850</c:v>
                </c:pt>
                <c:pt idx="42">
                  <c:v>27851</c:v>
                </c:pt>
                <c:pt idx="43">
                  <c:v>27852</c:v>
                </c:pt>
                <c:pt idx="44">
                  <c:v>27853</c:v>
                </c:pt>
                <c:pt idx="45">
                  <c:v>27854</c:v>
                </c:pt>
                <c:pt idx="46">
                  <c:v>27855</c:v>
                </c:pt>
                <c:pt idx="47">
                  <c:v>27856</c:v>
                </c:pt>
                <c:pt idx="48">
                  <c:v>27857</c:v>
                </c:pt>
                <c:pt idx="49">
                  <c:v>27858</c:v>
                </c:pt>
                <c:pt idx="50">
                  <c:v>27859</c:v>
                </c:pt>
                <c:pt idx="51">
                  <c:v>27860</c:v>
                </c:pt>
                <c:pt idx="52">
                  <c:v>27861</c:v>
                </c:pt>
                <c:pt idx="53">
                  <c:v>27862</c:v>
                </c:pt>
                <c:pt idx="54">
                  <c:v>27863</c:v>
                </c:pt>
                <c:pt idx="55">
                  <c:v>27864</c:v>
                </c:pt>
                <c:pt idx="56">
                  <c:v>27865</c:v>
                </c:pt>
                <c:pt idx="57">
                  <c:v>27866</c:v>
                </c:pt>
                <c:pt idx="58">
                  <c:v>27867</c:v>
                </c:pt>
                <c:pt idx="59">
                  <c:v>27868</c:v>
                </c:pt>
                <c:pt idx="60">
                  <c:v>27869</c:v>
                </c:pt>
                <c:pt idx="61">
                  <c:v>27870</c:v>
                </c:pt>
                <c:pt idx="62">
                  <c:v>27871</c:v>
                </c:pt>
                <c:pt idx="63">
                  <c:v>27872</c:v>
                </c:pt>
                <c:pt idx="64">
                  <c:v>27873</c:v>
                </c:pt>
                <c:pt idx="65">
                  <c:v>27874</c:v>
                </c:pt>
                <c:pt idx="66">
                  <c:v>27875</c:v>
                </c:pt>
                <c:pt idx="67">
                  <c:v>27876</c:v>
                </c:pt>
                <c:pt idx="68">
                  <c:v>27877</c:v>
                </c:pt>
                <c:pt idx="69">
                  <c:v>27878</c:v>
                </c:pt>
                <c:pt idx="70">
                  <c:v>27879</c:v>
                </c:pt>
                <c:pt idx="71">
                  <c:v>27880</c:v>
                </c:pt>
                <c:pt idx="72">
                  <c:v>27881</c:v>
                </c:pt>
                <c:pt idx="73">
                  <c:v>27882</c:v>
                </c:pt>
                <c:pt idx="74">
                  <c:v>27883</c:v>
                </c:pt>
                <c:pt idx="75">
                  <c:v>27884</c:v>
                </c:pt>
                <c:pt idx="76">
                  <c:v>27885</c:v>
                </c:pt>
                <c:pt idx="77">
                  <c:v>27886</c:v>
                </c:pt>
                <c:pt idx="78">
                  <c:v>27887</c:v>
                </c:pt>
                <c:pt idx="79">
                  <c:v>27888</c:v>
                </c:pt>
                <c:pt idx="80">
                  <c:v>27889</c:v>
                </c:pt>
                <c:pt idx="81">
                  <c:v>27890</c:v>
                </c:pt>
                <c:pt idx="82">
                  <c:v>27891</c:v>
                </c:pt>
                <c:pt idx="83">
                  <c:v>27892</c:v>
                </c:pt>
                <c:pt idx="84">
                  <c:v>27893</c:v>
                </c:pt>
                <c:pt idx="85">
                  <c:v>27894</c:v>
                </c:pt>
                <c:pt idx="86">
                  <c:v>27895</c:v>
                </c:pt>
                <c:pt idx="87">
                  <c:v>27896</c:v>
                </c:pt>
                <c:pt idx="88">
                  <c:v>27897</c:v>
                </c:pt>
                <c:pt idx="89">
                  <c:v>27898</c:v>
                </c:pt>
                <c:pt idx="90">
                  <c:v>27899</c:v>
                </c:pt>
                <c:pt idx="91">
                  <c:v>27900</c:v>
                </c:pt>
                <c:pt idx="92">
                  <c:v>27901</c:v>
                </c:pt>
                <c:pt idx="93">
                  <c:v>27902</c:v>
                </c:pt>
                <c:pt idx="94">
                  <c:v>27903</c:v>
                </c:pt>
                <c:pt idx="95">
                  <c:v>27904</c:v>
                </c:pt>
                <c:pt idx="96">
                  <c:v>27905</c:v>
                </c:pt>
                <c:pt idx="97">
                  <c:v>27906</c:v>
                </c:pt>
                <c:pt idx="98">
                  <c:v>27907</c:v>
                </c:pt>
                <c:pt idx="99">
                  <c:v>27908</c:v>
                </c:pt>
                <c:pt idx="100">
                  <c:v>27909</c:v>
                </c:pt>
                <c:pt idx="101">
                  <c:v>27910</c:v>
                </c:pt>
                <c:pt idx="102">
                  <c:v>27911</c:v>
                </c:pt>
                <c:pt idx="103">
                  <c:v>27912</c:v>
                </c:pt>
                <c:pt idx="104">
                  <c:v>27913</c:v>
                </c:pt>
                <c:pt idx="105">
                  <c:v>27914</c:v>
                </c:pt>
                <c:pt idx="106">
                  <c:v>27915</c:v>
                </c:pt>
                <c:pt idx="107">
                  <c:v>27916</c:v>
                </c:pt>
                <c:pt idx="108">
                  <c:v>27917</c:v>
                </c:pt>
                <c:pt idx="109">
                  <c:v>27918</c:v>
                </c:pt>
                <c:pt idx="110">
                  <c:v>27919</c:v>
                </c:pt>
                <c:pt idx="111">
                  <c:v>27920</c:v>
                </c:pt>
                <c:pt idx="112">
                  <c:v>27921</c:v>
                </c:pt>
                <c:pt idx="113">
                  <c:v>27922</c:v>
                </c:pt>
                <c:pt idx="114">
                  <c:v>27923</c:v>
                </c:pt>
                <c:pt idx="115">
                  <c:v>27924</c:v>
                </c:pt>
                <c:pt idx="116">
                  <c:v>27925</c:v>
                </c:pt>
                <c:pt idx="117">
                  <c:v>27926</c:v>
                </c:pt>
                <c:pt idx="118">
                  <c:v>27927</c:v>
                </c:pt>
                <c:pt idx="119">
                  <c:v>27928</c:v>
                </c:pt>
                <c:pt idx="120">
                  <c:v>27929</c:v>
                </c:pt>
                <c:pt idx="121">
                  <c:v>27930</c:v>
                </c:pt>
                <c:pt idx="122">
                  <c:v>27931</c:v>
                </c:pt>
                <c:pt idx="123">
                  <c:v>27932</c:v>
                </c:pt>
              </c:numCache>
            </c:numRef>
          </c:xVal>
          <c:yVal>
            <c:numRef>
              <c:f>'13C'!$J$2:$J$125</c:f>
              <c:numCache>
                <c:formatCode>General</c:formatCode>
                <c:ptCount val="124"/>
                <c:pt idx="0">
                  <c:v>1.9</c:v>
                </c:pt>
                <c:pt idx="1">
                  <c:v>2</c:v>
                </c:pt>
                <c:pt idx="2">
                  <c:v>2</c:v>
                </c:pt>
                <c:pt idx="3">
                  <c:v>1.1000000000000001</c:v>
                </c:pt>
                <c:pt idx="4">
                  <c:v>2.8</c:v>
                </c:pt>
                <c:pt idx="5">
                  <c:v>2</c:v>
                </c:pt>
                <c:pt idx="6">
                  <c:v>1.9</c:v>
                </c:pt>
                <c:pt idx="7">
                  <c:v>1.3</c:v>
                </c:pt>
                <c:pt idx="8">
                  <c:v>1.3</c:v>
                </c:pt>
                <c:pt idx="9">
                  <c:v>1.4</c:v>
                </c:pt>
                <c:pt idx="10">
                  <c:v>1.3</c:v>
                </c:pt>
                <c:pt idx="11">
                  <c:v>1.3</c:v>
                </c:pt>
                <c:pt idx="12">
                  <c:v>2.1</c:v>
                </c:pt>
                <c:pt idx="13">
                  <c:v>1.3</c:v>
                </c:pt>
                <c:pt idx="14">
                  <c:v>1.2</c:v>
                </c:pt>
                <c:pt idx="15">
                  <c:v>1.3</c:v>
                </c:pt>
                <c:pt idx="16">
                  <c:v>1.2</c:v>
                </c:pt>
                <c:pt idx="17">
                  <c:v>1.5</c:v>
                </c:pt>
                <c:pt idx="18">
                  <c:v>1.4</c:v>
                </c:pt>
                <c:pt idx="19">
                  <c:v>1.4</c:v>
                </c:pt>
                <c:pt idx="20">
                  <c:v>1.4</c:v>
                </c:pt>
                <c:pt idx="21">
                  <c:v>0.9</c:v>
                </c:pt>
                <c:pt idx="22">
                  <c:v>1.5</c:v>
                </c:pt>
                <c:pt idx="23">
                  <c:v>1.4</c:v>
                </c:pt>
                <c:pt idx="24">
                  <c:v>1.4</c:v>
                </c:pt>
                <c:pt idx="25">
                  <c:v>1.4</c:v>
                </c:pt>
                <c:pt idx="26">
                  <c:v>2.1</c:v>
                </c:pt>
                <c:pt idx="27">
                  <c:v>2.2000000000000002</c:v>
                </c:pt>
                <c:pt idx="28">
                  <c:v>1.4</c:v>
                </c:pt>
                <c:pt idx="29">
                  <c:v>1.3</c:v>
                </c:pt>
                <c:pt idx="30">
                  <c:v>2.1</c:v>
                </c:pt>
                <c:pt idx="31">
                  <c:v>2.2000000000000002</c:v>
                </c:pt>
                <c:pt idx="32">
                  <c:v>1.4</c:v>
                </c:pt>
                <c:pt idx="33">
                  <c:v>2.1</c:v>
                </c:pt>
                <c:pt idx="34">
                  <c:v>1.3</c:v>
                </c:pt>
                <c:pt idx="35">
                  <c:v>1.3</c:v>
                </c:pt>
                <c:pt idx="36">
                  <c:v>1.4</c:v>
                </c:pt>
                <c:pt idx="37">
                  <c:v>1.1000000000000001</c:v>
                </c:pt>
                <c:pt idx="38">
                  <c:v>2.5</c:v>
                </c:pt>
                <c:pt idx="39">
                  <c:v>1.1000000000000001</c:v>
                </c:pt>
                <c:pt idx="40">
                  <c:v>1.3</c:v>
                </c:pt>
                <c:pt idx="41">
                  <c:v>1.6</c:v>
                </c:pt>
                <c:pt idx="42">
                  <c:v>1.4</c:v>
                </c:pt>
                <c:pt idx="43">
                  <c:v>1.3</c:v>
                </c:pt>
                <c:pt idx="44">
                  <c:v>2.2999999999999998</c:v>
                </c:pt>
                <c:pt idx="45">
                  <c:v>1.4</c:v>
                </c:pt>
                <c:pt idx="46">
                  <c:v>1.4</c:v>
                </c:pt>
                <c:pt idx="47">
                  <c:v>1.4</c:v>
                </c:pt>
                <c:pt idx="48">
                  <c:v>2.2999999999999998</c:v>
                </c:pt>
                <c:pt idx="49">
                  <c:v>1.4</c:v>
                </c:pt>
                <c:pt idx="50">
                  <c:v>2.2000000000000002</c:v>
                </c:pt>
                <c:pt idx="51">
                  <c:v>1.2</c:v>
                </c:pt>
                <c:pt idx="52">
                  <c:v>1.4</c:v>
                </c:pt>
                <c:pt idx="53">
                  <c:v>1.5</c:v>
                </c:pt>
                <c:pt idx="54">
                  <c:v>1.3</c:v>
                </c:pt>
                <c:pt idx="55">
                  <c:v>1.4</c:v>
                </c:pt>
                <c:pt idx="56">
                  <c:v>2.2000000000000002</c:v>
                </c:pt>
                <c:pt idx="57">
                  <c:v>1.3</c:v>
                </c:pt>
                <c:pt idx="58">
                  <c:v>1.4</c:v>
                </c:pt>
                <c:pt idx="59">
                  <c:v>1.5</c:v>
                </c:pt>
                <c:pt idx="60">
                  <c:v>2.6</c:v>
                </c:pt>
                <c:pt idx="61">
                  <c:v>2.1</c:v>
                </c:pt>
                <c:pt idx="62">
                  <c:v>2.2000000000000002</c:v>
                </c:pt>
                <c:pt idx="63">
                  <c:v>2.1</c:v>
                </c:pt>
                <c:pt idx="64">
                  <c:v>1.4</c:v>
                </c:pt>
                <c:pt idx="65">
                  <c:v>2.1</c:v>
                </c:pt>
                <c:pt idx="66">
                  <c:v>1.4</c:v>
                </c:pt>
                <c:pt idx="67">
                  <c:v>1.4</c:v>
                </c:pt>
                <c:pt idx="68">
                  <c:v>1.4</c:v>
                </c:pt>
                <c:pt idx="69">
                  <c:v>1.4</c:v>
                </c:pt>
                <c:pt idx="70">
                  <c:v>1.4</c:v>
                </c:pt>
                <c:pt idx="71">
                  <c:v>2.2000000000000002</c:v>
                </c:pt>
                <c:pt idx="72">
                  <c:v>1.3</c:v>
                </c:pt>
                <c:pt idx="73">
                  <c:v>1.5</c:v>
                </c:pt>
                <c:pt idx="74">
                  <c:v>1.4</c:v>
                </c:pt>
                <c:pt idx="75">
                  <c:v>1.3</c:v>
                </c:pt>
                <c:pt idx="76">
                  <c:v>2.4</c:v>
                </c:pt>
                <c:pt idx="77">
                  <c:v>1.4</c:v>
                </c:pt>
                <c:pt idx="78">
                  <c:v>1.4</c:v>
                </c:pt>
                <c:pt idx="79">
                  <c:v>2.2000000000000002</c:v>
                </c:pt>
                <c:pt idx="80">
                  <c:v>1.4</c:v>
                </c:pt>
                <c:pt idx="81">
                  <c:v>2.2000000000000002</c:v>
                </c:pt>
                <c:pt idx="82">
                  <c:v>1.5</c:v>
                </c:pt>
                <c:pt idx="83">
                  <c:v>1.5</c:v>
                </c:pt>
                <c:pt idx="84">
                  <c:v>1.4</c:v>
                </c:pt>
                <c:pt idx="85">
                  <c:v>2.2000000000000002</c:v>
                </c:pt>
                <c:pt idx="86">
                  <c:v>1.3</c:v>
                </c:pt>
                <c:pt idx="87">
                  <c:v>2.2999999999999998</c:v>
                </c:pt>
                <c:pt idx="88">
                  <c:v>1.3</c:v>
                </c:pt>
                <c:pt idx="89">
                  <c:v>1.4</c:v>
                </c:pt>
                <c:pt idx="90">
                  <c:v>1.4</c:v>
                </c:pt>
                <c:pt idx="91">
                  <c:v>1.4</c:v>
                </c:pt>
                <c:pt idx="92">
                  <c:v>2.2000000000000002</c:v>
                </c:pt>
                <c:pt idx="93">
                  <c:v>1.3</c:v>
                </c:pt>
                <c:pt idx="94">
                  <c:v>1.5</c:v>
                </c:pt>
                <c:pt idx="95">
                  <c:v>1.4</c:v>
                </c:pt>
                <c:pt idx="96">
                  <c:v>2.5</c:v>
                </c:pt>
                <c:pt idx="97">
                  <c:v>1.4</c:v>
                </c:pt>
                <c:pt idx="98">
                  <c:v>1.4</c:v>
                </c:pt>
                <c:pt idx="99">
                  <c:v>1.4</c:v>
                </c:pt>
                <c:pt idx="100">
                  <c:v>1.5</c:v>
                </c:pt>
                <c:pt idx="101">
                  <c:v>1.4</c:v>
                </c:pt>
                <c:pt idx="102">
                  <c:v>1.3</c:v>
                </c:pt>
                <c:pt idx="103">
                  <c:v>2.2999999999999998</c:v>
                </c:pt>
                <c:pt idx="104">
                  <c:v>1.4</c:v>
                </c:pt>
                <c:pt idx="105">
                  <c:v>2.2999999999999998</c:v>
                </c:pt>
                <c:pt idx="106">
                  <c:v>1.5</c:v>
                </c:pt>
                <c:pt idx="107">
                  <c:v>2.2000000000000002</c:v>
                </c:pt>
                <c:pt idx="108">
                  <c:v>1.4</c:v>
                </c:pt>
                <c:pt idx="109">
                  <c:v>1.3</c:v>
                </c:pt>
                <c:pt idx="110">
                  <c:v>1.6</c:v>
                </c:pt>
                <c:pt idx="111">
                  <c:v>1.4</c:v>
                </c:pt>
                <c:pt idx="112">
                  <c:v>1.4</c:v>
                </c:pt>
                <c:pt idx="113">
                  <c:v>1.4</c:v>
                </c:pt>
                <c:pt idx="114">
                  <c:v>2.2000000000000002</c:v>
                </c:pt>
                <c:pt idx="115">
                  <c:v>1.4</c:v>
                </c:pt>
                <c:pt idx="116">
                  <c:v>2.4</c:v>
                </c:pt>
                <c:pt idx="117">
                  <c:v>2.2000000000000002</c:v>
                </c:pt>
                <c:pt idx="118">
                  <c:v>1.5</c:v>
                </c:pt>
                <c:pt idx="119">
                  <c:v>2.6</c:v>
                </c:pt>
                <c:pt idx="120">
                  <c:v>2.1</c:v>
                </c:pt>
                <c:pt idx="121">
                  <c:v>2.1</c:v>
                </c:pt>
                <c:pt idx="122">
                  <c:v>1.3</c:v>
                </c:pt>
                <c:pt idx="123">
                  <c:v>1.3</c:v>
                </c:pt>
              </c:numCache>
            </c:numRef>
          </c:yVal>
          <c:smooth val="0"/>
          <c:extLst>
            <c:ext xmlns:c16="http://schemas.microsoft.com/office/drawing/2014/chart" uri="{C3380CC4-5D6E-409C-BE32-E72D297353CC}">
              <c16:uniqueId val="{00000002-94DD-4947-A59D-0E3E71BA59D5}"/>
            </c:ext>
          </c:extLst>
        </c:ser>
        <c:ser>
          <c:idx val="1"/>
          <c:order val="1"/>
          <c:tx>
            <c:strRef>
              <c:f>'13C'!$K$1</c:f>
              <c:strCache>
                <c:ptCount val="1"/>
                <c:pt idx="0">
                  <c:v>BGD 45</c:v>
                </c:pt>
              </c:strCache>
            </c:strRef>
          </c:tx>
          <c:spPr>
            <a:ln w="25400" cap="rnd">
              <a:noFill/>
              <a:round/>
            </a:ln>
            <a:effectLst/>
          </c:spPr>
          <c:marker>
            <c:symbol val="circle"/>
            <c:size val="5"/>
            <c:spPr>
              <a:noFill/>
              <a:ln w="9525">
                <a:solidFill>
                  <a:srgbClr val="00B0F0"/>
                </a:solidFill>
              </a:ln>
              <a:effectLst/>
            </c:spPr>
          </c:marker>
          <c:xVal>
            <c:numRef>
              <c:f>'13C'!$B$2:$B$125</c:f>
              <c:numCache>
                <c:formatCode>General</c:formatCode>
                <c:ptCount val="124"/>
                <c:pt idx="0">
                  <c:v>27808</c:v>
                </c:pt>
                <c:pt idx="1">
                  <c:v>27809</c:v>
                </c:pt>
                <c:pt idx="2">
                  <c:v>27810</c:v>
                </c:pt>
                <c:pt idx="3">
                  <c:v>27812</c:v>
                </c:pt>
                <c:pt idx="4">
                  <c:v>27813</c:v>
                </c:pt>
                <c:pt idx="5">
                  <c:v>27814</c:v>
                </c:pt>
                <c:pt idx="6">
                  <c:v>27815</c:v>
                </c:pt>
                <c:pt idx="7">
                  <c:v>27816</c:v>
                </c:pt>
                <c:pt idx="8">
                  <c:v>27817</c:v>
                </c:pt>
                <c:pt idx="9">
                  <c:v>27818</c:v>
                </c:pt>
                <c:pt idx="10">
                  <c:v>27819</c:v>
                </c:pt>
                <c:pt idx="11">
                  <c:v>27820</c:v>
                </c:pt>
                <c:pt idx="12">
                  <c:v>27821</c:v>
                </c:pt>
                <c:pt idx="13">
                  <c:v>27822</c:v>
                </c:pt>
                <c:pt idx="14">
                  <c:v>27823</c:v>
                </c:pt>
                <c:pt idx="15">
                  <c:v>27824</c:v>
                </c:pt>
                <c:pt idx="16">
                  <c:v>27825</c:v>
                </c:pt>
                <c:pt idx="17">
                  <c:v>27826</c:v>
                </c:pt>
                <c:pt idx="18">
                  <c:v>27827</c:v>
                </c:pt>
                <c:pt idx="19">
                  <c:v>27828</c:v>
                </c:pt>
                <c:pt idx="20">
                  <c:v>27829</c:v>
                </c:pt>
                <c:pt idx="21">
                  <c:v>27830</c:v>
                </c:pt>
                <c:pt idx="22">
                  <c:v>27831</c:v>
                </c:pt>
                <c:pt idx="23">
                  <c:v>27832</c:v>
                </c:pt>
                <c:pt idx="24">
                  <c:v>27833</c:v>
                </c:pt>
                <c:pt idx="25">
                  <c:v>27834</c:v>
                </c:pt>
                <c:pt idx="26">
                  <c:v>27835</c:v>
                </c:pt>
                <c:pt idx="27">
                  <c:v>27836</c:v>
                </c:pt>
                <c:pt idx="28">
                  <c:v>27837</c:v>
                </c:pt>
                <c:pt idx="29">
                  <c:v>27838</c:v>
                </c:pt>
                <c:pt idx="30">
                  <c:v>27839</c:v>
                </c:pt>
                <c:pt idx="31">
                  <c:v>27840</c:v>
                </c:pt>
                <c:pt idx="32">
                  <c:v>27841</c:v>
                </c:pt>
                <c:pt idx="33">
                  <c:v>27842</c:v>
                </c:pt>
                <c:pt idx="34">
                  <c:v>27843</c:v>
                </c:pt>
                <c:pt idx="35">
                  <c:v>27844</c:v>
                </c:pt>
                <c:pt idx="36">
                  <c:v>27845</c:v>
                </c:pt>
                <c:pt idx="37">
                  <c:v>27846</c:v>
                </c:pt>
                <c:pt idx="38">
                  <c:v>27847</c:v>
                </c:pt>
                <c:pt idx="39">
                  <c:v>27848</c:v>
                </c:pt>
                <c:pt idx="40">
                  <c:v>27849</c:v>
                </c:pt>
                <c:pt idx="41">
                  <c:v>27850</c:v>
                </c:pt>
                <c:pt idx="42">
                  <c:v>27851</c:v>
                </c:pt>
                <c:pt idx="43">
                  <c:v>27852</c:v>
                </c:pt>
                <c:pt idx="44">
                  <c:v>27853</c:v>
                </c:pt>
                <c:pt idx="45">
                  <c:v>27854</c:v>
                </c:pt>
                <c:pt idx="46">
                  <c:v>27855</c:v>
                </c:pt>
                <c:pt idx="47">
                  <c:v>27856</c:v>
                </c:pt>
                <c:pt idx="48">
                  <c:v>27857</c:v>
                </c:pt>
                <c:pt idx="49">
                  <c:v>27858</c:v>
                </c:pt>
                <c:pt idx="50">
                  <c:v>27859</c:v>
                </c:pt>
                <c:pt idx="51">
                  <c:v>27860</c:v>
                </c:pt>
                <c:pt idx="52">
                  <c:v>27861</c:v>
                </c:pt>
                <c:pt idx="53">
                  <c:v>27862</c:v>
                </c:pt>
                <c:pt idx="54">
                  <c:v>27863</c:v>
                </c:pt>
                <c:pt idx="55">
                  <c:v>27864</c:v>
                </c:pt>
                <c:pt idx="56">
                  <c:v>27865</c:v>
                </c:pt>
                <c:pt idx="57">
                  <c:v>27866</c:v>
                </c:pt>
                <c:pt idx="58">
                  <c:v>27867</c:v>
                </c:pt>
                <c:pt idx="59">
                  <c:v>27868</c:v>
                </c:pt>
                <c:pt idx="60">
                  <c:v>27869</c:v>
                </c:pt>
                <c:pt idx="61">
                  <c:v>27870</c:v>
                </c:pt>
                <c:pt idx="62">
                  <c:v>27871</c:v>
                </c:pt>
                <c:pt idx="63">
                  <c:v>27872</c:v>
                </c:pt>
                <c:pt idx="64">
                  <c:v>27873</c:v>
                </c:pt>
                <c:pt idx="65">
                  <c:v>27874</c:v>
                </c:pt>
                <c:pt idx="66">
                  <c:v>27875</c:v>
                </c:pt>
                <c:pt idx="67">
                  <c:v>27876</c:v>
                </c:pt>
                <c:pt idx="68">
                  <c:v>27877</c:v>
                </c:pt>
                <c:pt idx="69">
                  <c:v>27878</c:v>
                </c:pt>
                <c:pt idx="70">
                  <c:v>27879</c:v>
                </c:pt>
                <c:pt idx="71">
                  <c:v>27880</c:v>
                </c:pt>
                <c:pt idx="72">
                  <c:v>27881</c:v>
                </c:pt>
                <c:pt idx="73">
                  <c:v>27882</c:v>
                </c:pt>
                <c:pt idx="74">
                  <c:v>27883</c:v>
                </c:pt>
                <c:pt idx="75">
                  <c:v>27884</c:v>
                </c:pt>
                <c:pt idx="76">
                  <c:v>27885</c:v>
                </c:pt>
                <c:pt idx="77">
                  <c:v>27886</c:v>
                </c:pt>
                <c:pt idx="78">
                  <c:v>27887</c:v>
                </c:pt>
                <c:pt idx="79">
                  <c:v>27888</c:v>
                </c:pt>
                <c:pt idx="80">
                  <c:v>27889</c:v>
                </c:pt>
                <c:pt idx="81">
                  <c:v>27890</c:v>
                </c:pt>
                <c:pt idx="82">
                  <c:v>27891</c:v>
                </c:pt>
                <c:pt idx="83">
                  <c:v>27892</c:v>
                </c:pt>
                <c:pt idx="84">
                  <c:v>27893</c:v>
                </c:pt>
                <c:pt idx="85">
                  <c:v>27894</c:v>
                </c:pt>
                <c:pt idx="86">
                  <c:v>27895</c:v>
                </c:pt>
                <c:pt idx="87">
                  <c:v>27896</c:v>
                </c:pt>
                <c:pt idx="88">
                  <c:v>27897</c:v>
                </c:pt>
                <c:pt idx="89">
                  <c:v>27898</c:v>
                </c:pt>
                <c:pt idx="90">
                  <c:v>27899</c:v>
                </c:pt>
                <c:pt idx="91">
                  <c:v>27900</c:v>
                </c:pt>
                <c:pt idx="92">
                  <c:v>27901</c:v>
                </c:pt>
                <c:pt idx="93">
                  <c:v>27902</c:v>
                </c:pt>
                <c:pt idx="94">
                  <c:v>27903</c:v>
                </c:pt>
                <c:pt idx="95">
                  <c:v>27904</c:v>
                </c:pt>
                <c:pt idx="96">
                  <c:v>27905</c:v>
                </c:pt>
                <c:pt idx="97">
                  <c:v>27906</c:v>
                </c:pt>
                <c:pt idx="98">
                  <c:v>27907</c:v>
                </c:pt>
                <c:pt idx="99">
                  <c:v>27908</c:v>
                </c:pt>
                <c:pt idx="100">
                  <c:v>27909</c:v>
                </c:pt>
                <c:pt idx="101">
                  <c:v>27910</c:v>
                </c:pt>
                <c:pt idx="102">
                  <c:v>27911</c:v>
                </c:pt>
                <c:pt idx="103">
                  <c:v>27912</c:v>
                </c:pt>
                <c:pt idx="104">
                  <c:v>27913</c:v>
                </c:pt>
                <c:pt idx="105">
                  <c:v>27914</c:v>
                </c:pt>
                <c:pt idx="106">
                  <c:v>27915</c:v>
                </c:pt>
                <c:pt idx="107">
                  <c:v>27916</c:v>
                </c:pt>
                <c:pt idx="108">
                  <c:v>27917</c:v>
                </c:pt>
                <c:pt idx="109">
                  <c:v>27918</c:v>
                </c:pt>
                <c:pt idx="110">
                  <c:v>27919</c:v>
                </c:pt>
                <c:pt idx="111">
                  <c:v>27920</c:v>
                </c:pt>
                <c:pt idx="112">
                  <c:v>27921</c:v>
                </c:pt>
                <c:pt idx="113">
                  <c:v>27922</c:v>
                </c:pt>
                <c:pt idx="114">
                  <c:v>27923</c:v>
                </c:pt>
                <c:pt idx="115">
                  <c:v>27924</c:v>
                </c:pt>
                <c:pt idx="116">
                  <c:v>27925</c:v>
                </c:pt>
                <c:pt idx="117">
                  <c:v>27926</c:v>
                </c:pt>
                <c:pt idx="118">
                  <c:v>27927</c:v>
                </c:pt>
                <c:pt idx="119">
                  <c:v>27928</c:v>
                </c:pt>
                <c:pt idx="120">
                  <c:v>27929</c:v>
                </c:pt>
                <c:pt idx="121">
                  <c:v>27930</c:v>
                </c:pt>
                <c:pt idx="122">
                  <c:v>27931</c:v>
                </c:pt>
                <c:pt idx="123">
                  <c:v>27932</c:v>
                </c:pt>
              </c:numCache>
            </c:numRef>
          </c:xVal>
          <c:yVal>
            <c:numRef>
              <c:f>'13C'!$K$2:$K$125</c:f>
              <c:numCache>
                <c:formatCode>General</c:formatCode>
                <c:ptCount val="124"/>
                <c:pt idx="0">
                  <c:v>2.4</c:v>
                </c:pt>
                <c:pt idx="1">
                  <c:v>2.6</c:v>
                </c:pt>
                <c:pt idx="2">
                  <c:v>2.6</c:v>
                </c:pt>
                <c:pt idx="3">
                  <c:v>1.4</c:v>
                </c:pt>
                <c:pt idx="4">
                  <c:v>3.4</c:v>
                </c:pt>
                <c:pt idx="5">
                  <c:v>2.6</c:v>
                </c:pt>
                <c:pt idx="6">
                  <c:v>2.5</c:v>
                </c:pt>
                <c:pt idx="7">
                  <c:v>1.6</c:v>
                </c:pt>
                <c:pt idx="8">
                  <c:v>1.6</c:v>
                </c:pt>
                <c:pt idx="9">
                  <c:v>1.8</c:v>
                </c:pt>
                <c:pt idx="10">
                  <c:v>1.7</c:v>
                </c:pt>
                <c:pt idx="11">
                  <c:v>1.7</c:v>
                </c:pt>
                <c:pt idx="12">
                  <c:v>2.7</c:v>
                </c:pt>
                <c:pt idx="13">
                  <c:v>1.8</c:v>
                </c:pt>
                <c:pt idx="14">
                  <c:v>1.6</c:v>
                </c:pt>
                <c:pt idx="15">
                  <c:v>1.7</c:v>
                </c:pt>
                <c:pt idx="16">
                  <c:v>1.6</c:v>
                </c:pt>
                <c:pt idx="17">
                  <c:v>1.9</c:v>
                </c:pt>
                <c:pt idx="18">
                  <c:v>1.8</c:v>
                </c:pt>
                <c:pt idx="19">
                  <c:v>1.8</c:v>
                </c:pt>
                <c:pt idx="20">
                  <c:v>1.8</c:v>
                </c:pt>
                <c:pt idx="21">
                  <c:v>1.2</c:v>
                </c:pt>
                <c:pt idx="22">
                  <c:v>1.9</c:v>
                </c:pt>
                <c:pt idx="23">
                  <c:v>1.8</c:v>
                </c:pt>
                <c:pt idx="24">
                  <c:v>1.8</c:v>
                </c:pt>
                <c:pt idx="25">
                  <c:v>1.8</c:v>
                </c:pt>
                <c:pt idx="26">
                  <c:v>2.7</c:v>
                </c:pt>
                <c:pt idx="27">
                  <c:v>2.8</c:v>
                </c:pt>
                <c:pt idx="28">
                  <c:v>1.8</c:v>
                </c:pt>
                <c:pt idx="29">
                  <c:v>1.7</c:v>
                </c:pt>
                <c:pt idx="30">
                  <c:v>2.7</c:v>
                </c:pt>
                <c:pt idx="31">
                  <c:v>2.9</c:v>
                </c:pt>
                <c:pt idx="32">
                  <c:v>1.8</c:v>
                </c:pt>
                <c:pt idx="33">
                  <c:v>2.7</c:v>
                </c:pt>
                <c:pt idx="34">
                  <c:v>1.8</c:v>
                </c:pt>
                <c:pt idx="35">
                  <c:v>1.7</c:v>
                </c:pt>
                <c:pt idx="36">
                  <c:v>1.7</c:v>
                </c:pt>
                <c:pt idx="37">
                  <c:v>1.4</c:v>
                </c:pt>
                <c:pt idx="38">
                  <c:v>3.1</c:v>
                </c:pt>
                <c:pt idx="39">
                  <c:v>1.5</c:v>
                </c:pt>
                <c:pt idx="40">
                  <c:v>1.7</c:v>
                </c:pt>
                <c:pt idx="41">
                  <c:v>2</c:v>
                </c:pt>
                <c:pt idx="42">
                  <c:v>1.8</c:v>
                </c:pt>
                <c:pt idx="43">
                  <c:v>1.7</c:v>
                </c:pt>
                <c:pt idx="44">
                  <c:v>2.9</c:v>
                </c:pt>
                <c:pt idx="45">
                  <c:v>1.8</c:v>
                </c:pt>
                <c:pt idx="46">
                  <c:v>1.8</c:v>
                </c:pt>
                <c:pt idx="47">
                  <c:v>1.8</c:v>
                </c:pt>
                <c:pt idx="48">
                  <c:v>2.9</c:v>
                </c:pt>
                <c:pt idx="49">
                  <c:v>1.8</c:v>
                </c:pt>
                <c:pt idx="50">
                  <c:v>2.8</c:v>
                </c:pt>
                <c:pt idx="51">
                  <c:v>1.6</c:v>
                </c:pt>
                <c:pt idx="52">
                  <c:v>1.8</c:v>
                </c:pt>
                <c:pt idx="53">
                  <c:v>1.9</c:v>
                </c:pt>
                <c:pt idx="54">
                  <c:v>1.7</c:v>
                </c:pt>
                <c:pt idx="55">
                  <c:v>1.9</c:v>
                </c:pt>
                <c:pt idx="56">
                  <c:v>2.9</c:v>
                </c:pt>
                <c:pt idx="57">
                  <c:v>1.7</c:v>
                </c:pt>
                <c:pt idx="58">
                  <c:v>1.8</c:v>
                </c:pt>
                <c:pt idx="59">
                  <c:v>1.9</c:v>
                </c:pt>
                <c:pt idx="60">
                  <c:v>3.3</c:v>
                </c:pt>
                <c:pt idx="61">
                  <c:v>2.7</c:v>
                </c:pt>
                <c:pt idx="62">
                  <c:v>2.8</c:v>
                </c:pt>
                <c:pt idx="63">
                  <c:v>2.7</c:v>
                </c:pt>
                <c:pt idx="64">
                  <c:v>1.8</c:v>
                </c:pt>
                <c:pt idx="65">
                  <c:v>2.7</c:v>
                </c:pt>
                <c:pt idx="66">
                  <c:v>1.8</c:v>
                </c:pt>
                <c:pt idx="67">
                  <c:v>1.8</c:v>
                </c:pt>
                <c:pt idx="68">
                  <c:v>1.7</c:v>
                </c:pt>
                <c:pt idx="69">
                  <c:v>1.8</c:v>
                </c:pt>
                <c:pt idx="70">
                  <c:v>1.8</c:v>
                </c:pt>
                <c:pt idx="71">
                  <c:v>2.8</c:v>
                </c:pt>
                <c:pt idx="72">
                  <c:v>1.7</c:v>
                </c:pt>
                <c:pt idx="73">
                  <c:v>1.9</c:v>
                </c:pt>
                <c:pt idx="74">
                  <c:v>1.8</c:v>
                </c:pt>
                <c:pt idx="75">
                  <c:v>1.6</c:v>
                </c:pt>
                <c:pt idx="76">
                  <c:v>3</c:v>
                </c:pt>
                <c:pt idx="77">
                  <c:v>1.8</c:v>
                </c:pt>
                <c:pt idx="78">
                  <c:v>1.8</c:v>
                </c:pt>
                <c:pt idx="79">
                  <c:v>2.8</c:v>
                </c:pt>
                <c:pt idx="80">
                  <c:v>1.8</c:v>
                </c:pt>
                <c:pt idx="81">
                  <c:v>2.8</c:v>
                </c:pt>
                <c:pt idx="82">
                  <c:v>1.9</c:v>
                </c:pt>
                <c:pt idx="83">
                  <c:v>1.9</c:v>
                </c:pt>
                <c:pt idx="84">
                  <c:v>1.8</c:v>
                </c:pt>
                <c:pt idx="85">
                  <c:v>2.8</c:v>
                </c:pt>
                <c:pt idx="86">
                  <c:v>1.7</c:v>
                </c:pt>
                <c:pt idx="87">
                  <c:v>2.9</c:v>
                </c:pt>
                <c:pt idx="88">
                  <c:v>1.7</c:v>
                </c:pt>
                <c:pt idx="89">
                  <c:v>1.8</c:v>
                </c:pt>
                <c:pt idx="90">
                  <c:v>1.8</c:v>
                </c:pt>
                <c:pt idx="91">
                  <c:v>1.8</c:v>
                </c:pt>
                <c:pt idx="92">
                  <c:v>2.8</c:v>
                </c:pt>
                <c:pt idx="93">
                  <c:v>1.7</c:v>
                </c:pt>
                <c:pt idx="94">
                  <c:v>1.9</c:v>
                </c:pt>
                <c:pt idx="95">
                  <c:v>1.7</c:v>
                </c:pt>
                <c:pt idx="96">
                  <c:v>3.1</c:v>
                </c:pt>
                <c:pt idx="97">
                  <c:v>1.8</c:v>
                </c:pt>
                <c:pt idx="98">
                  <c:v>1.8</c:v>
                </c:pt>
                <c:pt idx="99">
                  <c:v>1.8</c:v>
                </c:pt>
                <c:pt idx="100">
                  <c:v>1.9</c:v>
                </c:pt>
                <c:pt idx="101">
                  <c:v>1.8</c:v>
                </c:pt>
                <c:pt idx="102">
                  <c:v>1.7</c:v>
                </c:pt>
                <c:pt idx="103">
                  <c:v>2.9</c:v>
                </c:pt>
                <c:pt idx="104">
                  <c:v>1.9</c:v>
                </c:pt>
                <c:pt idx="105">
                  <c:v>2.9</c:v>
                </c:pt>
                <c:pt idx="106">
                  <c:v>1.9</c:v>
                </c:pt>
                <c:pt idx="107">
                  <c:v>2.8</c:v>
                </c:pt>
                <c:pt idx="108">
                  <c:v>1.8</c:v>
                </c:pt>
                <c:pt idx="109">
                  <c:v>1.7</c:v>
                </c:pt>
                <c:pt idx="110">
                  <c:v>2</c:v>
                </c:pt>
                <c:pt idx="111">
                  <c:v>1.9</c:v>
                </c:pt>
                <c:pt idx="112">
                  <c:v>1.8</c:v>
                </c:pt>
                <c:pt idx="113">
                  <c:v>1.9</c:v>
                </c:pt>
                <c:pt idx="114">
                  <c:v>2.8</c:v>
                </c:pt>
                <c:pt idx="115">
                  <c:v>1.8</c:v>
                </c:pt>
                <c:pt idx="116">
                  <c:v>3</c:v>
                </c:pt>
                <c:pt idx="117">
                  <c:v>2.8</c:v>
                </c:pt>
                <c:pt idx="118">
                  <c:v>1.9</c:v>
                </c:pt>
                <c:pt idx="119">
                  <c:v>3.3</c:v>
                </c:pt>
                <c:pt idx="120">
                  <c:v>2.8</c:v>
                </c:pt>
                <c:pt idx="121">
                  <c:v>2.7</c:v>
                </c:pt>
                <c:pt idx="122">
                  <c:v>1.7</c:v>
                </c:pt>
                <c:pt idx="123">
                  <c:v>1.7</c:v>
                </c:pt>
              </c:numCache>
            </c:numRef>
          </c:yVal>
          <c:smooth val="0"/>
          <c:extLst>
            <c:ext xmlns:c16="http://schemas.microsoft.com/office/drawing/2014/chart" uri="{C3380CC4-5D6E-409C-BE32-E72D297353CC}">
              <c16:uniqueId val="{00000001-94DD-4947-A59D-0E3E71BA59D5}"/>
            </c:ext>
          </c:extLst>
        </c:ser>
        <c:ser>
          <c:idx val="2"/>
          <c:order val="2"/>
          <c:tx>
            <c:strRef>
              <c:f>'13C'!$L$1</c:f>
              <c:strCache>
                <c:ptCount val="1"/>
                <c:pt idx="0">
                  <c:v>BGD 46</c:v>
                </c:pt>
              </c:strCache>
            </c:strRef>
          </c:tx>
          <c:spPr>
            <a:ln w="25400" cap="rnd">
              <a:noFill/>
              <a:round/>
            </a:ln>
            <a:effectLst/>
          </c:spPr>
          <c:marker>
            <c:symbol val="circle"/>
            <c:size val="7"/>
            <c:spPr>
              <a:noFill/>
              <a:ln w="9525">
                <a:solidFill>
                  <a:srgbClr val="FF0000"/>
                </a:solidFill>
              </a:ln>
              <a:effectLst/>
            </c:spPr>
          </c:marker>
          <c:xVal>
            <c:numRef>
              <c:f>'13C'!$B$2:$B$125</c:f>
              <c:numCache>
                <c:formatCode>General</c:formatCode>
                <c:ptCount val="124"/>
                <c:pt idx="0">
                  <c:v>27808</c:v>
                </c:pt>
                <c:pt idx="1">
                  <c:v>27809</c:v>
                </c:pt>
                <c:pt idx="2">
                  <c:v>27810</c:v>
                </c:pt>
                <c:pt idx="3">
                  <c:v>27812</c:v>
                </c:pt>
                <c:pt idx="4">
                  <c:v>27813</c:v>
                </c:pt>
                <c:pt idx="5">
                  <c:v>27814</c:v>
                </c:pt>
                <c:pt idx="6">
                  <c:v>27815</c:v>
                </c:pt>
                <c:pt idx="7">
                  <c:v>27816</c:v>
                </c:pt>
                <c:pt idx="8">
                  <c:v>27817</c:v>
                </c:pt>
                <c:pt idx="9">
                  <c:v>27818</c:v>
                </c:pt>
                <c:pt idx="10">
                  <c:v>27819</c:v>
                </c:pt>
                <c:pt idx="11">
                  <c:v>27820</c:v>
                </c:pt>
                <c:pt idx="12">
                  <c:v>27821</c:v>
                </c:pt>
                <c:pt idx="13">
                  <c:v>27822</c:v>
                </c:pt>
                <c:pt idx="14">
                  <c:v>27823</c:v>
                </c:pt>
                <c:pt idx="15">
                  <c:v>27824</c:v>
                </c:pt>
                <c:pt idx="16">
                  <c:v>27825</c:v>
                </c:pt>
                <c:pt idx="17">
                  <c:v>27826</c:v>
                </c:pt>
                <c:pt idx="18">
                  <c:v>27827</c:v>
                </c:pt>
                <c:pt idx="19">
                  <c:v>27828</c:v>
                </c:pt>
                <c:pt idx="20">
                  <c:v>27829</c:v>
                </c:pt>
                <c:pt idx="21">
                  <c:v>27830</c:v>
                </c:pt>
                <c:pt idx="22">
                  <c:v>27831</c:v>
                </c:pt>
                <c:pt idx="23">
                  <c:v>27832</c:v>
                </c:pt>
                <c:pt idx="24">
                  <c:v>27833</c:v>
                </c:pt>
                <c:pt idx="25">
                  <c:v>27834</c:v>
                </c:pt>
                <c:pt idx="26">
                  <c:v>27835</c:v>
                </c:pt>
                <c:pt idx="27">
                  <c:v>27836</c:v>
                </c:pt>
                <c:pt idx="28">
                  <c:v>27837</c:v>
                </c:pt>
                <c:pt idx="29">
                  <c:v>27838</c:v>
                </c:pt>
                <c:pt idx="30">
                  <c:v>27839</c:v>
                </c:pt>
                <c:pt idx="31">
                  <c:v>27840</c:v>
                </c:pt>
                <c:pt idx="32">
                  <c:v>27841</c:v>
                </c:pt>
                <c:pt idx="33">
                  <c:v>27842</c:v>
                </c:pt>
                <c:pt idx="34">
                  <c:v>27843</c:v>
                </c:pt>
                <c:pt idx="35">
                  <c:v>27844</c:v>
                </c:pt>
                <c:pt idx="36">
                  <c:v>27845</c:v>
                </c:pt>
                <c:pt idx="37">
                  <c:v>27846</c:v>
                </c:pt>
                <c:pt idx="38">
                  <c:v>27847</c:v>
                </c:pt>
                <c:pt idx="39">
                  <c:v>27848</c:v>
                </c:pt>
                <c:pt idx="40">
                  <c:v>27849</c:v>
                </c:pt>
                <c:pt idx="41">
                  <c:v>27850</c:v>
                </c:pt>
                <c:pt idx="42">
                  <c:v>27851</c:v>
                </c:pt>
                <c:pt idx="43">
                  <c:v>27852</c:v>
                </c:pt>
                <c:pt idx="44">
                  <c:v>27853</c:v>
                </c:pt>
                <c:pt idx="45">
                  <c:v>27854</c:v>
                </c:pt>
                <c:pt idx="46">
                  <c:v>27855</c:v>
                </c:pt>
                <c:pt idx="47">
                  <c:v>27856</c:v>
                </c:pt>
                <c:pt idx="48">
                  <c:v>27857</c:v>
                </c:pt>
                <c:pt idx="49">
                  <c:v>27858</c:v>
                </c:pt>
                <c:pt idx="50">
                  <c:v>27859</c:v>
                </c:pt>
                <c:pt idx="51">
                  <c:v>27860</c:v>
                </c:pt>
                <c:pt idx="52">
                  <c:v>27861</c:v>
                </c:pt>
                <c:pt idx="53">
                  <c:v>27862</c:v>
                </c:pt>
                <c:pt idx="54">
                  <c:v>27863</c:v>
                </c:pt>
                <c:pt idx="55">
                  <c:v>27864</c:v>
                </c:pt>
                <c:pt idx="56">
                  <c:v>27865</c:v>
                </c:pt>
                <c:pt idx="57">
                  <c:v>27866</c:v>
                </c:pt>
                <c:pt idx="58">
                  <c:v>27867</c:v>
                </c:pt>
                <c:pt idx="59">
                  <c:v>27868</c:v>
                </c:pt>
                <c:pt idx="60">
                  <c:v>27869</c:v>
                </c:pt>
                <c:pt idx="61">
                  <c:v>27870</c:v>
                </c:pt>
                <c:pt idx="62">
                  <c:v>27871</c:v>
                </c:pt>
                <c:pt idx="63">
                  <c:v>27872</c:v>
                </c:pt>
                <c:pt idx="64">
                  <c:v>27873</c:v>
                </c:pt>
                <c:pt idx="65">
                  <c:v>27874</c:v>
                </c:pt>
                <c:pt idx="66">
                  <c:v>27875</c:v>
                </c:pt>
                <c:pt idx="67">
                  <c:v>27876</c:v>
                </c:pt>
                <c:pt idx="68">
                  <c:v>27877</c:v>
                </c:pt>
                <c:pt idx="69">
                  <c:v>27878</c:v>
                </c:pt>
                <c:pt idx="70">
                  <c:v>27879</c:v>
                </c:pt>
                <c:pt idx="71">
                  <c:v>27880</c:v>
                </c:pt>
                <c:pt idx="72">
                  <c:v>27881</c:v>
                </c:pt>
                <c:pt idx="73">
                  <c:v>27882</c:v>
                </c:pt>
                <c:pt idx="74">
                  <c:v>27883</c:v>
                </c:pt>
                <c:pt idx="75">
                  <c:v>27884</c:v>
                </c:pt>
                <c:pt idx="76">
                  <c:v>27885</c:v>
                </c:pt>
                <c:pt idx="77">
                  <c:v>27886</c:v>
                </c:pt>
                <c:pt idx="78">
                  <c:v>27887</c:v>
                </c:pt>
                <c:pt idx="79">
                  <c:v>27888</c:v>
                </c:pt>
                <c:pt idx="80">
                  <c:v>27889</c:v>
                </c:pt>
                <c:pt idx="81">
                  <c:v>27890</c:v>
                </c:pt>
                <c:pt idx="82">
                  <c:v>27891</c:v>
                </c:pt>
                <c:pt idx="83">
                  <c:v>27892</c:v>
                </c:pt>
                <c:pt idx="84">
                  <c:v>27893</c:v>
                </c:pt>
                <c:pt idx="85">
                  <c:v>27894</c:v>
                </c:pt>
                <c:pt idx="86">
                  <c:v>27895</c:v>
                </c:pt>
                <c:pt idx="87">
                  <c:v>27896</c:v>
                </c:pt>
                <c:pt idx="88">
                  <c:v>27897</c:v>
                </c:pt>
                <c:pt idx="89">
                  <c:v>27898</c:v>
                </c:pt>
                <c:pt idx="90">
                  <c:v>27899</c:v>
                </c:pt>
                <c:pt idx="91">
                  <c:v>27900</c:v>
                </c:pt>
                <c:pt idx="92">
                  <c:v>27901</c:v>
                </c:pt>
                <c:pt idx="93">
                  <c:v>27902</c:v>
                </c:pt>
                <c:pt idx="94">
                  <c:v>27903</c:v>
                </c:pt>
                <c:pt idx="95">
                  <c:v>27904</c:v>
                </c:pt>
                <c:pt idx="96">
                  <c:v>27905</c:v>
                </c:pt>
                <c:pt idx="97">
                  <c:v>27906</c:v>
                </c:pt>
                <c:pt idx="98">
                  <c:v>27907</c:v>
                </c:pt>
                <c:pt idx="99">
                  <c:v>27908</c:v>
                </c:pt>
                <c:pt idx="100">
                  <c:v>27909</c:v>
                </c:pt>
                <c:pt idx="101">
                  <c:v>27910</c:v>
                </c:pt>
                <c:pt idx="102">
                  <c:v>27911</c:v>
                </c:pt>
                <c:pt idx="103">
                  <c:v>27912</c:v>
                </c:pt>
                <c:pt idx="104">
                  <c:v>27913</c:v>
                </c:pt>
                <c:pt idx="105">
                  <c:v>27914</c:v>
                </c:pt>
                <c:pt idx="106">
                  <c:v>27915</c:v>
                </c:pt>
                <c:pt idx="107">
                  <c:v>27916</c:v>
                </c:pt>
                <c:pt idx="108">
                  <c:v>27917</c:v>
                </c:pt>
                <c:pt idx="109">
                  <c:v>27918</c:v>
                </c:pt>
                <c:pt idx="110">
                  <c:v>27919</c:v>
                </c:pt>
                <c:pt idx="111">
                  <c:v>27920</c:v>
                </c:pt>
                <c:pt idx="112">
                  <c:v>27921</c:v>
                </c:pt>
                <c:pt idx="113">
                  <c:v>27922</c:v>
                </c:pt>
                <c:pt idx="114">
                  <c:v>27923</c:v>
                </c:pt>
                <c:pt idx="115">
                  <c:v>27924</c:v>
                </c:pt>
                <c:pt idx="116">
                  <c:v>27925</c:v>
                </c:pt>
                <c:pt idx="117">
                  <c:v>27926</c:v>
                </c:pt>
                <c:pt idx="118">
                  <c:v>27927</c:v>
                </c:pt>
                <c:pt idx="119">
                  <c:v>27928</c:v>
                </c:pt>
                <c:pt idx="120">
                  <c:v>27929</c:v>
                </c:pt>
                <c:pt idx="121">
                  <c:v>27930</c:v>
                </c:pt>
                <c:pt idx="122">
                  <c:v>27931</c:v>
                </c:pt>
                <c:pt idx="123">
                  <c:v>27932</c:v>
                </c:pt>
              </c:numCache>
            </c:numRef>
          </c:xVal>
          <c:yVal>
            <c:numRef>
              <c:f>'13C'!$L$2:$L$125</c:f>
              <c:numCache>
                <c:formatCode>General</c:formatCode>
                <c:ptCount val="124"/>
                <c:pt idx="0">
                  <c:v>2.9</c:v>
                </c:pt>
                <c:pt idx="1">
                  <c:v>3.1</c:v>
                </c:pt>
                <c:pt idx="2">
                  <c:v>3.2</c:v>
                </c:pt>
                <c:pt idx="3">
                  <c:v>1.8</c:v>
                </c:pt>
                <c:pt idx="4">
                  <c:v>4.3</c:v>
                </c:pt>
                <c:pt idx="5">
                  <c:v>3.1</c:v>
                </c:pt>
                <c:pt idx="6">
                  <c:v>3.1</c:v>
                </c:pt>
                <c:pt idx="7">
                  <c:v>2.1</c:v>
                </c:pt>
                <c:pt idx="8">
                  <c:v>2.1</c:v>
                </c:pt>
                <c:pt idx="9">
                  <c:v>2.2999999999999998</c:v>
                </c:pt>
                <c:pt idx="10">
                  <c:v>2.2000000000000002</c:v>
                </c:pt>
                <c:pt idx="11">
                  <c:v>2.2000000000000002</c:v>
                </c:pt>
                <c:pt idx="12">
                  <c:v>3.3</c:v>
                </c:pt>
                <c:pt idx="13">
                  <c:v>2.2999999999999998</c:v>
                </c:pt>
                <c:pt idx="14">
                  <c:v>2.2000000000000002</c:v>
                </c:pt>
                <c:pt idx="15">
                  <c:v>2.2999999999999998</c:v>
                </c:pt>
                <c:pt idx="16">
                  <c:v>2.2000000000000002</c:v>
                </c:pt>
                <c:pt idx="17">
                  <c:v>2.5</c:v>
                </c:pt>
                <c:pt idx="18">
                  <c:v>2.4</c:v>
                </c:pt>
                <c:pt idx="19">
                  <c:v>2.4</c:v>
                </c:pt>
                <c:pt idx="20">
                  <c:v>2.5</c:v>
                </c:pt>
                <c:pt idx="21">
                  <c:v>1.8</c:v>
                </c:pt>
                <c:pt idx="22">
                  <c:v>2.6</c:v>
                </c:pt>
                <c:pt idx="23">
                  <c:v>2.5</c:v>
                </c:pt>
                <c:pt idx="24">
                  <c:v>2.4</c:v>
                </c:pt>
                <c:pt idx="25">
                  <c:v>2.4</c:v>
                </c:pt>
                <c:pt idx="26">
                  <c:v>3.5</c:v>
                </c:pt>
                <c:pt idx="27">
                  <c:v>3.6</c:v>
                </c:pt>
                <c:pt idx="28">
                  <c:v>2.5</c:v>
                </c:pt>
                <c:pt idx="29">
                  <c:v>2.2999999999999998</c:v>
                </c:pt>
                <c:pt idx="30">
                  <c:v>3.5</c:v>
                </c:pt>
                <c:pt idx="31">
                  <c:v>3.7</c:v>
                </c:pt>
                <c:pt idx="32">
                  <c:v>2.5</c:v>
                </c:pt>
                <c:pt idx="33">
                  <c:v>3.5</c:v>
                </c:pt>
                <c:pt idx="34">
                  <c:v>2.4</c:v>
                </c:pt>
                <c:pt idx="35">
                  <c:v>2.4</c:v>
                </c:pt>
                <c:pt idx="36">
                  <c:v>2.4</c:v>
                </c:pt>
                <c:pt idx="37">
                  <c:v>2</c:v>
                </c:pt>
                <c:pt idx="38">
                  <c:v>4</c:v>
                </c:pt>
                <c:pt idx="39">
                  <c:v>2.1</c:v>
                </c:pt>
                <c:pt idx="40">
                  <c:v>2.4</c:v>
                </c:pt>
                <c:pt idx="41">
                  <c:v>2.8</c:v>
                </c:pt>
                <c:pt idx="42">
                  <c:v>2.6</c:v>
                </c:pt>
                <c:pt idx="43">
                  <c:v>2.4</c:v>
                </c:pt>
                <c:pt idx="44">
                  <c:v>3.7</c:v>
                </c:pt>
                <c:pt idx="45">
                  <c:v>2.5</c:v>
                </c:pt>
                <c:pt idx="46">
                  <c:v>2.4</c:v>
                </c:pt>
                <c:pt idx="47">
                  <c:v>2.5</c:v>
                </c:pt>
                <c:pt idx="48">
                  <c:v>3.7</c:v>
                </c:pt>
                <c:pt idx="49">
                  <c:v>2.5</c:v>
                </c:pt>
                <c:pt idx="50">
                  <c:v>3.7</c:v>
                </c:pt>
                <c:pt idx="51">
                  <c:v>2.2999999999999998</c:v>
                </c:pt>
                <c:pt idx="52">
                  <c:v>2.5</c:v>
                </c:pt>
                <c:pt idx="53">
                  <c:v>2.6</c:v>
                </c:pt>
                <c:pt idx="54">
                  <c:v>2.5</c:v>
                </c:pt>
                <c:pt idx="55">
                  <c:v>2.6</c:v>
                </c:pt>
                <c:pt idx="56">
                  <c:v>3.7</c:v>
                </c:pt>
                <c:pt idx="57">
                  <c:v>2.4</c:v>
                </c:pt>
                <c:pt idx="58">
                  <c:v>2.5</c:v>
                </c:pt>
                <c:pt idx="59">
                  <c:v>2.6</c:v>
                </c:pt>
                <c:pt idx="60">
                  <c:v>4.3</c:v>
                </c:pt>
                <c:pt idx="61">
                  <c:v>3.5</c:v>
                </c:pt>
                <c:pt idx="62">
                  <c:v>3.6</c:v>
                </c:pt>
                <c:pt idx="63">
                  <c:v>3.6</c:v>
                </c:pt>
                <c:pt idx="64">
                  <c:v>2.4</c:v>
                </c:pt>
                <c:pt idx="65">
                  <c:v>3.5</c:v>
                </c:pt>
                <c:pt idx="66">
                  <c:v>2.5</c:v>
                </c:pt>
                <c:pt idx="67">
                  <c:v>2.5</c:v>
                </c:pt>
                <c:pt idx="68">
                  <c:v>2.5</c:v>
                </c:pt>
                <c:pt idx="69">
                  <c:v>2.5</c:v>
                </c:pt>
                <c:pt idx="70">
                  <c:v>2.6</c:v>
                </c:pt>
                <c:pt idx="71">
                  <c:v>3.6</c:v>
                </c:pt>
                <c:pt idx="72">
                  <c:v>2.4</c:v>
                </c:pt>
                <c:pt idx="73">
                  <c:v>2.7</c:v>
                </c:pt>
                <c:pt idx="74">
                  <c:v>2.5</c:v>
                </c:pt>
                <c:pt idx="75">
                  <c:v>2.4</c:v>
                </c:pt>
                <c:pt idx="76">
                  <c:v>4</c:v>
                </c:pt>
                <c:pt idx="77">
                  <c:v>2.6</c:v>
                </c:pt>
                <c:pt idx="78">
                  <c:v>2.5</c:v>
                </c:pt>
                <c:pt idx="79">
                  <c:v>3.8</c:v>
                </c:pt>
                <c:pt idx="80">
                  <c:v>2.5</c:v>
                </c:pt>
                <c:pt idx="81">
                  <c:v>3.6</c:v>
                </c:pt>
                <c:pt idx="82">
                  <c:v>2.7</c:v>
                </c:pt>
                <c:pt idx="83">
                  <c:v>2.7</c:v>
                </c:pt>
                <c:pt idx="84">
                  <c:v>2.5</c:v>
                </c:pt>
                <c:pt idx="85">
                  <c:v>3.7</c:v>
                </c:pt>
                <c:pt idx="86">
                  <c:v>2.4</c:v>
                </c:pt>
                <c:pt idx="87">
                  <c:v>3.8</c:v>
                </c:pt>
                <c:pt idx="88">
                  <c:v>2.5</c:v>
                </c:pt>
                <c:pt idx="89">
                  <c:v>2.6</c:v>
                </c:pt>
                <c:pt idx="90">
                  <c:v>2.5</c:v>
                </c:pt>
                <c:pt idx="91">
                  <c:v>2.6</c:v>
                </c:pt>
                <c:pt idx="92">
                  <c:v>3.7</c:v>
                </c:pt>
                <c:pt idx="93">
                  <c:v>2.4</c:v>
                </c:pt>
                <c:pt idx="94">
                  <c:v>2.8</c:v>
                </c:pt>
                <c:pt idx="95">
                  <c:v>2.5</c:v>
                </c:pt>
                <c:pt idx="96">
                  <c:v>4.0999999999999996</c:v>
                </c:pt>
                <c:pt idx="97">
                  <c:v>2.6</c:v>
                </c:pt>
                <c:pt idx="98">
                  <c:v>2.5</c:v>
                </c:pt>
                <c:pt idx="99">
                  <c:v>2.5</c:v>
                </c:pt>
                <c:pt idx="100">
                  <c:v>2.7</c:v>
                </c:pt>
                <c:pt idx="101">
                  <c:v>2.7</c:v>
                </c:pt>
                <c:pt idx="102">
                  <c:v>2.5</c:v>
                </c:pt>
                <c:pt idx="103">
                  <c:v>3.8</c:v>
                </c:pt>
                <c:pt idx="104">
                  <c:v>2.7</c:v>
                </c:pt>
                <c:pt idx="105">
                  <c:v>3.9</c:v>
                </c:pt>
                <c:pt idx="106">
                  <c:v>2.8</c:v>
                </c:pt>
                <c:pt idx="107">
                  <c:v>3.8</c:v>
                </c:pt>
                <c:pt idx="108">
                  <c:v>2.7</c:v>
                </c:pt>
                <c:pt idx="109">
                  <c:v>2.5</c:v>
                </c:pt>
                <c:pt idx="110">
                  <c:v>2.9</c:v>
                </c:pt>
                <c:pt idx="111">
                  <c:v>2.7</c:v>
                </c:pt>
                <c:pt idx="112">
                  <c:v>2.7</c:v>
                </c:pt>
                <c:pt idx="113">
                  <c:v>2.7</c:v>
                </c:pt>
                <c:pt idx="114">
                  <c:v>3.9</c:v>
                </c:pt>
                <c:pt idx="115">
                  <c:v>2.7</c:v>
                </c:pt>
                <c:pt idx="116">
                  <c:v>4.0999999999999996</c:v>
                </c:pt>
                <c:pt idx="117">
                  <c:v>3.8</c:v>
                </c:pt>
                <c:pt idx="118">
                  <c:v>2.8</c:v>
                </c:pt>
                <c:pt idx="119">
                  <c:v>4.5</c:v>
                </c:pt>
                <c:pt idx="120">
                  <c:v>3.7</c:v>
                </c:pt>
                <c:pt idx="121">
                  <c:v>3.7</c:v>
                </c:pt>
                <c:pt idx="122">
                  <c:v>2.5</c:v>
                </c:pt>
                <c:pt idx="123">
                  <c:v>2.6</c:v>
                </c:pt>
              </c:numCache>
            </c:numRef>
          </c:yVal>
          <c:smooth val="0"/>
          <c:extLst>
            <c:ext xmlns:c16="http://schemas.microsoft.com/office/drawing/2014/chart" uri="{C3380CC4-5D6E-409C-BE32-E72D297353CC}">
              <c16:uniqueId val="{00000000-94DD-4947-A59D-0E3E71BA59D5}"/>
            </c:ext>
          </c:extLst>
        </c:ser>
        <c:dLbls>
          <c:showLegendKey val="0"/>
          <c:showVal val="0"/>
          <c:showCatName val="0"/>
          <c:showSerName val="0"/>
          <c:showPercent val="0"/>
          <c:showBubbleSize val="0"/>
        </c:dLbls>
        <c:axId val="168393120"/>
        <c:axId val="168393512"/>
      </c:scatterChart>
      <c:valAx>
        <c:axId val="168393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Analysis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3512"/>
        <c:crosses val="autoZero"/>
        <c:crossBetween val="midCat"/>
      </c:valAx>
      <c:valAx>
        <c:axId val="168393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BGD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H"/>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crossAx val="16839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H"/>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0</xdr:col>
          <xdr:colOff>1168400</xdr:colOff>
          <xdr:row>3</xdr:row>
          <xdr:rowOff>190500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mg N calibration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190500</xdr:rowOff>
        </xdr:from>
        <xdr:to>
          <xdr:col>18</xdr:col>
          <xdr:colOff>863600</xdr:colOff>
          <xdr:row>3</xdr:row>
          <xdr:rowOff>38100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Import samples &amp; calculate mg 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25400</xdr:colOff>
          <xdr:row>0</xdr:row>
          <xdr:rowOff>12700</xdr:rowOff>
        </xdr:from>
        <xdr:to>
          <xdr:col>7</xdr:col>
          <xdr:colOff>1054100</xdr:colOff>
          <xdr:row>3</xdr:row>
          <xdr:rowOff>177800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mg C calibration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12700</xdr:colOff>
          <xdr:row>1</xdr:row>
          <xdr:rowOff>0</xdr:rowOff>
        </xdr:from>
        <xdr:to>
          <xdr:col>26</xdr:col>
          <xdr:colOff>711200</xdr:colOff>
          <xdr:row>3</xdr:row>
          <xdr:rowOff>50800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Import samples &amp; calculate mg C</a:t>
              </a:r>
            </a:p>
          </xdr:txBody>
        </xdr:sp>
        <xdr:clientData/>
      </xdr:twoCellAnchor>
    </mc:Choice>
    <mc:Fallback/>
  </mc:AlternateContent>
  <xdr:twoCellAnchor>
    <xdr:from>
      <xdr:col>0</xdr:col>
      <xdr:colOff>208756</xdr:colOff>
      <xdr:row>19</xdr:row>
      <xdr:rowOff>124619</xdr:rowOff>
    </xdr:from>
    <xdr:to>
      <xdr:col>9</xdr:col>
      <xdr:colOff>119856</xdr:colOff>
      <xdr:row>44</xdr:row>
      <xdr:rowOff>48419</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25400</xdr:colOff>
      <xdr:row>19</xdr:row>
      <xdr:rowOff>12700</xdr:rowOff>
    </xdr:from>
    <xdr:to>
      <xdr:col>33</xdr:col>
      <xdr:colOff>381001</xdr:colOff>
      <xdr:row>37</xdr:row>
      <xdr:rowOff>12700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36</xdr:col>
          <xdr:colOff>101600</xdr:colOff>
          <xdr:row>3</xdr:row>
          <xdr:rowOff>127000</xdr:rowOff>
        </xdr:from>
        <xdr:to>
          <xdr:col>38</xdr:col>
          <xdr:colOff>0</xdr:colOff>
          <xdr:row>6</xdr:row>
          <xdr:rowOff>12700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Ref</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12700</xdr:colOff>
          <xdr:row>3</xdr:row>
          <xdr:rowOff>12700</xdr:rowOff>
        </xdr:from>
        <xdr:to>
          <xdr:col>27</xdr:col>
          <xdr:colOff>114300</xdr:colOff>
          <xdr:row>5</xdr:row>
          <xdr:rowOff>139700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Drift</a:t>
              </a:r>
            </a:p>
          </xdr:txBody>
        </xdr:sp>
        <xdr:clientData/>
      </xdr:twoCellAnchor>
    </mc:Choice>
    <mc:Fallback/>
  </mc:AlternateContent>
  <xdr:twoCellAnchor editAs="oneCell">
    <xdr:from>
      <xdr:col>38</xdr:col>
      <xdr:colOff>0</xdr:colOff>
      <xdr:row>25</xdr:row>
      <xdr:rowOff>0</xdr:rowOff>
    </xdr:from>
    <xdr:to>
      <xdr:col>43</xdr:col>
      <xdr:colOff>527051</xdr:colOff>
      <xdr:row>43</xdr:row>
      <xdr:rowOff>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47</xdr:col>
          <xdr:colOff>838200</xdr:colOff>
          <xdr:row>3</xdr:row>
          <xdr:rowOff>0</xdr:rowOff>
        </xdr:from>
        <xdr:to>
          <xdr:col>49</xdr:col>
          <xdr:colOff>596900</xdr:colOff>
          <xdr:row>5</xdr:row>
          <xdr:rowOff>190500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QC</a:t>
              </a:r>
            </a:p>
          </xdr:txBody>
        </xdr:sp>
        <xdr:clientData/>
      </xdr:twoCellAnchor>
    </mc:Choice>
    <mc:Fallback/>
  </mc:AlternateContent>
  <xdr:twoCellAnchor>
    <xdr:from>
      <xdr:col>26</xdr:col>
      <xdr:colOff>0</xdr:colOff>
      <xdr:row>38</xdr:row>
      <xdr:rowOff>0</xdr:rowOff>
    </xdr:from>
    <xdr:to>
      <xdr:col>32</xdr:col>
      <xdr:colOff>415925</xdr:colOff>
      <xdr:row>55</xdr:row>
      <xdr:rowOff>28575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0</xdr:colOff>
      <xdr:row>56</xdr:row>
      <xdr:rowOff>0</xdr:rowOff>
    </xdr:from>
    <xdr:to>
      <xdr:col>32</xdr:col>
      <xdr:colOff>415925</xdr:colOff>
      <xdr:row>73</xdr:row>
      <xdr:rowOff>28575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0</xdr:colOff>
      <xdr:row>74</xdr:row>
      <xdr:rowOff>0</xdr:rowOff>
    </xdr:from>
    <xdr:to>
      <xdr:col>32</xdr:col>
      <xdr:colOff>425450</xdr:colOff>
      <xdr:row>88</xdr:row>
      <xdr:rowOff>104775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61</xdr:col>
          <xdr:colOff>12700</xdr:colOff>
          <xdr:row>6</xdr:row>
          <xdr:rowOff>203200</xdr:rowOff>
        </xdr:from>
        <xdr:to>
          <xdr:col>63</xdr:col>
          <xdr:colOff>0</xdr:colOff>
          <xdr:row>11</xdr:row>
          <xdr:rowOff>0</xdr:rowOff>
        </xdr:to>
        <xdr:sp macro="" textlink="">
          <xdr:nvSpPr>
            <xdr:cNvPr id="4103" name="Button 7" descr="d15N&#10;Linearity Check"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15N</a:t>
              </a:r>
            </a:p>
            <a:p>
              <a:pPr algn="ctr" rtl="0">
                <a:defRPr sz="1000"/>
              </a:pPr>
              <a:r>
                <a:rPr lang="en-US" sz="1200" b="0" i="0" u="none" strike="noStrike" baseline="0">
                  <a:solidFill>
                    <a:srgbClr val="000000"/>
                  </a:solidFill>
                  <a:latin typeface="Calibri" pitchFamily="2" charset="0"/>
                  <a:cs typeface="Calibri" pitchFamily="2" charset="0"/>
                </a:rPr>
                <a:t>Linearity Check</a:t>
              </a:r>
            </a:p>
          </xdr:txBody>
        </xdr:sp>
        <xdr:clientData fPrintsWithSheet="0"/>
      </xdr:twoCellAnchor>
    </mc:Choice>
    <mc:Fallback/>
  </mc:AlternateContent>
  <xdr:twoCellAnchor>
    <xdr:from>
      <xdr:col>64</xdr:col>
      <xdr:colOff>2</xdr:colOff>
      <xdr:row>25</xdr:row>
      <xdr:rowOff>95250</xdr:rowOff>
    </xdr:from>
    <xdr:to>
      <xdr:col>70</xdr:col>
      <xdr:colOff>13609</xdr:colOff>
      <xdr:row>50</xdr:row>
      <xdr:rowOff>30844</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70</xdr:col>
      <xdr:colOff>258536</xdr:colOff>
      <xdr:row>25</xdr:row>
      <xdr:rowOff>95251</xdr:rowOff>
    </xdr:from>
    <xdr:to>
      <xdr:col>76</xdr:col>
      <xdr:colOff>108858</xdr:colOff>
      <xdr:row>50</xdr:row>
      <xdr:rowOff>30845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76</xdr:col>
      <xdr:colOff>285752</xdr:colOff>
      <xdr:row>25</xdr:row>
      <xdr:rowOff>97972</xdr:rowOff>
    </xdr:from>
    <xdr:to>
      <xdr:col>78</xdr:col>
      <xdr:colOff>2204358</xdr:colOff>
      <xdr:row>50</xdr:row>
      <xdr:rowOff>40822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33</xdr:col>
      <xdr:colOff>0</xdr:colOff>
      <xdr:row>56</xdr:row>
      <xdr:rowOff>0</xdr:rowOff>
    </xdr:from>
    <xdr:to>
      <xdr:col>38</xdr:col>
      <xdr:colOff>400050</xdr:colOff>
      <xdr:row>73</xdr:row>
      <xdr:rowOff>28575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27</xdr:col>
      <xdr:colOff>6350</xdr:colOff>
      <xdr:row>21</xdr:row>
      <xdr:rowOff>31750</xdr:rowOff>
    </xdr:from>
    <xdr:to>
      <xdr:col>35</xdr:col>
      <xdr:colOff>184150</xdr:colOff>
      <xdr:row>39</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27</xdr:col>
          <xdr:colOff>0</xdr:colOff>
          <xdr:row>3</xdr:row>
          <xdr:rowOff>25400</xdr:rowOff>
        </xdr:from>
        <xdr:to>
          <xdr:col>28</xdr:col>
          <xdr:colOff>101600</xdr:colOff>
          <xdr:row>5</xdr:row>
          <xdr:rowOff>152400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5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Drift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37</xdr:col>
          <xdr:colOff>25400</xdr:colOff>
          <xdr:row>4</xdr:row>
          <xdr:rowOff>12700</xdr:rowOff>
        </xdr:from>
        <xdr:to>
          <xdr:col>38</xdr:col>
          <xdr:colOff>508000</xdr:colOff>
          <xdr:row>6</xdr:row>
          <xdr:rowOff>101600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5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Ref</a:t>
              </a: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2</xdr:row>
          <xdr:rowOff>203200</xdr:rowOff>
        </xdr:from>
        <xdr:to>
          <xdr:col>50</xdr:col>
          <xdr:colOff>596900</xdr:colOff>
          <xdr:row>5</xdr:row>
          <xdr:rowOff>190500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5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Extract QC</a:t>
              </a:r>
            </a:p>
          </xdr:txBody>
        </xdr:sp>
        <xdr:clientData/>
      </xdr:twoCellAnchor>
    </mc:Choice>
    <mc:Fallback/>
  </mc:AlternateContent>
  <xdr:twoCellAnchor>
    <xdr:from>
      <xdr:col>37</xdr:col>
      <xdr:colOff>209550</xdr:colOff>
      <xdr:row>15</xdr:row>
      <xdr:rowOff>63500</xdr:rowOff>
    </xdr:from>
    <xdr:to>
      <xdr:col>42</xdr:col>
      <xdr:colOff>1365250</xdr:colOff>
      <xdr:row>28</xdr:row>
      <xdr:rowOff>165100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40</xdr:row>
      <xdr:rowOff>0</xdr:rowOff>
    </xdr:from>
    <xdr:to>
      <xdr:col>34</xdr:col>
      <xdr:colOff>187325</xdr:colOff>
      <xdr:row>57</xdr:row>
      <xdr:rowOff>28575</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58</xdr:row>
      <xdr:rowOff>0</xdr:rowOff>
    </xdr:from>
    <xdr:to>
      <xdr:col>34</xdr:col>
      <xdr:colOff>187325</xdr:colOff>
      <xdr:row>75</xdr:row>
      <xdr:rowOff>28575</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0</xdr:colOff>
      <xdr:row>76</xdr:row>
      <xdr:rowOff>0</xdr:rowOff>
    </xdr:from>
    <xdr:to>
      <xdr:col>34</xdr:col>
      <xdr:colOff>196850</xdr:colOff>
      <xdr:row>90</xdr:row>
      <xdr:rowOff>104775</xdr:rowOff>
    </xdr:to>
    <xdr:graphicFrame macro="">
      <xdr:nvGraphicFramePr>
        <xdr:cNvPr id="9" name="Chart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62</xdr:col>
          <xdr:colOff>0</xdr:colOff>
          <xdr:row>6</xdr:row>
          <xdr:rowOff>190500</xdr:rowOff>
        </xdr:from>
        <xdr:to>
          <xdr:col>64</xdr:col>
          <xdr:colOff>0</xdr:colOff>
          <xdr:row>11</xdr:row>
          <xdr:rowOff>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500-00000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13C</a:t>
              </a:r>
            </a:p>
            <a:p>
              <a:pPr algn="ctr" rtl="0">
                <a:defRPr sz="1000"/>
              </a:pPr>
              <a:r>
                <a:rPr lang="en-US" sz="1200" b="0" i="0" u="none" strike="noStrike" baseline="0">
                  <a:solidFill>
                    <a:srgbClr val="000000"/>
                  </a:solidFill>
                  <a:latin typeface="Calibri" pitchFamily="2" charset="0"/>
                  <a:cs typeface="Calibri" pitchFamily="2" charset="0"/>
                </a:rPr>
                <a:t>Linearity Check</a:t>
              </a:r>
            </a:p>
          </xdr:txBody>
        </xdr:sp>
        <xdr:clientData fPrintsWithSheet="0"/>
      </xdr:twoCellAnchor>
    </mc:Choice>
    <mc:Fallback/>
  </mc:AlternateContent>
  <xdr:twoCellAnchor>
    <xdr:from>
      <xdr:col>65</xdr:col>
      <xdr:colOff>0</xdr:colOff>
      <xdr:row>26</xdr:row>
      <xdr:rowOff>0</xdr:rowOff>
    </xdr:from>
    <xdr:to>
      <xdr:col>70</xdr:col>
      <xdr:colOff>374196</xdr:colOff>
      <xdr:row>50</xdr:row>
      <xdr:rowOff>85272</xdr:rowOff>
    </xdr:to>
    <xdr:graphicFrame macro="">
      <xdr:nvGraphicFramePr>
        <xdr:cNvPr id="11" name="Chart 10">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70</xdr:col>
      <xdr:colOff>619123</xdr:colOff>
      <xdr:row>26</xdr:row>
      <xdr:rowOff>1</xdr:rowOff>
    </xdr:from>
    <xdr:to>
      <xdr:col>76</xdr:col>
      <xdr:colOff>326570</xdr:colOff>
      <xdr:row>50</xdr:row>
      <xdr:rowOff>85273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76</xdr:col>
      <xdr:colOff>503464</xdr:colOff>
      <xdr:row>26</xdr:row>
      <xdr:rowOff>2722</xdr:rowOff>
    </xdr:from>
    <xdr:to>
      <xdr:col>79</xdr:col>
      <xdr:colOff>764267</xdr:colOff>
      <xdr:row>50</xdr:row>
      <xdr:rowOff>95250</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34</xdr:col>
      <xdr:colOff>222250</xdr:colOff>
      <xdr:row>57</xdr:row>
      <xdr:rowOff>190500</xdr:rowOff>
    </xdr:from>
    <xdr:to>
      <xdr:col>40</xdr:col>
      <xdr:colOff>393700</xdr:colOff>
      <xdr:row>75</xdr:row>
      <xdr:rowOff>12700</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1</xdr:row>
          <xdr:rowOff>12700</xdr:rowOff>
        </xdr:from>
        <xdr:to>
          <xdr:col>9</xdr:col>
          <xdr:colOff>800100</xdr:colOff>
          <xdr:row>3</xdr:row>
          <xdr:rowOff>165100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6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pitchFamily="2" charset="0"/>
                </a:rPr>
                <a:t>Populate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lson/Google%20Drive/Lab/User%20Sample%20Lists/Bulk%20-%20d18O/LDH_microbialDNA/C:\Users\LABMAN\Google%20Drive\Lab\Data%20processing\Bulk%2013C%20&amp;%2015N\2018\181123-CN-Alnus2\181123-CN-EH-Alnus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refs" displayName="refs" ref="A1:E6" totalsRowShown="0">
  <tableColumns count="5">
    <tableColumn id="1" xr3:uid="{00000000-0010-0000-0000-000001000000}" name="Standards"/>
    <tableColumn id="2" xr3:uid="{00000000-0010-0000-0000-000002000000}" name="%N"/>
    <tableColumn id="3" xr3:uid="{00000000-0010-0000-0000-000003000000}" name="δ15N (‰ AIR-N2)"/>
    <tableColumn id="4" xr3:uid="{00000000-0010-0000-0000-000004000000}" name="%C" dataDxfId="5"/>
    <tableColumn id="5" xr3:uid="{00000000-0010-0000-0000-000005000000}" name="δ13C (‰ VPDB)" dataDxfId="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FFFC00"/>
  </sheetPr>
  <dimension ref="A1:B10"/>
  <sheetViews>
    <sheetView zoomScale="80" zoomScaleNormal="80" workbookViewId="0">
      <selection activeCell="B19" sqref="B19"/>
    </sheetView>
  </sheetViews>
  <sheetFormatPr baseColWidth="10" defaultColWidth="10.83203125" defaultRowHeight="16" x14ac:dyDescent="0.2"/>
  <cols>
    <col min="1" max="1" width="16" style="24" bestFit="1" customWidth="1"/>
    <col min="2" max="2" width="129.5" style="24" customWidth="1"/>
    <col min="3" max="16384" width="10.83203125" style="24"/>
  </cols>
  <sheetData>
    <row r="1" spans="1:2" ht="18" thickBot="1" x14ac:dyDescent="0.25">
      <c r="A1" s="25" t="s">
        <v>64</v>
      </c>
      <c r="B1" s="26" t="s">
        <v>65</v>
      </c>
    </row>
    <row r="2" spans="1:2" ht="52" thickTop="1" x14ac:dyDescent="0.2">
      <c r="A2" s="27" t="s">
        <v>59</v>
      </c>
      <c r="B2" s="28" t="s">
        <v>80</v>
      </c>
    </row>
    <row r="3" spans="1:2" ht="17" x14ac:dyDescent="0.2">
      <c r="A3" s="29" t="s">
        <v>60</v>
      </c>
      <c r="B3" s="30" t="s">
        <v>62</v>
      </c>
    </row>
    <row r="4" spans="1:2" ht="68" x14ac:dyDescent="0.2">
      <c r="A4" s="31" t="s">
        <v>61</v>
      </c>
      <c r="B4" s="32" t="s">
        <v>81</v>
      </c>
    </row>
    <row r="5" spans="1:2" ht="34" x14ac:dyDescent="0.2">
      <c r="A5" s="29" t="s">
        <v>63</v>
      </c>
      <c r="B5" s="30" t="s">
        <v>82</v>
      </c>
    </row>
    <row r="6" spans="1:2" ht="34" x14ac:dyDescent="0.2">
      <c r="A6" s="31"/>
      <c r="B6" s="32" t="s">
        <v>74</v>
      </c>
    </row>
    <row r="7" spans="1:2" ht="68" x14ac:dyDescent="0.2">
      <c r="A7" s="29"/>
      <c r="B7" s="30" t="s">
        <v>69</v>
      </c>
    </row>
    <row r="8" spans="1:2" ht="34" x14ac:dyDescent="0.2">
      <c r="A8" s="31"/>
      <c r="B8" s="32" t="s">
        <v>66</v>
      </c>
    </row>
    <row r="9" spans="1:2" ht="102" x14ac:dyDescent="0.2">
      <c r="A9" s="29"/>
      <c r="B9" s="30" t="s">
        <v>75</v>
      </c>
    </row>
    <row r="10" spans="1:2" ht="34" x14ac:dyDescent="0.2">
      <c r="A10" s="33" t="s">
        <v>67</v>
      </c>
      <c r="B10" s="34" t="s">
        <v>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H6"/>
  <sheetViews>
    <sheetView workbookViewId="0">
      <selection activeCell="G11" sqref="G11"/>
    </sheetView>
  </sheetViews>
  <sheetFormatPr baseColWidth="10" defaultColWidth="11" defaultRowHeight="16" x14ac:dyDescent="0.2"/>
  <cols>
    <col min="3" max="3" width="15.6640625" bestFit="1" customWidth="1"/>
    <col min="5" max="5" width="14.1640625" bestFit="1" customWidth="1"/>
    <col min="8" max="8" width="19" bestFit="1" customWidth="1"/>
  </cols>
  <sheetData>
    <row r="1" spans="1:8" x14ac:dyDescent="0.2">
      <c r="A1" t="s">
        <v>15</v>
      </c>
      <c r="B1" t="s">
        <v>16</v>
      </c>
      <c r="C1" t="s">
        <v>77</v>
      </c>
      <c r="D1" s="3" t="s">
        <v>25</v>
      </c>
      <c r="E1" s="3" t="s">
        <v>76</v>
      </c>
      <c r="H1" t="s">
        <v>58</v>
      </c>
    </row>
    <row r="2" spans="1:8" x14ac:dyDescent="0.2">
      <c r="A2" t="s">
        <v>12</v>
      </c>
      <c r="B2">
        <v>28.85</v>
      </c>
      <c r="C2">
        <v>-1.8</v>
      </c>
      <c r="D2" s="3">
        <v>49.48</v>
      </c>
      <c r="E2" s="3">
        <v>-32.15</v>
      </c>
      <c r="H2" t="b">
        <f>ISNA(MATCH('TCD data'!D2,refs[Standards],0))</f>
        <v>1</v>
      </c>
    </row>
    <row r="3" spans="1:8" x14ac:dyDescent="0.2">
      <c r="A3" t="s">
        <v>17</v>
      </c>
      <c r="D3" s="3"/>
      <c r="E3" s="3">
        <v>-28.64</v>
      </c>
    </row>
    <row r="4" spans="1:8" x14ac:dyDescent="0.2">
      <c r="A4" t="s">
        <v>14</v>
      </c>
      <c r="B4">
        <v>10.4</v>
      </c>
      <c r="C4">
        <v>8.6999999999999993</v>
      </c>
      <c r="D4" s="3">
        <v>45.1</v>
      </c>
      <c r="E4" s="3">
        <v>-29.21</v>
      </c>
    </row>
    <row r="5" spans="1:8" x14ac:dyDescent="0.2">
      <c r="A5" t="s">
        <v>13</v>
      </c>
      <c r="D5" s="3"/>
      <c r="E5" s="3">
        <v>-11.38</v>
      </c>
    </row>
    <row r="6" spans="1:8" x14ac:dyDescent="0.2">
      <c r="A6" t="s">
        <v>11</v>
      </c>
      <c r="B6">
        <v>46.65</v>
      </c>
      <c r="C6">
        <v>-0.4</v>
      </c>
      <c r="D6" s="3">
        <v>20</v>
      </c>
      <c r="E6" s="3">
        <v>-41.61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419"/>
  <sheetViews>
    <sheetView zoomScale="60" zoomScaleNormal="60" workbookViewId="0">
      <selection activeCell="A2" sqref="A2:K372"/>
    </sheetView>
  </sheetViews>
  <sheetFormatPr baseColWidth="10" defaultColWidth="11" defaultRowHeight="16" x14ac:dyDescent="0.2"/>
  <cols>
    <col min="1" max="1" width="18.5" bestFit="1" customWidth="1"/>
    <col min="2" max="2" width="9.1640625" bestFit="1" customWidth="1"/>
    <col min="3" max="3" width="5.5" bestFit="1" customWidth="1"/>
    <col min="4" max="4" width="10.6640625" bestFit="1" customWidth="1"/>
    <col min="5" max="5" width="11.1640625" bestFit="1" customWidth="1"/>
    <col min="6" max="6" width="8.83203125" bestFit="1" customWidth="1"/>
    <col min="7" max="7" width="19.83203125" bestFit="1" customWidth="1"/>
    <col min="8" max="8" width="23.1640625" bestFit="1" customWidth="1"/>
    <col min="9" max="9" width="13.6640625" bestFit="1" customWidth="1"/>
    <col min="10" max="10" width="17.1640625" bestFit="1" customWidth="1"/>
    <col min="11" max="11" width="17" bestFit="1" customWidth="1"/>
    <col min="12" max="12" width="17.33203125" bestFit="1" customWidth="1"/>
    <col min="13" max="13" width="24.1640625" bestFit="1" customWidth="1"/>
  </cols>
  <sheetData>
    <row r="1" spans="1:21" x14ac:dyDescent="0.2">
      <c r="A1" t="s">
        <v>39</v>
      </c>
      <c r="B1" t="s">
        <v>40</v>
      </c>
      <c r="C1" t="s">
        <v>0</v>
      </c>
      <c r="D1" t="s">
        <v>1</v>
      </c>
      <c r="E1" t="s">
        <v>41</v>
      </c>
      <c r="F1" t="s">
        <v>2</v>
      </c>
      <c r="G1" t="s">
        <v>42</v>
      </c>
      <c r="H1" t="s">
        <v>18</v>
      </c>
      <c r="I1" t="s">
        <v>43</v>
      </c>
      <c r="J1" t="s">
        <v>44</v>
      </c>
      <c r="K1" t="s">
        <v>19</v>
      </c>
      <c r="L1" t="s">
        <v>45</v>
      </c>
      <c r="M1" t="s">
        <v>46</v>
      </c>
      <c r="N1" s="1"/>
      <c r="O1" s="1"/>
      <c r="P1" s="1"/>
      <c r="Q1" s="1"/>
      <c r="R1" s="1"/>
      <c r="S1" s="1"/>
      <c r="T1" s="1"/>
      <c r="U1" s="1"/>
    </row>
    <row r="2" spans="1:21" x14ac:dyDescent="0.2">
      <c r="A2" s="13">
        <v>44251.747349537036</v>
      </c>
      <c r="B2">
        <v>27808</v>
      </c>
      <c r="C2">
        <v>1</v>
      </c>
      <c r="D2" t="s">
        <v>100</v>
      </c>
      <c r="G2">
        <v>1</v>
      </c>
      <c r="H2" t="s">
        <v>20</v>
      </c>
      <c r="I2">
        <v>129.6</v>
      </c>
      <c r="J2">
        <v>2122</v>
      </c>
      <c r="K2">
        <v>47353</v>
      </c>
      <c r="N2" s="1"/>
      <c r="O2" s="1"/>
      <c r="P2" s="1"/>
      <c r="Q2" s="1"/>
      <c r="R2" s="1"/>
      <c r="S2" s="1"/>
      <c r="T2" s="1"/>
    </row>
    <row r="3" spans="1:21" x14ac:dyDescent="0.2">
      <c r="A3" s="13">
        <v>44251.747349537036</v>
      </c>
      <c r="B3">
        <v>27808</v>
      </c>
      <c r="C3">
        <v>1</v>
      </c>
      <c r="D3" t="s">
        <v>100</v>
      </c>
      <c r="G3">
        <v>2</v>
      </c>
      <c r="H3" t="s">
        <v>21</v>
      </c>
      <c r="I3">
        <v>245.6</v>
      </c>
      <c r="J3">
        <v>23306</v>
      </c>
      <c r="K3">
        <v>582997</v>
      </c>
      <c r="N3" s="1"/>
      <c r="O3" s="1"/>
      <c r="P3" s="1"/>
      <c r="Q3" s="1"/>
      <c r="R3" s="1"/>
      <c r="S3" s="1"/>
      <c r="T3" s="1"/>
    </row>
    <row r="4" spans="1:21" x14ac:dyDescent="0.2">
      <c r="A4" s="13">
        <v>44251.747349537036</v>
      </c>
      <c r="B4">
        <v>27808</v>
      </c>
      <c r="C4">
        <v>1</v>
      </c>
      <c r="D4" t="s">
        <v>100</v>
      </c>
      <c r="N4" s="1"/>
      <c r="O4" s="1"/>
      <c r="P4" s="1"/>
      <c r="Q4" s="1"/>
      <c r="R4" s="1"/>
      <c r="S4" s="1"/>
      <c r="T4" s="1"/>
    </row>
    <row r="5" spans="1:21" x14ac:dyDescent="0.2">
      <c r="A5" s="13">
        <v>44251.754675925928</v>
      </c>
      <c r="B5">
        <v>27809</v>
      </c>
      <c r="C5">
        <v>2</v>
      </c>
      <c r="D5" t="s">
        <v>100</v>
      </c>
      <c r="G5">
        <v>1</v>
      </c>
      <c r="H5" t="s">
        <v>20</v>
      </c>
      <c r="I5">
        <v>129.6</v>
      </c>
      <c r="J5">
        <v>1924</v>
      </c>
      <c r="K5">
        <v>42896</v>
      </c>
      <c r="N5" s="1"/>
      <c r="O5" s="1"/>
      <c r="P5" s="1"/>
      <c r="Q5" s="1"/>
      <c r="R5" s="1"/>
      <c r="S5" s="1"/>
      <c r="T5" s="1"/>
    </row>
    <row r="6" spans="1:21" x14ac:dyDescent="0.2">
      <c r="A6" s="13">
        <v>44251.754675925928</v>
      </c>
      <c r="B6">
        <v>27809</v>
      </c>
      <c r="C6">
        <v>2</v>
      </c>
      <c r="D6" t="s">
        <v>100</v>
      </c>
      <c r="G6">
        <v>2</v>
      </c>
      <c r="H6" t="s">
        <v>21</v>
      </c>
      <c r="I6">
        <v>245.6</v>
      </c>
      <c r="J6">
        <v>21455</v>
      </c>
      <c r="K6">
        <v>534483</v>
      </c>
      <c r="N6" s="1"/>
      <c r="O6" s="1"/>
      <c r="P6" s="1"/>
      <c r="Q6" s="1"/>
      <c r="R6" s="1"/>
      <c r="S6" s="1"/>
      <c r="T6" s="1"/>
    </row>
    <row r="7" spans="1:21" x14ac:dyDescent="0.2">
      <c r="A7" s="13">
        <v>44251.754675925928</v>
      </c>
      <c r="B7">
        <v>27809</v>
      </c>
      <c r="C7">
        <v>2</v>
      </c>
      <c r="D7" t="s">
        <v>100</v>
      </c>
      <c r="N7" s="1"/>
      <c r="O7" s="1"/>
      <c r="P7" s="1"/>
      <c r="Q7" s="1"/>
      <c r="R7" s="1"/>
      <c r="S7" s="1"/>
      <c r="T7" s="1"/>
    </row>
    <row r="8" spans="1:21" x14ac:dyDescent="0.2">
      <c r="A8" s="13">
        <v>44251.762002314812</v>
      </c>
      <c r="B8">
        <v>27810</v>
      </c>
      <c r="C8">
        <v>3</v>
      </c>
      <c r="D8" t="s">
        <v>100</v>
      </c>
      <c r="G8">
        <v>1</v>
      </c>
      <c r="H8" t="s">
        <v>20</v>
      </c>
      <c r="I8">
        <v>129.6</v>
      </c>
      <c r="J8">
        <v>1542</v>
      </c>
      <c r="K8">
        <v>34411</v>
      </c>
      <c r="N8" s="1"/>
      <c r="O8" s="1"/>
      <c r="P8" s="1"/>
      <c r="Q8" s="1"/>
      <c r="R8" s="1"/>
      <c r="S8" s="1"/>
      <c r="T8" s="1"/>
    </row>
    <row r="9" spans="1:21" x14ac:dyDescent="0.2">
      <c r="A9" s="13">
        <v>44251.762002314812</v>
      </c>
      <c r="B9">
        <v>27810</v>
      </c>
      <c r="C9">
        <v>3</v>
      </c>
      <c r="D9" t="s">
        <v>100</v>
      </c>
      <c r="G9">
        <v>2</v>
      </c>
      <c r="H9" t="s">
        <v>21</v>
      </c>
      <c r="I9">
        <v>246.6</v>
      </c>
      <c r="J9">
        <v>17261</v>
      </c>
      <c r="K9">
        <v>429625</v>
      </c>
      <c r="N9" s="1"/>
      <c r="O9" s="1"/>
      <c r="P9" s="1"/>
      <c r="Q9" s="1"/>
      <c r="R9" s="1"/>
      <c r="S9" s="1"/>
      <c r="T9" s="1"/>
    </row>
    <row r="10" spans="1:21" x14ac:dyDescent="0.2">
      <c r="A10" s="13">
        <v>44251.762002314812</v>
      </c>
      <c r="B10">
        <v>27810</v>
      </c>
      <c r="C10">
        <v>3</v>
      </c>
      <c r="D10" t="s">
        <v>100</v>
      </c>
      <c r="N10" s="1"/>
      <c r="O10" s="1"/>
      <c r="P10" s="1"/>
      <c r="Q10" s="1"/>
      <c r="R10" s="1"/>
      <c r="S10" s="1"/>
      <c r="T10" s="1"/>
    </row>
    <row r="11" spans="1:21" x14ac:dyDescent="0.2">
      <c r="A11" s="13">
        <v>44251.76934027778</v>
      </c>
      <c r="B11">
        <v>27811</v>
      </c>
      <c r="C11">
        <v>4</v>
      </c>
      <c r="D11" t="s">
        <v>101</v>
      </c>
      <c r="N11" s="1"/>
      <c r="O11" s="1"/>
      <c r="P11" s="1"/>
      <c r="Q11" s="1"/>
      <c r="R11" s="1"/>
      <c r="S11" s="1"/>
      <c r="T11" s="1"/>
    </row>
    <row r="12" spans="1:21" x14ac:dyDescent="0.2">
      <c r="A12" s="13">
        <v>44251.76934027778</v>
      </c>
      <c r="B12">
        <v>27811</v>
      </c>
      <c r="C12">
        <v>4</v>
      </c>
      <c r="D12" t="s">
        <v>101</v>
      </c>
      <c r="N12" s="1"/>
      <c r="O12" s="1"/>
      <c r="P12" s="1"/>
      <c r="Q12" s="1"/>
      <c r="R12" s="1"/>
      <c r="S12" s="1"/>
      <c r="T12" s="1"/>
    </row>
    <row r="13" spans="1:21" x14ac:dyDescent="0.2">
      <c r="A13" s="13">
        <v>44251.776666666665</v>
      </c>
      <c r="B13">
        <v>27812</v>
      </c>
      <c r="C13">
        <v>5</v>
      </c>
      <c r="D13" t="s">
        <v>12</v>
      </c>
      <c r="G13">
        <v>1</v>
      </c>
      <c r="H13" t="s">
        <v>20</v>
      </c>
      <c r="I13">
        <v>129.80000000000001</v>
      </c>
      <c r="J13">
        <v>12299</v>
      </c>
      <c r="K13">
        <v>272488</v>
      </c>
      <c r="N13" s="1"/>
      <c r="O13" s="1"/>
      <c r="P13" s="1"/>
      <c r="Q13" s="1"/>
      <c r="R13" s="1"/>
      <c r="S13" s="1"/>
      <c r="T13" s="1"/>
    </row>
    <row r="14" spans="1:21" x14ac:dyDescent="0.2">
      <c r="A14" s="13">
        <v>44251.776666666665</v>
      </c>
      <c r="B14">
        <v>27812</v>
      </c>
      <c r="C14">
        <v>5</v>
      </c>
      <c r="D14" t="s">
        <v>12</v>
      </c>
      <c r="G14">
        <v>2</v>
      </c>
      <c r="H14" t="s">
        <v>21</v>
      </c>
      <c r="I14">
        <v>241.8</v>
      </c>
      <c r="J14">
        <v>51064</v>
      </c>
      <c r="K14">
        <v>1278369</v>
      </c>
      <c r="N14" s="1"/>
      <c r="O14" s="1"/>
      <c r="P14" s="1"/>
      <c r="Q14" s="1"/>
      <c r="R14" s="1"/>
      <c r="S14" s="1"/>
      <c r="T14" s="1"/>
    </row>
    <row r="15" spans="1:21" x14ac:dyDescent="0.2">
      <c r="A15" s="13">
        <v>44251.776666666665</v>
      </c>
      <c r="B15">
        <v>27812</v>
      </c>
      <c r="C15">
        <v>5</v>
      </c>
      <c r="D15" t="s">
        <v>12</v>
      </c>
      <c r="N15" s="1"/>
      <c r="O15" s="1"/>
      <c r="P15" s="1"/>
      <c r="Q15" s="1"/>
      <c r="R15" s="1"/>
      <c r="S15" s="1"/>
      <c r="T15" s="1"/>
    </row>
    <row r="16" spans="1:21" x14ac:dyDescent="0.2">
      <c r="A16" s="13">
        <v>44251.784004629626</v>
      </c>
      <c r="B16">
        <v>27813</v>
      </c>
      <c r="C16">
        <v>6</v>
      </c>
      <c r="D16" t="s">
        <v>11</v>
      </c>
      <c r="G16">
        <v>1</v>
      </c>
      <c r="H16" t="s">
        <v>20</v>
      </c>
      <c r="I16">
        <v>128.6</v>
      </c>
      <c r="J16">
        <v>5770</v>
      </c>
      <c r="K16">
        <v>129019</v>
      </c>
      <c r="N16" s="1"/>
      <c r="O16" s="1"/>
      <c r="P16" s="1"/>
      <c r="Q16" s="1"/>
      <c r="R16" s="1"/>
      <c r="S16" s="1"/>
      <c r="T16" s="1"/>
    </row>
    <row r="17" spans="1:20" x14ac:dyDescent="0.2">
      <c r="A17" s="13">
        <v>44251.784004629626</v>
      </c>
      <c r="B17">
        <v>27813</v>
      </c>
      <c r="C17">
        <v>6</v>
      </c>
      <c r="D17" t="s">
        <v>11</v>
      </c>
      <c r="G17">
        <v>2</v>
      </c>
      <c r="H17" t="s">
        <v>21</v>
      </c>
      <c r="I17">
        <v>247.6</v>
      </c>
      <c r="J17">
        <v>6292</v>
      </c>
      <c r="K17">
        <v>154705</v>
      </c>
      <c r="N17" s="1"/>
      <c r="O17" s="1"/>
      <c r="P17" s="1"/>
      <c r="Q17" s="1"/>
      <c r="R17" s="1"/>
      <c r="S17" s="1"/>
      <c r="T17" s="1"/>
    </row>
    <row r="18" spans="1:20" x14ac:dyDescent="0.2">
      <c r="A18" s="13">
        <v>44251.784004629626</v>
      </c>
      <c r="B18">
        <v>27813</v>
      </c>
      <c r="C18">
        <v>6</v>
      </c>
      <c r="D18" t="s">
        <v>11</v>
      </c>
      <c r="N18" s="1"/>
      <c r="O18" s="1"/>
      <c r="P18" s="1"/>
      <c r="Q18" s="1"/>
      <c r="R18" s="1"/>
      <c r="S18" s="1"/>
      <c r="T18" s="1"/>
    </row>
    <row r="19" spans="1:20" x14ac:dyDescent="0.2">
      <c r="A19" s="13">
        <v>44251.791331018518</v>
      </c>
      <c r="B19">
        <v>27814</v>
      </c>
      <c r="C19">
        <v>7</v>
      </c>
      <c r="D19" t="s">
        <v>13</v>
      </c>
      <c r="G19">
        <v>1</v>
      </c>
      <c r="H19" t="s">
        <v>21</v>
      </c>
      <c r="I19">
        <v>245.7</v>
      </c>
      <c r="J19">
        <v>23881</v>
      </c>
      <c r="K19">
        <v>589206</v>
      </c>
      <c r="N19" s="1"/>
      <c r="O19" s="1"/>
      <c r="P19" s="1"/>
      <c r="Q19" s="1"/>
      <c r="R19" s="1"/>
      <c r="S19" s="1"/>
      <c r="T19" s="1"/>
    </row>
    <row r="20" spans="1:20" x14ac:dyDescent="0.2">
      <c r="A20" s="13">
        <v>44251.791331018518</v>
      </c>
      <c r="B20">
        <v>27814</v>
      </c>
      <c r="C20">
        <v>7</v>
      </c>
      <c r="D20" t="s">
        <v>13</v>
      </c>
      <c r="N20" s="1"/>
      <c r="O20" s="1"/>
      <c r="P20" s="1"/>
      <c r="Q20" s="1"/>
      <c r="R20" s="1"/>
      <c r="S20" s="1"/>
      <c r="T20" s="1"/>
    </row>
    <row r="21" spans="1:20" x14ac:dyDescent="0.2">
      <c r="A21" s="13">
        <v>44251.798668981479</v>
      </c>
      <c r="B21">
        <v>27815</v>
      </c>
      <c r="C21">
        <v>8</v>
      </c>
      <c r="D21" t="s">
        <v>14</v>
      </c>
      <c r="G21">
        <v>1</v>
      </c>
      <c r="H21" t="s">
        <v>20</v>
      </c>
      <c r="I21">
        <v>129.6</v>
      </c>
      <c r="J21">
        <v>2426</v>
      </c>
      <c r="K21">
        <v>53637</v>
      </c>
      <c r="N21" s="1"/>
      <c r="O21" s="1"/>
      <c r="P21" s="1"/>
      <c r="Q21" s="1"/>
      <c r="R21" s="1"/>
      <c r="S21" s="1"/>
      <c r="T21" s="1"/>
    </row>
    <row r="22" spans="1:20" x14ac:dyDescent="0.2">
      <c r="A22" s="13">
        <v>44251.798668981479</v>
      </c>
      <c r="B22">
        <v>27815</v>
      </c>
      <c r="C22">
        <v>8</v>
      </c>
      <c r="D22" t="s">
        <v>14</v>
      </c>
      <c r="G22">
        <v>2</v>
      </c>
      <c r="H22" t="s">
        <v>21</v>
      </c>
      <c r="I22">
        <v>244.6</v>
      </c>
      <c r="J22">
        <v>26652</v>
      </c>
      <c r="K22">
        <v>660524</v>
      </c>
      <c r="N22" s="1"/>
      <c r="O22" s="1"/>
      <c r="P22" s="1"/>
      <c r="Q22" s="1"/>
      <c r="R22" s="1"/>
      <c r="S22" s="1"/>
      <c r="T22" s="1"/>
    </row>
    <row r="23" spans="1:20" x14ac:dyDescent="0.2">
      <c r="A23" s="13">
        <v>44251.798668981479</v>
      </c>
      <c r="B23">
        <v>27815</v>
      </c>
      <c r="C23">
        <v>8</v>
      </c>
      <c r="D23" t="s">
        <v>14</v>
      </c>
      <c r="N23" s="1"/>
      <c r="O23" s="1"/>
      <c r="P23" s="1"/>
      <c r="Q23" s="1"/>
      <c r="R23" s="1"/>
      <c r="S23" s="1"/>
      <c r="T23" s="1"/>
    </row>
    <row r="24" spans="1:20" x14ac:dyDescent="0.2">
      <c r="A24" s="13">
        <v>44251.805995370371</v>
      </c>
      <c r="B24">
        <v>27816</v>
      </c>
      <c r="C24">
        <v>9</v>
      </c>
      <c r="D24" t="s">
        <v>102</v>
      </c>
      <c r="G24">
        <v>1</v>
      </c>
      <c r="H24" t="s">
        <v>20</v>
      </c>
      <c r="I24">
        <v>129.6</v>
      </c>
      <c r="J24">
        <v>1079</v>
      </c>
      <c r="K24">
        <v>23423</v>
      </c>
      <c r="N24" s="1"/>
      <c r="O24" s="1"/>
      <c r="P24" s="1"/>
      <c r="Q24" s="1"/>
      <c r="R24" s="1"/>
      <c r="S24" s="1"/>
      <c r="T24" s="1"/>
    </row>
    <row r="25" spans="1:20" x14ac:dyDescent="0.2">
      <c r="A25" s="13">
        <v>44251.805995370371</v>
      </c>
      <c r="B25">
        <v>27816</v>
      </c>
      <c r="C25">
        <v>9</v>
      </c>
      <c r="D25" t="s">
        <v>102</v>
      </c>
      <c r="G25">
        <v>2</v>
      </c>
      <c r="H25" t="s">
        <v>21</v>
      </c>
      <c r="I25">
        <v>243.6</v>
      </c>
      <c r="J25">
        <v>39894</v>
      </c>
      <c r="K25">
        <v>987452</v>
      </c>
      <c r="N25" s="1"/>
      <c r="O25" s="1"/>
      <c r="P25" s="1"/>
      <c r="Q25" s="1"/>
      <c r="R25" s="1"/>
      <c r="S25" s="1"/>
      <c r="T25" s="1"/>
    </row>
    <row r="26" spans="1:20" x14ac:dyDescent="0.2">
      <c r="A26" s="13">
        <v>44251.805995370371</v>
      </c>
      <c r="B26">
        <v>27816</v>
      </c>
      <c r="C26">
        <v>9</v>
      </c>
      <c r="D26" t="s">
        <v>102</v>
      </c>
      <c r="N26" s="1"/>
      <c r="O26" s="1"/>
      <c r="P26" s="1"/>
      <c r="Q26" s="1"/>
      <c r="R26" s="1"/>
      <c r="S26" s="1"/>
      <c r="T26" s="1"/>
    </row>
    <row r="27" spans="1:20" x14ac:dyDescent="0.2">
      <c r="A27" s="13">
        <v>44251.813321759262</v>
      </c>
      <c r="B27">
        <v>27817</v>
      </c>
      <c r="C27">
        <v>10</v>
      </c>
      <c r="D27" t="s">
        <v>103</v>
      </c>
      <c r="F27">
        <v>5.4130000000000003</v>
      </c>
      <c r="G27">
        <v>1</v>
      </c>
      <c r="H27" t="s">
        <v>20</v>
      </c>
      <c r="I27">
        <v>129.6</v>
      </c>
      <c r="J27">
        <v>1409</v>
      </c>
      <c r="K27">
        <v>30186</v>
      </c>
      <c r="N27" s="1"/>
      <c r="O27" s="1"/>
      <c r="P27" s="1"/>
      <c r="Q27" s="1"/>
      <c r="R27" s="1"/>
      <c r="S27" s="1"/>
      <c r="T27" s="1"/>
    </row>
    <row r="28" spans="1:20" x14ac:dyDescent="0.2">
      <c r="A28" s="13">
        <v>44251.813321759262</v>
      </c>
      <c r="B28">
        <v>27817</v>
      </c>
      <c r="C28">
        <v>10</v>
      </c>
      <c r="D28" t="s">
        <v>103</v>
      </c>
      <c r="F28">
        <v>5.4130000000000003</v>
      </c>
      <c r="G28">
        <v>2</v>
      </c>
      <c r="H28" t="s">
        <v>21</v>
      </c>
      <c r="I28">
        <v>241.6</v>
      </c>
      <c r="J28">
        <v>52686</v>
      </c>
      <c r="K28">
        <v>1301153</v>
      </c>
      <c r="N28" s="1"/>
      <c r="O28" s="1"/>
      <c r="P28" s="1"/>
      <c r="Q28" s="1"/>
      <c r="R28" s="1"/>
      <c r="S28" s="1"/>
      <c r="T28" s="1"/>
    </row>
    <row r="29" spans="1:20" x14ac:dyDescent="0.2">
      <c r="A29" s="13">
        <v>44251.813321759262</v>
      </c>
      <c r="B29">
        <v>27817</v>
      </c>
      <c r="C29">
        <v>10</v>
      </c>
      <c r="D29" t="s">
        <v>103</v>
      </c>
      <c r="F29">
        <v>5.4130000000000003</v>
      </c>
      <c r="N29" s="1"/>
      <c r="O29" s="1"/>
      <c r="P29" s="1"/>
      <c r="Q29" s="1"/>
      <c r="R29" s="1"/>
      <c r="S29" s="1"/>
      <c r="T29" s="1"/>
    </row>
    <row r="30" spans="1:20" x14ac:dyDescent="0.2">
      <c r="A30" s="13">
        <v>44251.820648148147</v>
      </c>
      <c r="B30">
        <v>27818</v>
      </c>
      <c r="C30">
        <v>11</v>
      </c>
      <c r="D30" t="s">
        <v>104</v>
      </c>
      <c r="F30">
        <v>6.4379999999999997</v>
      </c>
      <c r="G30">
        <v>1</v>
      </c>
      <c r="H30" t="s">
        <v>20</v>
      </c>
      <c r="I30">
        <v>129.6</v>
      </c>
      <c r="J30">
        <v>1386</v>
      </c>
      <c r="K30">
        <v>29655</v>
      </c>
      <c r="N30" s="1"/>
      <c r="O30" s="1"/>
      <c r="P30" s="1"/>
      <c r="Q30" s="1"/>
      <c r="R30" s="1"/>
      <c r="S30" s="1"/>
      <c r="T30" s="1"/>
    </row>
    <row r="31" spans="1:20" x14ac:dyDescent="0.2">
      <c r="A31" s="13">
        <v>44251.820648148147</v>
      </c>
      <c r="B31">
        <v>27818</v>
      </c>
      <c r="C31">
        <v>11</v>
      </c>
      <c r="D31" t="s">
        <v>104</v>
      </c>
      <c r="F31">
        <v>6.4379999999999997</v>
      </c>
      <c r="G31">
        <v>2</v>
      </c>
      <c r="H31" t="s">
        <v>21</v>
      </c>
      <c r="I31">
        <v>243.6</v>
      </c>
      <c r="J31">
        <v>40061</v>
      </c>
      <c r="K31">
        <v>980608</v>
      </c>
      <c r="N31" s="1"/>
      <c r="O31" s="1"/>
      <c r="P31" s="1"/>
      <c r="Q31" s="1"/>
      <c r="R31" s="1"/>
      <c r="S31" s="1"/>
      <c r="T31" s="1"/>
    </row>
    <row r="32" spans="1:20" x14ac:dyDescent="0.2">
      <c r="A32" s="13">
        <v>44251.820648148147</v>
      </c>
      <c r="B32">
        <v>27818</v>
      </c>
      <c r="C32">
        <v>11</v>
      </c>
      <c r="D32" t="s">
        <v>104</v>
      </c>
      <c r="F32">
        <v>6.4379999999999997</v>
      </c>
      <c r="N32" s="1"/>
      <c r="O32" s="1"/>
      <c r="P32" s="1"/>
      <c r="Q32" s="1"/>
      <c r="R32" s="1"/>
      <c r="S32" s="1"/>
      <c r="T32" s="1"/>
    </row>
    <row r="33" spans="1:20" x14ac:dyDescent="0.2">
      <c r="A33" s="13">
        <v>44251.827986111108</v>
      </c>
      <c r="B33">
        <v>27819</v>
      </c>
      <c r="C33">
        <v>12</v>
      </c>
      <c r="D33" t="s">
        <v>105</v>
      </c>
      <c r="F33">
        <v>6.3029999999999999</v>
      </c>
      <c r="G33">
        <v>1</v>
      </c>
      <c r="H33" t="s">
        <v>20</v>
      </c>
      <c r="I33">
        <v>128.80000000000001</v>
      </c>
      <c r="J33">
        <v>2040</v>
      </c>
      <c r="K33">
        <v>43519</v>
      </c>
      <c r="N33" s="1"/>
      <c r="O33" s="1"/>
      <c r="P33" s="1"/>
      <c r="Q33" s="1"/>
      <c r="R33" s="1"/>
      <c r="S33" s="1"/>
      <c r="T33" s="1"/>
    </row>
    <row r="34" spans="1:20" x14ac:dyDescent="0.2">
      <c r="A34" s="13">
        <v>44251.827986111108</v>
      </c>
      <c r="B34">
        <v>27819</v>
      </c>
      <c r="C34">
        <v>12</v>
      </c>
      <c r="D34" t="s">
        <v>105</v>
      </c>
      <c r="F34">
        <v>6.3029999999999999</v>
      </c>
      <c r="G34">
        <v>2</v>
      </c>
      <c r="H34" t="s">
        <v>21</v>
      </c>
      <c r="I34">
        <v>240.8</v>
      </c>
      <c r="J34">
        <v>65001</v>
      </c>
      <c r="K34">
        <v>1608390</v>
      </c>
      <c r="N34" s="1"/>
      <c r="O34" s="1"/>
      <c r="P34" s="1"/>
      <c r="Q34" s="1"/>
      <c r="R34" s="1"/>
      <c r="S34" s="1"/>
      <c r="T34" s="1"/>
    </row>
    <row r="35" spans="1:20" x14ac:dyDescent="0.2">
      <c r="A35" s="13">
        <v>44251.827986111108</v>
      </c>
      <c r="B35">
        <v>27819</v>
      </c>
      <c r="C35">
        <v>12</v>
      </c>
      <c r="D35" t="s">
        <v>105</v>
      </c>
      <c r="F35">
        <v>6.3029999999999999</v>
      </c>
      <c r="N35" s="1"/>
      <c r="O35" s="1"/>
      <c r="P35" s="1"/>
      <c r="Q35" s="1"/>
      <c r="R35" s="1"/>
      <c r="S35" s="1"/>
      <c r="T35" s="1"/>
    </row>
    <row r="36" spans="1:20" x14ac:dyDescent="0.2">
      <c r="A36" s="13">
        <v>44251.835312499999</v>
      </c>
      <c r="B36">
        <v>27820</v>
      </c>
      <c r="C36">
        <v>13</v>
      </c>
      <c r="D36" t="s">
        <v>106</v>
      </c>
      <c r="F36">
        <v>5.7480000000000002</v>
      </c>
      <c r="G36">
        <v>1</v>
      </c>
      <c r="H36" t="s">
        <v>20</v>
      </c>
      <c r="I36">
        <v>129.6</v>
      </c>
      <c r="J36">
        <v>1619</v>
      </c>
      <c r="K36">
        <v>34411</v>
      </c>
      <c r="N36" s="1"/>
      <c r="O36" s="1"/>
      <c r="P36" s="1"/>
      <c r="Q36" s="1"/>
      <c r="R36" s="1"/>
      <c r="S36" s="1"/>
      <c r="T36" s="1"/>
    </row>
    <row r="37" spans="1:20" x14ac:dyDescent="0.2">
      <c r="A37" s="13">
        <v>44251.835312499999</v>
      </c>
      <c r="B37">
        <v>27820</v>
      </c>
      <c r="C37">
        <v>13</v>
      </c>
      <c r="D37" t="s">
        <v>106</v>
      </c>
      <c r="F37">
        <v>5.7480000000000002</v>
      </c>
      <c r="G37">
        <v>2</v>
      </c>
      <c r="H37" t="s">
        <v>21</v>
      </c>
      <c r="I37">
        <v>241.6</v>
      </c>
      <c r="J37">
        <v>56956</v>
      </c>
      <c r="K37">
        <v>1400324</v>
      </c>
      <c r="N37" s="1"/>
      <c r="O37" s="1"/>
      <c r="P37" s="1"/>
      <c r="Q37" s="1"/>
      <c r="R37" s="1"/>
      <c r="S37" s="1"/>
      <c r="T37" s="1"/>
    </row>
    <row r="38" spans="1:20" x14ac:dyDescent="0.2">
      <c r="A38" s="13">
        <v>44251.835312499999</v>
      </c>
      <c r="B38">
        <v>27820</v>
      </c>
      <c r="C38">
        <v>13</v>
      </c>
      <c r="D38" t="s">
        <v>106</v>
      </c>
      <c r="F38">
        <v>5.7480000000000002</v>
      </c>
      <c r="N38" s="1"/>
      <c r="O38" s="1"/>
      <c r="P38" s="1"/>
      <c r="Q38" s="1"/>
      <c r="R38" s="1"/>
      <c r="S38" s="1"/>
      <c r="T38" s="1"/>
    </row>
    <row r="39" spans="1:20" x14ac:dyDescent="0.2">
      <c r="A39" s="13">
        <v>44251.842638888891</v>
      </c>
      <c r="B39">
        <v>27821</v>
      </c>
      <c r="C39">
        <v>14</v>
      </c>
      <c r="D39" t="s">
        <v>107</v>
      </c>
      <c r="F39">
        <v>5.915</v>
      </c>
      <c r="G39">
        <v>1</v>
      </c>
      <c r="H39" t="s">
        <v>20</v>
      </c>
      <c r="I39">
        <v>129.69999999999999</v>
      </c>
      <c r="J39">
        <v>1076</v>
      </c>
      <c r="K39">
        <v>22907</v>
      </c>
      <c r="N39" s="1"/>
      <c r="O39" s="1"/>
      <c r="P39" s="1"/>
      <c r="Q39" s="1"/>
      <c r="R39" s="1"/>
      <c r="S39" s="1"/>
      <c r="T39" s="1"/>
    </row>
    <row r="40" spans="1:20" x14ac:dyDescent="0.2">
      <c r="A40" s="13">
        <v>44251.842638888891</v>
      </c>
      <c r="B40">
        <v>27821</v>
      </c>
      <c r="C40">
        <v>14</v>
      </c>
      <c r="D40" t="s">
        <v>107</v>
      </c>
      <c r="F40">
        <v>5.915</v>
      </c>
      <c r="G40">
        <v>2</v>
      </c>
      <c r="H40" t="s">
        <v>21</v>
      </c>
      <c r="I40">
        <v>244.7</v>
      </c>
      <c r="J40">
        <v>30987</v>
      </c>
      <c r="K40">
        <v>753951</v>
      </c>
      <c r="N40" s="1"/>
      <c r="O40" s="1"/>
      <c r="P40" s="1"/>
      <c r="Q40" s="1"/>
      <c r="R40" s="1"/>
      <c r="S40" s="1"/>
      <c r="T40" s="1"/>
    </row>
    <row r="41" spans="1:20" x14ac:dyDescent="0.2">
      <c r="A41" s="13">
        <v>44251.842638888891</v>
      </c>
      <c r="B41">
        <v>27821</v>
      </c>
      <c r="C41">
        <v>14</v>
      </c>
      <c r="D41" t="s">
        <v>107</v>
      </c>
      <c r="F41">
        <v>5.915</v>
      </c>
      <c r="N41" s="1"/>
      <c r="O41" s="1"/>
      <c r="P41" s="1"/>
      <c r="Q41" s="1"/>
      <c r="R41" s="1"/>
      <c r="S41" s="1"/>
      <c r="T41" s="1"/>
    </row>
    <row r="42" spans="1:20" x14ac:dyDescent="0.2">
      <c r="A42" s="13">
        <v>44251.849965277775</v>
      </c>
      <c r="B42">
        <v>27822</v>
      </c>
      <c r="C42">
        <v>15</v>
      </c>
      <c r="D42" t="s">
        <v>108</v>
      </c>
      <c r="F42">
        <v>5.6639999999999997</v>
      </c>
      <c r="G42">
        <v>1</v>
      </c>
      <c r="H42" t="s">
        <v>20</v>
      </c>
      <c r="I42">
        <v>129.6</v>
      </c>
      <c r="J42">
        <v>2031</v>
      </c>
      <c r="K42">
        <v>43146</v>
      </c>
      <c r="N42" s="1"/>
      <c r="O42" s="1"/>
      <c r="P42" s="1"/>
      <c r="Q42" s="1"/>
      <c r="R42" s="1"/>
      <c r="S42" s="1"/>
      <c r="T42" s="1"/>
    </row>
    <row r="43" spans="1:20" x14ac:dyDescent="0.2">
      <c r="A43" s="13">
        <v>44251.849965277775</v>
      </c>
      <c r="B43">
        <v>27822</v>
      </c>
      <c r="C43">
        <v>15</v>
      </c>
      <c r="D43" t="s">
        <v>108</v>
      </c>
      <c r="F43">
        <v>5.6639999999999997</v>
      </c>
      <c r="G43">
        <v>2</v>
      </c>
      <c r="H43" t="s">
        <v>21</v>
      </c>
      <c r="I43">
        <v>240.6</v>
      </c>
      <c r="J43">
        <v>62318</v>
      </c>
      <c r="K43">
        <v>1536111</v>
      </c>
      <c r="N43" s="1"/>
      <c r="O43" s="1"/>
      <c r="P43" s="1"/>
      <c r="Q43" s="1"/>
      <c r="R43" s="1"/>
      <c r="S43" s="1"/>
      <c r="T43" s="1"/>
    </row>
    <row r="44" spans="1:20" x14ac:dyDescent="0.2">
      <c r="A44" s="13">
        <v>44251.849965277775</v>
      </c>
      <c r="B44">
        <v>27822</v>
      </c>
      <c r="C44">
        <v>15</v>
      </c>
      <c r="D44" t="s">
        <v>108</v>
      </c>
      <c r="F44">
        <v>5.6639999999999997</v>
      </c>
      <c r="N44" s="1"/>
      <c r="O44" s="1"/>
      <c r="P44" s="1"/>
      <c r="Q44" s="1"/>
      <c r="R44" s="1"/>
      <c r="S44" s="1"/>
      <c r="T44" s="1"/>
    </row>
    <row r="45" spans="1:20" x14ac:dyDescent="0.2">
      <c r="A45" s="13">
        <v>44251.857291666667</v>
      </c>
      <c r="B45">
        <v>27823</v>
      </c>
      <c r="C45">
        <v>16</v>
      </c>
      <c r="D45" t="s">
        <v>12</v>
      </c>
      <c r="G45">
        <v>1</v>
      </c>
      <c r="H45" t="s">
        <v>20</v>
      </c>
      <c r="I45">
        <v>128.6</v>
      </c>
      <c r="J45">
        <v>12262</v>
      </c>
      <c r="K45">
        <v>267093</v>
      </c>
      <c r="N45" s="1"/>
      <c r="O45" s="1"/>
      <c r="P45" s="1"/>
      <c r="Q45" s="1"/>
      <c r="R45" s="1"/>
      <c r="S45" s="1"/>
      <c r="T45" s="1"/>
    </row>
    <row r="46" spans="1:20" x14ac:dyDescent="0.2">
      <c r="A46" s="13">
        <v>44251.857291666667</v>
      </c>
      <c r="B46">
        <v>27823</v>
      </c>
      <c r="C46">
        <v>16</v>
      </c>
      <c r="D46" t="s">
        <v>12</v>
      </c>
      <c r="G46">
        <v>2</v>
      </c>
      <c r="H46" t="s">
        <v>21</v>
      </c>
      <c r="I46">
        <v>241.6</v>
      </c>
      <c r="J46">
        <v>50696</v>
      </c>
      <c r="K46">
        <v>1253277</v>
      </c>
      <c r="N46" s="1"/>
      <c r="O46" s="1"/>
      <c r="P46" s="1"/>
      <c r="Q46" s="1"/>
      <c r="R46" s="1"/>
      <c r="S46" s="1"/>
      <c r="T46" s="1"/>
    </row>
    <row r="47" spans="1:20" x14ac:dyDescent="0.2">
      <c r="A47" s="13">
        <v>44251.857291666667</v>
      </c>
      <c r="B47">
        <v>27823</v>
      </c>
      <c r="C47">
        <v>16</v>
      </c>
      <c r="D47" t="s">
        <v>12</v>
      </c>
      <c r="N47" s="1"/>
      <c r="O47" s="1"/>
      <c r="P47" s="1"/>
      <c r="Q47" s="1"/>
      <c r="R47" s="1"/>
      <c r="S47" s="1"/>
      <c r="T47" s="1"/>
    </row>
    <row r="48" spans="1:20" x14ac:dyDescent="0.2">
      <c r="A48" s="13">
        <v>44251.864618055559</v>
      </c>
      <c r="B48">
        <v>27824</v>
      </c>
      <c r="C48">
        <v>17</v>
      </c>
      <c r="D48" t="s">
        <v>109</v>
      </c>
      <c r="F48">
        <v>5.9850000000000003</v>
      </c>
      <c r="G48">
        <v>1</v>
      </c>
      <c r="H48" t="s">
        <v>20</v>
      </c>
      <c r="I48">
        <v>129.6</v>
      </c>
      <c r="J48">
        <v>1866</v>
      </c>
      <c r="K48">
        <v>39712</v>
      </c>
      <c r="N48" s="1"/>
      <c r="O48" s="1"/>
      <c r="P48" s="1"/>
      <c r="Q48" s="1"/>
      <c r="R48" s="1"/>
      <c r="S48" s="1"/>
      <c r="T48" s="1"/>
    </row>
    <row r="49" spans="1:20" x14ac:dyDescent="0.2">
      <c r="A49" s="13">
        <v>44251.864618055559</v>
      </c>
      <c r="B49">
        <v>27824</v>
      </c>
      <c r="C49">
        <v>17</v>
      </c>
      <c r="D49" t="s">
        <v>109</v>
      </c>
      <c r="F49">
        <v>5.9850000000000003</v>
      </c>
      <c r="G49">
        <v>2</v>
      </c>
      <c r="H49" t="s">
        <v>21</v>
      </c>
      <c r="I49">
        <v>239.6</v>
      </c>
      <c r="J49">
        <v>69903</v>
      </c>
      <c r="K49">
        <v>1733889</v>
      </c>
      <c r="N49" s="1"/>
      <c r="O49" s="1"/>
      <c r="P49" s="1"/>
      <c r="Q49" s="1"/>
      <c r="R49" s="1"/>
      <c r="S49" s="1"/>
      <c r="T49" s="1"/>
    </row>
    <row r="50" spans="1:20" x14ac:dyDescent="0.2">
      <c r="A50" s="13">
        <v>44251.864618055559</v>
      </c>
      <c r="B50">
        <v>27824</v>
      </c>
      <c r="C50">
        <v>17</v>
      </c>
      <c r="D50" t="s">
        <v>109</v>
      </c>
      <c r="F50">
        <v>5.9850000000000003</v>
      </c>
      <c r="N50" s="1"/>
      <c r="O50" s="1"/>
      <c r="P50" s="1"/>
      <c r="Q50" s="1"/>
      <c r="R50" s="1"/>
      <c r="S50" s="1"/>
      <c r="T50" s="1"/>
    </row>
    <row r="51" spans="1:20" x14ac:dyDescent="0.2">
      <c r="A51" s="13">
        <v>44251.87195601852</v>
      </c>
      <c r="B51">
        <v>27825</v>
      </c>
      <c r="C51">
        <v>18</v>
      </c>
      <c r="D51" t="s">
        <v>110</v>
      </c>
      <c r="F51">
        <v>6.0289999999999999</v>
      </c>
      <c r="G51">
        <v>1</v>
      </c>
      <c r="H51" t="s">
        <v>20</v>
      </c>
      <c r="I51">
        <v>128.6</v>
      </c>
      <c r="J51">
        <v>2777</v>
      </c>
      <c r="K51">
        <v>58581</v>
      </c>
      <c r="N51" s="1"/>
      <c r="O51" s="1"/>
      <c r="P51" s="1"/>
      <c r="Q51" s="1"/>
      <c r="R51" s="1"/>
      <c r="S51" s="1"/>
      <c r="T51" s="1"/>
    </row>
    <row r="52" spans="1:20" x14ac:dyDescent="0.2">
      <c r="A52" s="13">
        <v>44251.87195601852</v>
      </c>
      <c r="B52">
        <v>27825</v>
      </c>
      <c r="C52">
        <v>18</v>
      </c>
      <c r="D52" t="s">
        <v>110</v>
      </c>
      <c r="F52">
        <v>6.0289999999999999</v>
      </c>
      <c r="G52">
        <v>2</v>
      </c>
      <c r="H52" t="s">
        <v>21</v>
      </c>
      <c r="I52">
        <v>235.6</v>
      </c>
      <c r="J52">
        <v>100174</v>
      </c>
      <c r="K52">
        <v>2527990</v>
      </c>
      <c r="N52" s="1"/>
      <c r="O52" s="1"/>
      <c r="P52" s="1"/>
      <c r="Q52" s="1"/>
      <c r="R52" s="1"/>
      <c r="S52" s="1"/>
      <c r="T52" s="1"/>
    </row>
    <row r="53" spans="1:20" x14ac:dyDescent="0.2">
      <c r="A53" s="13">
        <v>44251.87195601852</v>
      </c>
      <c r="B53">
        <v>27825</v>
      </c>
      <c r="C53">
        <v>18</v>
      </c>
      <c r="D53" t="s">
        <v>110</v>
      </c>
      <c r="F53">
        <v>6.0289999999999999</v>
      </c>
      <c r="N53" s="1"/>
      <c r="O53" s="1"/>
      <c r="P53" s="1"/>
      <c r="Q53" s="1"/>
      <c r="R53" s="1"/>
      <c r="S53" s="1"/>
      <c r="T53" s="1"/>
    </row>
    <row r="54" spans="1:20" x14ac:dyDescent="0.2">
      <c r="A54" s="13">
        <v>44251.879282407404</v>
      </c>
      <c r="B54">
        <v>27826</v>
      </c>
      <c r="C54">
        <v>19</v>
      </c>
      <c r="D54" t="s">
        <v>111</v>
      </c>
      <c r="F54">
        <v>5.8079999999999998</v>
      </c>
      <c r="G54">
        <v>1</v>
      </c>
      <c r="H54" t="s">
        <v>20</v>
      </c>
      <c r="I54">
        <v>128.80000000000001</v>
      </c>
      <c r="J54">
        <v>1316</v>
      </c>
      <c r="K54">
        <v>28204</v>
      </c>
      <c r="N54" s="1"/>
      <c r="O54" s="1"/>
      <c r="P54" s="1"/>
      <c r="Q54" s="1"/>
      <c r="R54" s="1"/>
      <c r="S54" s="1"/>
      <c r="T54" s="1"/>
    </row>
    <row r="55" spans="1:20" x14ac:dyDescent="0.2">
      <c r="A55" s="13">
        <v>44251.879282407404</v>
      </c>
      <c r="B55">
        <v>27826</v>
      </c>
      <c r="C55">
        <v>19</v>
      </c>
      <c r="D55" t="s">
        <v>111</v>
      </c>
      <c r="F55">
        <v>5.8079999999999998</v>
      </c>
      <c r="G55">
        <v>2</v>
      </c>
      <c r="H55" t="s">
        <v>21</v>
      </c>
      <c r="I55">
        <v>242.8</v>
      </c>
      <c r="J55">
        <v>45706</v>
      </c>
      <c r="K55">
        <v>1120721</v>
      </c>
      <c r="N55" s="1"/>
      <c r="O55" s="1"/>
      <c r="P55" s="1"/>
      <c r="Q55" s="1"/>
      <c r="R55" s="1"/>
      <c r="S55" s="1"/>
      <c r="T55" s="1"/>
    </row>
    <row r="56" spans="1:20" x14ac:dyDescent="0.2">
      <c r="A56" s="13">
        <v>44251.879282407404</v>
      </c>
      <c r="B56">
        <v>27826</v>
      </c>
      <c r="C56">
        <v>19</v>
      </c>
      <c r="D56" t="s">
        <v>111</v>
      </c>
      <c r="F56">
        <v>5.8079999999999998</v>
      </c>
      <c r="N56" s="1"/>
      <c r="O56" s="1"/>
      <c r="P56" s="1"/>
      <c r="Q56" s="1"/>
      <c r="R56" s="1"/>
      <c r="S56" s="1"/>
      <c r="T56" s="1"/>
    </row>
    <row r="57" spans="1:20" x14ac:dyDescent="0.2">
      <c r="A57" s="13">
        <v>44251.886608796296</v>
      </c>
      <c r="B57">
        <v>27827</v>
      </c>
      <c r="C57">
        <v>20</v>
      </c>
      <c r="D57" t="s">
        <v>112</v>
      </c>
      <c r="F57">
        <v>5.9530000000000003</v>
      </c>
      <c r="G57">
        <v>1</v>
      </c>
      <c r="H57" t="s">
        <v>20</v>
      </c>
      <c r="I57">
        <v>128.6</v>
      </c>
      <c r="J57">
        <v>1727</v>
      </c>
      <c r="K57">
        <v>36481</v>
      </c>
      <c r="N57" s="1"/>
      <c r="O57" s="1"/>
      <c r="P57" s="1"/>
      <c r="Q57" s="1"/>
      <c r="R57" s="1"/>
      <c r="S57" s="1"/>
      <c r="T57" s="1"/>
    </row>
    <row r="58" spans="1:20" x14ac:dyDescent="0.2">
      <c r="A58" s="13">
        <v>44251.886608796296</v>
      </c>
      <c r="B58">
        <v>27827</v>
      </c>
      <c r="C58">
        <v>20</v>
      </c>
      <c r="D58" t="s">
        <v>112</v>
      </c>
      <c r="F58">
        <v>5.9530000000000003</v>
      </c>
      <c r="G58">
        <v>2</v>
      </c>
      <c r="H58" t="s">
        <v>21</v>
      </c>
      <c r="I58">
        <v>239.6</v>
      </c>
      <c r="J58">
        <v>65999</v>
      </c>
      <c r="K58">
        <v>1628378</v>
      </c>
      <c r="N58" s="1"/>
      <c r="O58" s="1"/>
      <c r="P58" s="1"/>
      <c r="Q58" s="1"/>
      <c r="R58" s="1"/>
      <c r="S58" s="1"/>
      <c r="T58" s="1"/>
    </row>
    <row r="59" spans="1:20" x14ac:dyDescent="0.2">
      <c r="A59" s="13">
        <v>44251.886608796296</v>
      </c>
      <c r="B59">
        <v>27827</v>
      </c>
      <c r="C59">
        <v>20</v>
      </c>
      <c r="D59" t="s">
        <v>112</v>
      </c>
      <c r="F59">
        <v>5.9530000000000003</v>
      </c>
      <c r="N59" s="1"/>
      <c r="O59" s="1"/>
      <c r="P59" s="1"/>
      <c r="Q59" s="1"/>
      <c r="R59" s="1"/>
      <c r="S59" s="1"/>
      <c r="T59" s="1"/>
    </row>
    <row r="60" spans="1:20" x14ac:dyDescent="0.2">
      <c r="A60" s="13">
        <v>44251.893935185188</v>
      </c>
      <c r="B60">
        <v>27828</v>
      </c>
      <c r="C60">
        <v>21</v>
      </c>
      <c r="D60" t="s">
        <v>113</v>
      </c>
      <c r="F60">
        <v>5.6909999999999998</v>
      </c>
      <c r="G60">
        <v>1</v>
      </c>
      <c r="H60" t="s">
        <v>20</v>
      </c>
      <c r="I60">
        <v>129.6</v>
      </c>
      <c r="J60">
        <v>1602</v>
      </c>
      <c r="K60">
        <v>33987</v>
      </c>
      <c r="N60" s="1"/>
      <c r="O60" s="1"/>
      <c r="P60" s="1"/>
      <c r="Q60" s="1"/>
      <c r="R60" s="1"/>
      <c r="S60" s="1"/>
      <c r="T60" s="1"/>
    </row>
    <row r="61" spans="1:20" x14ac:dyDescent="0.2">
      <c r="A61" s="13">
        <v>44251.893935185188</v>
      </c>
      <c r="B61">
        <v>27828</v>
      </c>
      <c r="C61">
        <v>21</v>
      </c>
      <c r="D61" t="s">
        <v>113</v>
      </c>
      <c r="F61">
        <v>5.6909999999999998</v>
      </c>
      <c r="G61">
        <v>2</v>
      </c>
      <c r="H61" t="s">
        <v>21</v>
      </c>
      <c r="I61">
        <v>239.6</v>
      </c>
      <c r="J61">
        <v>66043</v>
      </c>
      <c r="K61">
        <v>1630335</v>
      </c>
      <c r="N61" s="1"/>
      <c r="O61" s="1"/>
      <c r="P61" s="1"/>
      <c r="Q61" s="1"/>
      <c r="R61" s="1"/>
      <c r="S61" s="1"/>
      <c r="T61" s="1"/>
    </row>
    <row r="62" spans="1:20" x14ac:dyDescent="0.2">
      <c r="A62" s="13">
        <v>44251.893935185188</v>
      </c>
      <c r="B62">
        <v>27828</v>
      </c>
      <c r="C62">
        <v>21</v>
      </c>
      <c r="D62" t="s">
        <v>113</v>
      </c>
      <c r="F62">
        <v>5.6909999999999998</v>
      </c>
      <c r="N62" s="1"/>
      <c r="O62" s="1"/>
      <c r="P62" s="1"/>
      <c r="Q62" s="1"/>
      <c r="R62" s="1"/>
      <c r="S62" s="1"/>
      <c r="T62" s="1"/>
    </row>
    <row r="63" spans="1:20" x14ac:dyDescent="0.2">
      <c r="A63" s="13">
        <v>44251.901261574072</v>
      </c>
      <c r="B63">
        <v>27829</v>
      </c>
      <c r="C63">
        <v>22</v>
      </c>
      <c r="D63" t="s">
        <v>114</v>
      </c>
      <c r="F63">
        <v>5.867</v>
      </c>
      <c r="G63">
        <v>1</v>
      </c>
      <c r="H63" t="s">
        <v>20</v>
      </c>
      <c r="I63">
        <v>128.6</v>
      </c>
      <c r="J63">
        <v>1343</v>
      </c>
      <c r="K63">
        <v>28580</v>
      </c>
      <c r="N63" s="1"/>
      <c r="O63" s="1"/>
      <c r="P63" s="1"/>
      <c r="Q63" s="1"/>
      <c r="R63" s="1"/>
      <c r="S63" s="1"/>
      <c r="T63" s="1"/>
    </row>
    <row r="64" spans="1:20" x14ac:dyDescent="0.2">
      <c r="A64" s="13">
        <v>44251.901261574072</v>
      </c>
      <c r="B64">
        <v>27829</v>
      </c>
      <c r="C64">
        <v>22</v>
      </c>
      <c r="D64" t="s">
        <v>114</v>
      </c>
      <c r="F64">
        <v>5.867</v>
      </c>
      <c r="G64">
        <v>2</v>
      </c>
      <c r="H64" t="s">
        <v>21</v>
      </c>
      <c r="I64">
        <v>241.6</v>
      </c>
      <c r="J64">
        <v>48091</v>
      </c>
      <c r="K64">
        <v>1177646</v>
      </c>
      <c r="N64" s="1"/>
      <c r="O64" s="1"/>
      <c r="P64" s="1"/>
      <c r="Q64" s="1"/>
      <c r="R64" s="1"/>
      <c r="S64" s="1"/>
      <c r="T64" s="1"/>
    </row>
    <row r="65" spans="1:20" x14ac:dyDescent="0.2">
      <c r="A65" s="13">
        <v>44251.901261574072</v>
      </c>
      <c r="B65">
        <v>27829</v>
      </c>
      <c r="C65">
        <v>22</v>
      </c>
      <c r="D65" t="s">
        <v>114</v>
      </c>
      <c r="F65">
        <v>5.867</v>
      </c>
      <c r="N65" s="1"/>
      <c r="O65" s="1"/>
      <c r="P65" s="1"/>
      <c r="Q65" s="1"/>
      <c r="R65" s="1"/>
      <c r="S65" s="1"/>
      <c r="T65" s="1"/>
    </row>
    <row r="66" spans="1:20" x14ac:dyDescent="0.2">
      <c r="A66" s="13">
        <v>44251.908599537041</v>
      </c>
      <c r="B66">
        <v>27830</v>
      </c>
      <c r="C66">
        <v>23</v>
      </c>
      <c r="D66" t="s">
        <v>115</v>
      </c>
      <c r="F66">
        <v>5.9059999999999997</v>
      </c>
      <c r="G66">
        <v>1</v>
      </c>
      <c r="H66" t="s">
        <v>20</v>
      </c>
      <c r="I66">
        <v>129.6</v>
      </c>
      <c r="J66">
        <v>4129</v>
      </c>
      <c r="K66">
        <v>85032</v>
      </c>
      <c r="N66" s="1"/>
      <c r="O66" s="1"/>
      <c r="P66" s="1"/>
      <c r="Q66" s="1"/>
      <c r="R66" s="1"/>
      <c r="S66" s="1"/>
      <c r="T66" s="1"/>
    </row>
    <row r="67" spans="1:20" x14ac:dyDescent="0.2">
      <c r="A67" s="13">
        <v>44251.908599537041</v>
      </c>
      <c r="B67">
        <v>27830</v>
      </c>
      <c r="C67">
        <v>23</v>
      </c>
      <c r="D67" t="s">
        <v>115</v>
      </c>
      <c r="F67">
        <v>5.9059999999999997</v>
      </c>
      <c r="G67">
        <v>2</v>
      </c>
      <c r="H67" t="s">
        <v>21</v>
      </c>
      <c r="I67">
        <v>229.6</v>
      </c>
      <c r="J67">
        <v>157658</v>
      </c>
      <c r="K67">
        <v>4187662</v>
      </c>
      <c r="N67" s="1"/>
      <c r="O67" s="1"/>
      <c r="P67" s="1"/>
      <c r="Q67" s="1"/>
      <c r="R67" s="1"/>
      <c r="S67" s="1"/>
      <c r="T67" s="1"/>
    </row>
    <row r="68" spans="1:20" x14ac:dyDescent="0.2">
      <c r="A68" s="13">
        <v>44251.908599537041</v>
      </c>
      <c r="B68">
        <v>27830</v>
      </c>
      <c r="C68">
        <v>23</v>
      </c>
      <c r="D68" t="s">
        <v>115</v>
      </c>
      <c r="F68">
        <v>5.9059999999999997</v>
      </c>
      <c r="N68" s="1"/>
      <c r="O68" s="1"/>
      <c r="P68" s="1"/>
      <c r="Q68" s="1"/>
      <c r="R68" s="1"/>
      <c r="S68" s="1"/>
      <c r="T68" s="1"/>
    </row>
    <row r="69" spans="1:20" x14ac:dyDescent="0.2">
      <c r="A69" s="13">
        <v>44251.915914351855</v>
      </c>
      <c r="B69">
        <v>27831</v>
      </c>
      <c r="C69">
        <v>24</v>
      </c>
      <c r="D69" t="s">
        <v>116</v>
      </c>
      <c r="F69">
        <v>5.7560000000000002</v>
      </c>
      <c r="G69">
        <v>1</v>
      </c>
      <c r="H69" t="s">
        <v>20</v>
      </c>
      <c r="I69">
        <v>128.5</v>
      </c>
      <c r="J69">
        <v>1557</v>
      </c>
      <c r="K69">
        <v>33146</v>
      </c>
      <c r="N69" s="1"/>
      <c r="O69" s="1"/>
      <c r="P69" s="1"/>
      <c r="Q69" s="1"/>
      <c r="R69" s="1"/>
      <c r="S69" s="1"/>
      <c r="T69" s="1"/>
    </row>
    <row r="70" spans="1:20" x14ac:dyDescent="0.2">
      <c r="A70" s="13">
        <v>44251.915914351855</v>
      </c>
      <c r="B70">
        <v>27831</v>
      </c>
      <c r="C70">
        <v>24</v>
      </c>
      <c r="D70" t="s">
        <v>116</v>
      </c>
      <c r="F70">
        <v>5.7560000000000002</v>
      </c>
      <c r="G70">
        <v>2</v>
      </c>
      <c r="H70" t="s">
        <v>21</v>
      </c>
      <c r="I70">
        <v>240.5</v>
      </c>
      <c r="J70">
        <v>57148</v>
      </c>
      <c r="K70">
        <v>1406480</v>
      </c>
      <c r="N70" s="1"/>
      <c r="O70" s="1"/>
      <c r="P70" s="1"/>
      <c r="Q70" s="1"/>
      <c r="R70" s="1"/>
      <c r="S70" s="1"/>
      <c r="T70" s="1"/>
    </row>
    <row r="71" spans="1:20" x14ac:dyDescent="0.2">
      <c r="A71" s="13">
        <v>44251.915914351855</v>
      </c>
      <c r="B71">
        <v>27831</v>
      </c>
      <c r="C71">
        <v>24</v>
      </c>
      <c r="D71" t="s">
        <v>116</v>
      </c>
      <c r="F71">
        <v>5.7560000000000002</v>
      </c>
      <c r="N71" s="1"/>
      <c r="O71" s="1"/>
      <c r="P71" s="1"/>
      <c r="Q71" s="1"/>
      <c r="R71" s="1"/>
      <c r="S71" s="1"/>
      <c r="T71" s="1"/>
    </row>
    <row r="72" spans="1:20" x14ac:dyDescent="0.2">
      <c r="A72" s="13">
        <v>44251.92324074074</v>
      </c>
      <c r="B72">
        <v>27832</v>
      </c>
      <c r="C72">
        <v>25</v>
      </c>
      <c r="D72" t="s">
        <v>117</v>
      </c>
      <c r="F72">
        <v>5.5410000000000004</v>
      </c>
      <c r="G72">
        <v>1</v>
      </c>
      <c r="H72" t="s">
        <v>20</v>
      </c>
      <c r="I72">
        <v>129.6</v>
      </c>
      <c r="J72">
        <v>1657</v>
      </c>
      <c r="K72">
        <v>34992</v>
      </c>
      <c r="N72" s="1"/>
      <c r="O72" s="1"/>
      <c r="P72" s="1"/>
      <c r="Q72" s="1"/>
      <c r="R72" s="1"/>
      <c r="S72" s="1"/>
      <c r="T72" s="1"/>
    </row>
    <row r="73" spans="1:20" x14ac:dyDescent="0.2">
      <c r="A73" s="13">
        <v>44251.92324074074</v>
      </c>
      <c r="B73">
        <v>27832</v>
      </c>
      <c r="C73">
        <v>25</v>
      </c>
      <c r="D73" t="s">
        <v>117</v>
      </c>
      <c r="F73">
        <v>5.5410000000000004</v>
      </c>
      <c r="G73">
        <v>2</v>
      </c>
      <c r="H73" t="s">
        <v>21</v>
      </c>
      <c r="I73">
        <v>239.6</v>
      </c>
      <c r="J73">
        <v>67871</v>
      </c>
      <c r="K73">
        <v>1674604</v>
      </c>
      <c r="N73" s="1"/>
      <c r="O73" s="1"/>
      <c r="P73" s="1"/>
      <c r="Q73" s="1"/>
      <c r="R73" s="1"/>
      <c r="S73" s="1"/>
      <c r="T73" s="1"/>
    </row>
    <row r="74" spans="1:20" x14ac:dyDescent="0.2">
      <c r="A74" s="13">
        <v>44251.92324074074</v>
      </c>
      <c r="B74">
        <v>27832</v>
      </c>
      <c r="C74">
        <v>25</v>
      </c>
      <c r="D74" t="s">
        <v>117</v>
      </c>
      <c r="F74">
        <v>5.5410000000000004</v>
      </c>
      <c r="N74" s="1"/>
      <c r="O74" s="1"/>
      <c r="P74" s="1"/>
      <c r="Q74" s="1"/>
      <c r="R74" s="1"/>
      <c r="S74" s="1"/>
      <c r="T74" s="1"/>
    </row>
    <row r="75" spans="1:20" x14ac:dyDescent="0.2">
      <c r="A75" s="13">
        <v>44251.930578703701</v>
      </c>
      <c r="B75">
        <v>27833</v>
      </c>
      <c r="C75">
        <v>26</v>
      </c>
      <c r="D75" t="s">
        <v>118</v>
      </c>
      <c r="F75">
        <v>5.9279999999999999</v>
      </c>
      <c r="G75">
        <v>1</v>
      </c>
      <c r="H75" t="s">
        <v>20</v>
      </c>
      <c r="I75">
        <v>128.5</v>
      </c>
      <c r="J75">
        <v>2384</v>
      </c>
      <c r="K75">
        <v>50560</v>
      </c>
      <c r="N75" s="1"/>
      <c r="O75" s="1"/>
      <c r="P75" s="1"/>
      <c r="Q75" s="1"/>
      <c r="R75" s="1"/>
      <c r="S75" s="1"/>
      <c r="T75" s="1"/>
    </row>
    <row r="76" spans="1:20" x14ac:dyDescent="0.2">
      <c r="A76" s="13">
        <v>44251.930578703701</v>
      </c>
      <c r="B76">
        <v>27833</v>
      </c>
      <c r="C76">
        <v>26</v>
      </c>
      <c r="D76" t="s">
        <v>118</v>
      </c>
      <c r="F76">
        <v>5.9279999999999999</v>
      </c>
      <c r="G76">
        <v>2</v>
      </c>
      <c r="H76" t="s">
        <v>21</v>
      </c>
      <c r="I76">
        <v>237.5</v>
      </c>
      <c r="J76">
        <v>86249</v>
      </c>
      <c r="K76">
        <v>2155599</v>
      </c>
      <c r="N76" s="1"/>
      <c r="O76" s="1"/>
      <c r="P76" s="1"/>
      <c r="Q76" s="1"/>
      <c r="R76" s="1"/>
      <c r="S76" s="1"/>
      <c r="T76" s="1"/>
    </row>
    <row r="77" spans="1:20" x14ac:dyDescent="0.2">
      <c r="A77" s="13">
        <v>44251.930578703701</v>
      </c>
      <c r="B77">
        <v>27833</v>
      </c>
      <c r="C77">
        <v>26</v>
      </c>
      <c r="D77" t="s">
        <v>118</v>
      </c>
      <c r="F77">
        <v>5.9279999999999999</v>
      </c>
      <c r="N77" s="1"/>
      <c r="O77" s="1"/>
      <c r="P77" s="1"/>
      <c r="Q77" s="1"/>
      <c r="R77" s="1"/>
      <c r="S77" s="1"/>
      <c r="T77" s="1"/>
    </row>
    <row r="78" spans="1:20" x14ac:dyDescent="0.2">
      <c r="A78" s="13">
        <v>44251.937928240739</v>
      </c>
      <c r="B78">
        <v>27834</v>
      </c>
      <c r="C78">
        <v>27</v>
      </c>
      <c r="D78" t="s">
        <v>12</v>
      </c>
      <c r="G78">
        <v>1</v>
      </c>
      <c r="H78" t="s">
        <v>20</v>
      </c>
      <c r="I78">
        <v>128.5</v>
      </c>
      <c r="J78">
        <v>12021</v>
      </c>
      <c r="K78">
        <v>262550</v>
      </c>
      <c r="N78" s="1"/>
      <c r="O78" s="1"/>
      <c r="P78" s="1"/>
      <c r="Q78" s="1"/>
      <c r="R78" s="1"/>
      <c r="S78" s="1"/>
      <c r="T78" s="1"/>
    </row>
    <row r="79" spans="1:20" x14ac:dyDescent="0.2">
      <c r="A79" s="13">
        <v>44251.937928240739</v>
      </c>
      <c r="B79">
        <v>27834</v>
      </c>
      <c r="C79">
        <v>27</v>
      </c>
      <c r="D79" t="s">
        <v>12</v>
      </c>
      <c r="G79">
        <v>2</v>
      </c>
      <c r="H79" t="s">
        <v>21</v>
      </c>
      <c r="I79">
        <v>241.5</v>
      </c>
      <c r="J79">
        <v>49804</v>
      </c>
      <c r="K79">
        <v>1232387</v>
      </c>
      <c r="N79" s="1"/>
      <c r="O79" s="1"/>
      <c r="P79" s="1"/>
      <c r="Q79" s="1"/>
      <c r="R79" s="1"/>
      <c r="S79" s="1"/>
      <c r="T79" s="1"/>
    </row>
    <row r="80" spans="1:20" x14ac:dyDescent="0.2">
      <c r="A80" s="13">
        <v>44251.937928240739</v>
      </c>
      <c r="B80">
        <v>27834</v>
      </c>
      <c r="C80">
        <v>27</v>
      </c>
      <c r="D80" t="s">
        <v>12</v>
      </c>
      <c r="N80" s="1"/>
      <c r="O80" s="1"/>
      <c r="P80" s="1"/>
      <c r="Q80" s="1"/>
      <c r="R80" s="1"/>
      <c r="S80" s="1"/>
      <c r="T80" s="1"/>
    </row>
    <row r="81" spans="1:20" x14ac:dyDescent="0.2">
      <c r="A81" s="13">
        <v>44251.945243055554</v>
      </c>
      <c r="B81">
        <v>27835</v>
      </c>
      <c r="C81">
        <v>28</v>
      </c>
      <c r="D81" t="s">
        <v>119</v>
      </c>
      <c r="F81">
        <v>5.9210000000000003</v>
      </c>
      <c r="G81">
        <v>1</v>
      </c>
      <c r="H81" t="s">
        <v>20</v>
      </c>
      <c r="I81">
        <v>128.6</v>
      </c>
      <c r="J81">
        <v>889</v>
      </c>
      <c r="K81">
        <v>19108</v>
      </c>
      <c r="N81" s="1"/>
      <c r="O81" s="1"/>
      <c r="P81" s="1"/>
      <c r="Q81" s="1"/>
      <c r="R81" s="1"/>
      <c r="S81" s="1"/>
      <c r="T81" s="1"/>
    </row>
    <row r="82" spans="1:20" x14ac:dyDescent="0.2">
      <c r="A82" s="13">
        <v>44251.945243055554</v>
      </c>
      <c r="B82">
        <v>27835</v>
      </c>
      <c r="C82">
        <v>28</v>
      </c>
      <c r="D82" t="s">
        <v>119</v>
      </c>
      <c r="F82">
        <v>5.9210000000000003</v>
      </c>
      <c r="G82">
        <v>2</v>
      </c>
      <c r="H82" t="s">
        <v>21</v>
      </c>
      <c r="I82">
        <v>243.6</v>
      </c>
      <c r="J82">
        <v>30981</v>
      </c>
      <c r="K82">
        <v>754950</v>
      </c>
      <c r="N82" s="1"/>
      <c r="O82" s="1"/>
      <c r="P82" s="1"/>
      <c r="Q82" s="1"/>
      <c r="R82" s="1"/>
      <c r="S82" s="1"/>
      <c r="T82" s="1"/>
    </row>
    <row r="83" spans="1:20" x14ac:dyDescent="0.2">
      <c r="A83" s="13">
        <v>44251.945243055554</v>
      </c>
      <c r="B83">
        <v>27835</v>
      </c>
      <c r="C83">
        <v>28</v>
      </c>
      <c r="D83" t="s">
        <v>119</v>
      </c>
      <c r="F83">
        <v>5.9210000000000003</v>
      </c>
      <c r="N83" s="1"/>
      <c r="O83" s="1"/>
      <c r="P83" s="1"/>
      <c r="Q83" s="1"/>
      <c r="R83" s="1"/>
      <c r="S83" s="1"/>
      <c r="T83" s="1"/>
    </row>
    <row r="84" spans="1:20" x14ac:dyDescent="0.2">
      <c r="A84" s="13">
        <v>44251.952581018515</v>
      </c>
      <c r="B84">
        <v>27836</v>
      </c>
      <c r="C84">
        <v>29</v>
      </c>
      <c r="D84" t="s">
        <v>120</v>
      </c>
      <c r="F84">
        <v>5.9809999999999999</v>
      </c>
      <c r="G84">
        <v>1</v>
      </c>
      <c r="H84" t="s">
        <v>20</v>
      </c>
      <c r="I84">
        <v>129.5</v>
      </c>
      <c r="J84">
        <v>801</v>
      </c>
      <c r="K84">
        <v>17034</v>
      </c>
      <c r="N84" s="1"/>
      <c r="O84" s="1"/>
      <c r="P84" s="1"/>
      <c r="Q84" s="1"/>
      <c r="R84" s="1"/>
      <c r="S84" s="1"/>
      <c r="T84" s="1"/>
    </row>
    <row r="85" spans="1:20" x14ac:dyDescent="0.2">
      <c r="A85" s="13">
        <v>44251.952581018515</v>
      </c>
      <c r="B85">
        <v>27836</v>
      </c>
      <c r="C85">
        <v>29</v>
      </c>
      <c r="D85" t="s">
        <v>120</v>
      </c>
      <c r="F85">
        <v>5.9809999999999999</v>
      </c>
      <c r="G85">
        <v>2</v>
      </c>
      <c r="H85" t="s">
        <v>21</v>
      </c>
      <c r="I85">
        <v>243.5</v>
      </c>
      <c r="J85">
        <v>33977</v>
      </c>
      <c r="K85">
        <v>826003</v>
      </c>
      <c r="N85" s="1"/>
      <c r="O85" s="1"/>
      <c r="P85" s="1"/>
      <c r="Q85" s="1"/>
      <c r="R85" s="1"/>
      <c r="S85" s="1"/>
      <c r="T85" s="1"/>
    </row>
    <row r="86" spans="1:20" x14ac:dyDescent="0.2">
      <c r="A86" s="13">
        <v>44251.952581018515</v>
      </c>
      <c r="B86">
        <v>27836</v>
      </c>
      <c r="C86">
        <v>29</v>
      </c>
      <c r="D86" t="s">
        <v>120</v>
      </c>
      <c r="F86">
        <v>5.9809999999999999</v>
      </c>
      <c r="N86" s="1"/>
      <c r="O86" s="1"/>
      <c r="P86" s="1"/>
      <c r="Q86" s="1"/>
      <c r="R86" s="1"/>
      <c r="S86" s="1"/>
      <c r="T86" s="1"/>
    </row>
    <row r="87" spans="1:20" x14ac:dyDescent="0.2">
      <c r="A87" s="13">
        <v>44251.959907407407</v>
      </c>
      <c r="B87">
        <v>27837</v>
      </c>
      <c r="C87">
        <v>30</v>
      </c>
      <c r="D87" t="s">
        <v>121</v>
      </c>
      <c r="F87">
        <v>5.6360000000000001</v>
      </c>
      <c r="G87">
        <v>1</v>
      </c>
      <c r="H87" t="s">
        <v>20</v>
      </c>
      <c r="I87">
        <v>128.5</v>
      </c>
      <c r="J87">
        <v>1277</v>
      </c>
      <c r="K87">
        <v>27203</v>
      </c>
      <c r="N87" s="1"/>
      <c r="O87" s="1"/>
      <c r="P87" s="1"/>
      <c r="Q87" s="1"/>
      <c r="R87" s="1"/>
      <c r="S87" s="1"/>
      <c r="T87" s="1"/>
    </row>
    <row r="88" spans="1:20" x14ac:dyDescent="0.2">
      <c r="A88" s="13">
        <v>44251.959907407407</v>
      </c>
      <c r="B88">
        <v>27837</v>
      </c>
      <c r="C88">
        <v>30</v>
      </c>
      <c r="D88" t="s">
        <v>121</v>
      </c>
      <c r="F88">
        <v>5.6360000000000001</v>
      </c>
      <c r="G88">
        <v>2</v>
      </c>
      <c r="H88" t="s">
        <v>21</v>
      </c>
      <c r="I88">
        <v>242.5</v>
      </c>
      <c r="J88">
        <v>42462</v>
      </c>
      <c r="K88">
        <v>1035313</v>
      </c>
      <c r="N88" s="1"/>
      <c r="O88" s="1"/>
      <c r="P88" s="1"/>
      <c r="Q88" s="1"/>
      <c r="R88" s="1"/>
      <c r="S88" s="1"/>
      <c r="T88" s="1"/>
    </row>
    <row r="89" spans="1:20" x14ac:dyDescent="0.2">
      <c r="A89" s="13">
        <v>44251.959907407407</v>
      </c>
      <c r="B89">
        <v>27837</v>
      </c>
      <c r="C89">
        <v>30</v>
      </c>
      <c r="D89" t="s">
        <v>121</v>
      </c>
      <c r="F89">
        <v>5.6360000000000001</v>
      </c>
      <c r="N89" s="1"/>
      <c r="O89" s="1"/>
      <c r="P89" s="1"/>
      <c r="Q89" s="1"/>
      <c r="R89" s="1"/>
      <c r="S89" s="1"/>
      <c r="T89" s="1"/>
    </row>
    <row r="90" spans="1:20" x14ac:dyDescent="0.2">
      <c r="A90" s="13">
        <v>44251.967268518521</v>
      </c>
      <c r="B90">
        <v>27838</v>
      </c>
      <c r="C90">
        <v>31</v>
      </c>
      <c r="D90" t="s">
        <v>122</v>
      </c>
      <c r="F90">
        <v>5.8460000000000001</v>
      </c>
      <c r="G90">
        <v>1</v>
      </c>
      <c r="H90" t="s">
        <v>20</v>
      </c>
      <c r="I90">
        <v>129.6</v>
      </c>
      <c r="J90">
        <v>1989</v>
      </c>
      <c r="K90">
        <v>41921</v>
      </c>
      <c r="N90" s="1"/>
      <c r="O90" s="1"/>
      <c r="P90" s="1"/>
      <c r="Q90" s="1"/>
      <c r="R90" s="1"/>
      <c r="S90" s="1"/>
      <c r="T90" s="1"/>
    </row>
    <row r="91" spans="1:20" x14ac:dyDescent="0.2">
      <c r="A91" s="13">
        <v>44251.967268518521</v>
      </c>
      <c r="B91">
        <v>27838</v>
      </c>
      <c r="C91">
        <v>31</v>
      </c>
      <c r="D91" t="s">
        <v>122</v>
      </c>
      <c r="F91">
        <v>5.8460000000000001</v>
      </c>
      <c r="G91">
        <v>2</v>
      </c>
      <c r="H91" t="s">
        <v>21</v>
      </c>
      <c r="I91">
        <v>239.6</v>
      </c>
      <c r="J91">
        <v>72290</v>
      </c>
      <c r="K91">
        <v>1783973</v>
      </c>
      <c r="N91" s="1"/>
      <c r="O91" s="1"/>
      <c r="P91" s="1"/>
      <c r="Q91" s="1"/>
      <c r="R91" s="1"/>
      <c r="S91" s="1"/>
      <c r="T91" s="1"/>
    </row>
    <row r="92" spans="1:20" x14ac:dyDescent="0.2">
      <c r="A92" s="13">
        <v>44251.967268518521</v>
      </c>
      <c r="B92">
        <v>27838</v>
      </c>
      <c r="C92">
        <v>31</v>
      </c>
      <c r="D92" t="s">
        <v>122</v>
      </c>
      <c r="F92">
        <v>5.8460000000000001</v>
      </c>
      <c r="N92" s="1"/>
      <c r="O92" s="1"/>
      <c r="P92" s="1"/>
      <c r="Q92" s="1"/>
      <c r="R92" s="1"/>
      <c r="S92" s="1"/>
      <c r="T92" s="1"/>
    </row>
    <row r="93" spans="1:20" x14ac:dyDescent="0.2">
      <c r="A93" s="13">
        <v>44251.974594907406</v>
      </c>
      <c r="B93">
        <v>27839</v>
      </c>
      <c r="C93">
        <v>32</v>
      </c>
      <c r="D93" t="s">
        <v>123</v>
      </c>
      <c r="F93">
        <v>5.7869999999999999</v>
      </c>
      <c r="G93">
        <v>1</v>
      </c>
      <c r="H93" t="s">
        <v>20</v>
      </c>
      <c r="I93">
        <v>128.6</v>
      </c>
      <c r="J93">
        <v>1119</v>
      </c>
      <c r="K93">
        <v>23872</v>
      </c>
      <c r="N93" s="1"/>
      <c r="O93" s="1"/>
      <c r="P93" s="1"/>
      <c r="Q93" s="1"/>
      <c r="R93" s="1"/>
      <c r="S93" s="1"/>
      <c r="T93" s="1"/>
    </row>
    <row r="94" spans="1:20" x14ac:dyDescent="0.2">
      <c r="A94" s="13">
        <v>44251.974594907406</v>
      </c>
      <c r="B94">
        <v>27839</v>
      </c>
      <c r="C94">
        <v>32</v>
      </c>
      <c r="D94" t="s">
        <v>123</v>
      </c>
      <c r="F94">
        <v>5.7869999999999999</v>
      </c>
      <c r="G94">
        <v>2</v>
      </c>
      <c r="H94" t="s">
        <v>21</v>
      </c>
      <c r="I94">
        <v>243.6</v>
      </c>
      <c r="J94">
        <v>36714</v>
      </c>
      <c r="K94">
        <v>892594</v>
      </c>
      <c r="N94" s="1"/>
      <c r="O94" s="1"/>
      <c r="P94" s="1"/>
      <c r="Q94" s="1"/>
      <c r="R94" s="1"/>
      <c r="S94" s="1"/>
      <c r="T94" s="1"/>
    </row>
    <row r="95" spans="1:20" x14ac:dyDescent="0.2">
      <c r="A95" s="13">
        <v>44251.974594907406</v>
      </c>
      <c r="B95">
        <v>27839</v>
      </c>
      <c r="C95">
        <v>32</v>
      </c>
      <c r="D95" t="s">
        <v>123</v>
      </c>
      <c r="F95">
        <v>5.7869999999999999</v>
      </c>
      <c r="N95" s="1"/>
      <c r="O95" s="1"/>
      <c r="P95" s="1"/>
      <c r="Q95" s="1"/>
      <c r="R95" s="1"/>
      <c r="S95" s="1"/>
      <c r="T95" s="1"/>
    </row>
    <row r="96" spans="1:20" x14ac:dyDescent="0.2">
      <c r="A96" s="13">
        <v>44251.981921296298</v>
      </c>
      <c r="B96">
        <v>27840</v>
      </c>
      <c r="C96">
        <v>33</v>
      </c>
      <c r="D96" t="s">
        <v>124</v>
      </c>
      <c r="F96">
        <v>5.8179999999999996</v>
      </c>
      <c r="G96">
        <v>1</v>
      </c>
      <c r="H96" t="s">
        <v>20</v>
      </c>
      <c r="I96">
        <v>129.6</v>
      </c>
      <c r="J96">
        <v>866</v>
      </c>
      <c r="K96">
        <v>18464</v>
      </c>
      <c r="N96" s="1"/>
      <c r="O96" s="1"/>
      <c r="P96" s="1"/>
      <c r="Q96" s="1"/>
      <c r="R96" s="1"/>
      <c r="S96" s="1"/>
      <c r="T96" s="1"/>
    </row>
    <row r="97" spans="1:20" x14ac:dyDescent="0.2">
      <c r="A97" s="13">
        <v>44251.981921296298</v>
      </c>
      <c r="B97">
        <v>27840</v>
      </c>
      <c r="C97">
        <v>33</v>
      </c>
      <c r="D97" t="s">
        <v>124</v>
      </c>
      <c r="F97">
        <v>5.8179999999999996</v>
      </c>
      <c r="G97">
        <v>2</v>
      </c>
      <c r="H97" t="s">
        <v>21</v>
      </c>
      <c r="I97">
        <v>244.6</v>
      </c>
      <c r="J97">
        <v>29702</v>
      </c>
      <c r="K97">
        <v>719658</v>
      </c>
      <c r="N97" s="1"/>
      <c r="O97" s="1"/>
      <c r="P97" s="1"/>
      <c r="Q97" s="1"/>
      <c r="R97" s="1"/>
      <c r="S97" s="1"/>
      <c r="T97" s="1"/>
    </row>
    <row r="98" spans="1:20" x14ac:dyDescent="0.2">
      <c r="A98" s="13">
        <v>44251.981921296298</v>
      </c>
      <c r="B98">
        <v>27840</v>
      </c>
      <c r="C98">
        <v>33</v>
      </c>
      <c r="D98" t="s">
        <v>124</v>
      </c>
      <c r="F98">
        <v>5.8179999999999996</v>
      </c>
      <c r="N98" s="1"/>
      <c r="O98" s="1"/>
      <c r="P98" s="1"/>
      <c r="Q98" s="1"/>
      <c r="R98" s="1"/>
      <c r="S98" s="1"/>
      <c r="T98" s="1"/>
    </row>
    <row r="99" spans="1:20" x14ac:dyDescent="0.2">
      <c r="A99" s="13">
        <v>44251.989247685182</v>
      </c>
      <c r="B99">
        <v>27841</v>
      </c>
      <c r="C99">
        <v>34</v>
      </c>
      <c r="D99" t="s">
        <v>125</v>
      </c>
      <c r="F99">
        <v>5.8090000000000002</v>
      </c>
      <c r="G99">
        <v>1</v>
      </c>
      <c r="H99" t="s">
        <v>20</v>
      </c>
      <c r="I99">
        <v>129.6</v>
      </c>
      <c r="J99">
        <v>1606</v>
      </c>
      <c r="K99">
        <v>34030</v>
      </c>
      <c r="N99" s="1"/>
      <c r="O99" s="1"/>
      <c r="P99" s="1"/>
      <c r="Q99" s="1"/>
      <c r="R99" s="1"/>
      <c r="S99" s="1"/>
      <c r="T99" s="1"/>
    </row>
    <row r="100" spans="1:20" x14ac:dyDescent="0.2">
      <c r="A100" s="13">
        <v>44251.989247685182</v>
      </c>
      <c r="B100">
        <v>27841</v>
      </c>
      <c r="C100">
        <v>34</v>
      </c>
      <c r="D100" t="s">
        <v>125</v>
      </c>
      <c r="F100">
        <v>5.8090000000000002</v>
      </c>
      <c r="G100">
        <v>2</v>
      </c>
      <c r="H100" t="s">
        <v>21</v>
      </c>
      <c r="I100">
        <v>240.6</v>
      </c>
      <c r="J100">
        <v>62071</v>
      </c>
      <c r="K100">
        <v>1522119</v>
      </c>
      <c r="N100" s="1"/>
      <c r="O100" s="1"/>
      <c r="P100" s="1"/>
      <c r="Q100" s="1"/>
      <c r="R100" s="1"/>
      <c r="S100" s="1"/>
      <c r="T100" s="1"/>
    </row>
    <row r="101" spans="1:20" x14ac:dyDescent="0.2">
      <c r="A101" s="13">
        <v>44251.989247685182</v>
      </c>
      <c r="B101">
        <v>27841</v>
      </c>
      <c r="C101">
        <v>34</v>
      </c>
      <c r="D101" t="s">
        <v>125</v>
      </c>
      <c r="F101">
        <v>5.8090000000000002</v>
      </c>
      <c r="N101" s="1"/>
      <c r="O101" s="1"/>
      <c r="P101" s="1"/>
      <c r="Q101" s="1"/>
      <c r="R101" s="1"/>
      <c r="S101" s="1"/>
      <c r="T101" s="1"/>
    </row>
    <row r="102" spans="1:20" x14ac:dyDescent="0.2">
      <c r="A102" s="13">
        <v>44251.996574074074</v>
      </c>
      <c r="B102">
        <v>27842</v>
      </c>
      <c r="C102">
        <v>35</v>
      </c>
      <c r="D102" t="s">
        <v>126</v>
      </c>
      <c r="F102">
        <v>5.9210000000000003</v>
      </c>
      <c r="G102">
        <v>1</v>
      </c>
      <c r="H102" t="s">
        <v>20</v>
      </c>
      <c r="I102">
        <v>129.6</v>
      </c>
      <c r="J102">
        <v>912</v>
      </c>
      <c r="K102">
        <v>19446</v>
      </c>
      <c r="N102" s="1"/>
      <c r="O102" s="1"/>
      <c r="P102" s="1"/>
      <c r="Q102" s="1"/>
      <c r="R102" s="1"/>
      <c r="S102" s="1"/>
      <c r="T102" s="1"/>
    </row>
    <row r="103" spans="1:20" x14ac:dyDescent="0.2">
      <c r="A103" s="13">
        <v>44251.996574074074</v>
      </c>
      <c r="B103">
        <v>27842</v>
      </c>
      <c r="C103">
        <v>35</v>
      </c>
      <c r="D103" t="s">
        <v>126</v>
      </c>
      <c r="F103">
        <v>5.9210000000000003</v>
      </c>
      <c r="G103">
        <v>2</v>
      </c>
      <c r="H103" t="s">
        <v>21</v>
      </c>
      <c r="I103">
        <v>243.6</v>
      </c>
      <c r="J103">
        <v>32358</v>
      </c>
      <c r="K103">
        <v>786701</v>
      </c>
      <c r="N103" s="1"/>
      <c r="O103" s="1"/>
      <c r="P103" s="1"/>
      <c r="Q103" s="1"/>
      <c r="R103" s="1"/>
      <c r="S103" s="1"/>
      <c r="T103" s="1"/>
    </row>
    <row r="104" spans="1:20" x14ac:dyDescent="0.2">
      <c r="A104" s="13">
        <v>44251.996574074074</v>
      </c>
      <c r="B104">
        <v>27842</v>
      </c>
      <c r="C104">
        <v>35</v>
      </c>
      <c r="D104" t="s">
        <v>126</v>
      </c>
      <c r="F104">
        <v>5.9210000000000003</v>
      </c>
      <c r="N104" s="1"/>
      <c r="O104" s="1"/>
      <c r="P104" s="1"/>
      <c r="Q104" s="1"/>
      <c r="R104" s="1"/>
      <c r="S104" s="1"/>
      <c r="T104" s="1"/>
    </row>
    <row r="105" spans="1:20" x14ac:dyDescent="0.2">
      <c r="A105" s="13">
        <v>44252.003900462965</v>
      </c>
      <c r="B105">
        <v>27843</v>
      </c>
      <c r="C105">
        <v>36</v>
      </c>
      <c r="D105" t="s">
        <v>127</v>
      </c>
      <c r="F105">
        <v>5.8360000000000003</v>
      </c>
      <c r="G105">
        <v>1</v>
      </c>
      <c r="H105" t="s">
        <v>20</v>
      </c>
      <c r="I105">
        <v>129.6</v>
      </c>
      <c r="J105">
        <v>1699</v>
      </c>
      <c r="K105">
        <v>36024</v>
      </c>
      <c r="N105" s="1"/>
      <c r="O105" s="1"/>
      <c r="P105" s="1"/>
      <c r="Q105" s="1"/>
      <c r="R105" s="1"/>
      <c r="S105" s="1"/>
      <c r="T105" s="1"/>
    </row>
    <row r="106" spans="1:20" x14ac:dyDescent="0.2">
      <c r="A106" s="13">
        <v>44252.003900462965</v>
      </c>
      <c r="B106">
        <v>27843</v>
      </c>
      <c r="C106">
        <v>36</v>
      </c>
      <c r="D106" t="s">
        <v>127</v>
      </c>
      <c r="F106">
        <v>5.8360000000000003</v>
      </c>
      <c r="G106">
        <v>2</v>
      </c>
      <c r="H106" t="s">
        <v>21</v>
      </c>
      <c r="I106">
        <v>240.6</v>
      </c>
      <c r="J106">
        <v>62436</v>
      </c>
      <c r="K106">
        <v>1533598</v>
      </c>
      <c r="N106" s="1"/>
      <c r="O106" s="1"/>
      <c r="P106" s="1"/>
      <c r="Q106" s="1"/>
      <c r="R106" s="1"/>
      <c r="S106" s="1"/>
      <c r="T106" s="1"/>
    </row>
    <row r="107" spans="1:20" x14ac:dyDescent="0.2">
      <c r="A107" s="13">
        <v>44252.003900462965</v>
      </c>
      <c r="B107">
        <v>27843</v>
      </c>
      <c r="C107">
        <v>36</v>
      </c>
      <c r="D107" t="s">
        <v>127</v>
      </c>
      <c r="F107">
        <v>5.8360000000000003</v>
      </c>
      <c r="N107" s="1"/>
      <c r="O107" s="1"/>
      <c r="P107" s="1"/>
      <c r="Q107" s="1"/>
      <c r="R107" s="1"/>
      <c r="S107" s="1"/>
      <c r="T107" s="1"/>
    </row>
    <row r="108" spans="1:20" x14ac:dyDescent="0.2">
      <c r="A108" s="13">
        <v>44252.011238425926</v>
      </c>
      <c r="B108">
        <v>27844</v>
      </c>
      <c r="C108">
        <v>37</v>
      </c>
      <c r="D108" t="s">
        <v>128</v>
      </c>
      <c r="F108">
        <v>5.6589999999999998</v>
      </c>
      <c r="G108">
        <v>1</v>
      </c>
      <c r="H108" t="s">
        <v>20</v>
      </c>
      <c r="I108">
        <v>128.5</v>
      </c>
      <c r="J108">
        <v>1986</v>
      </c>
      <c r="K108">
        <v>42136</v>
      </c>
      <c r="N108" s="1"/>
      <c r="O108" s="1"/>
      <c r="P108" s="1"/>
      <c r="Q108" s="1"/>
      <c r="R108" s="1"/>
      <c r="S108" s="1"/>
      <c r="T108" s="1"/>
    </row>
    <row r="109" spans="1:20" x14ac:dyDescent="0.2">
      <c r="A109" s="13">
        <v>44252.011238425926</v>
      </c>
      <c r="B109">
        <v>27844</v>
      </c>
      <c r="C109">
        <v>37</v>
      </c>
      <c r="D109" t="s">
        <v>128</v>
      </c>
      <c r="F109">
        <v>5.6589999999999998</v>
      </c>
      <c r="G109">
        <v>2</v>
      </c>
      <c r="H109" t="s">
        <v>21</v>
      </c>
      <c r="I109">
        <v>239.5</v>
      </c>
      <c r="J109">
        <v>72478</v>
      </c>
      <c r="K109">
        <v>1794868</v>
      </c>
      <c r="N109" s="1"/>
      <c r="O109" s="1"/>
      <c r="P109" s="1"/>
      <c r="Q109" s="1"/>
      <c r="R109" s="1"/>
      <c r="S109" s="1"/>
      <c r="T109" s="1"/>
    </row>
    <row r="110" spans="1:20" x14ac:dyDescent="0.2">
      <c r="A110" s="13">
        <v>44252.011238425926</v>
      </c>
      <c r="B110">
        <v>27844</v>
      </c>
      <c r="C110">
        <v>37</v>
      </c>
      <c r="D110" t="s">
        <v>128</v>
      </c>
      <c r="F110">
        <v>5.6589999999999998</v>
      </c>
      <c r="N110" s="1"/>
      <c r="O110" s="1"/>
      <c r="P110" s="1"/>
      <c r="Q110" s="1"/>
      <c r="R110" s="1"/>
      <c r="S110" s="1"/>
      <c r="T110" s="1"/>
    </row>
    <row r="111" spans="1:20" x14ac:dyDescent="0.2">
      <c r="A111" s="13">
        <v>44252.018564814818</v>
      </c>
      <c r="B111">
        <v>27845</v>
      </c>
      <c r="C111">
        <v>38</v>
      </c>
      <c r="D111" t="s">
        <v>12</v>
      </c>
      <c r="G111">
        <v>1</v>
      </c>
      <c r="H111" t="s">
        <v>20</v>
      </c>
      <c r="I111">
        <v>128.5</v>
      </c>
      <c r="J111">
        <v>12548</v>
      </c>
      <c r="K111">
        <v>273601</v>
      </c>
      <c r="N111" s="1"/>
      <c r="O111" s="1"/>
      <c r="P111" s="1"/>
      <c r="Q111" s="1"/>
      <c r="R111" s="1"/>
      <c r="S111" s="1"/>
      <c r="T111" s="1"/>
    </row>
    <row r="112" spans="1:20" x14ac:dyDescent="0.2">
      <c r="A112" s="13">
        <v>44252.018564814818</v>
      </c>
      <c r="B112">
        <v>27845</v>
      </c>
      <c r="C112">
        <v>38</v>
      </c>
      <c r="D112" t="s">
        <v>12</v>
      </c>
      <c r="G112">
        <v>2</v>
      </c>
      <c r="H112" t="s">
        <v>21</v>
      </c>
      <c r="I112">
        <v>241.5</v>
      </c>
      <c r="J112">
        <v>51818</v>
      </c>
      <c r="K112">
        <v>1282204</v>
      </c>
      <c r="N112" s="1"/>
      <c r="O112" s="1"/>
      <c r="P112" s="1"/>
      <c r="Q112" s="1"/>
      <c r="R112" s="1"/>
      <c r="S112" s="1"/>
      <c r="T112" s="1"/>
    </row>
    <row r="113" spans="1:20" x14ac:dyDescent="0.2">
      <c r="A113" s="13">
        <v>44252.018564814818</v>
      </c>
      <c r="B113">
        <v>27845</v>
      </c>
      <c r="C113">
        <v>38</v>
      </c>
      <c r="D113" t="s">
        <v>12</v>
      </c>
      <c r="N113" s="1"/>
      <c r="O113" s="1"/>
      <c r="P113" s="1"/>
      <c r="Q113" s="1"/>
      <c r="R113" s="1"/>
      <c r="S113" s="1"/>
      <c r="T113" s="1"/>
    </row>
    <row r="114" spans="1:20" x14ac:dyDescent="0.2">
      <c r="A114" s="13">
        <v>44252.025902777779</v>
      </c>
      <c r="B114">
        <v>27846</v>
      </c>
      <c r="C114">
        <v>39</v>
      </c>
      <c r="D114" t="s">
        <v>129</v>
      </c>
      <c r="F114">
        <v>5.8029999999999999</v>
      </c>
      <c r="G114">
        <v>1</v>
      </c>
      <c r="H114" t="s">
        <v>20</v>
      </c>
      <c r="I114">
        <v>129.6</v>
      </c>
      <c r="J114">
        <v>3117</v>
      </c>
      <c r="K114">
        <v>64985</v>
      </c>
      <c r="N114" s="1"/>
      <c r="O114" s="1"/>
      <c r="P114" s="1"/>
      <c r="Q114" s="1"/>
      <c r="R114" s="1"/>
      <c r="S114" s="1"/>
      <c r="T114" s="1"/>
    </row>
    <row r="115" spans="1:20" x14ac:dyDescent="0.2">
      <c r="A115" s="13">
        <v>44252.025902777779</v>
      </c>
      <c r="B115">
        <v>27846</v>
      </c>
      <c r="C115">
        <v>39</v>
      </c>
      <c r="D115" t="s">
        <v>129</v>
      </c>
      <c r="F115">
        <v>5.8029999999999999</v>
      </c>
      <c r="G115">
        <v>2</v>
      </c>
      <c r="H115" t="s">
        <v>21</v>
      </c>
      <c r="I115">
        <v>231.6</v>
      </c>
      <c r="J115">
        <v>137858</v>
      </c>
      <c r="K115">
        <v>3594926</v>
      </c>
      <c r="N115" s="1"/>
      <c r="O115" s="1"/>
      <c r="P115" s="1"/>
      <c r="Q115" s="1"/>
      <c r="R115" s="1"/>
      <c r="S115" s="1"/>
      <c r="T115" s="1"/>
    </row>
    <row r="116" spans="1:20" x14ac:dyDescent="0.2">
      <c r="A116" s="13">
        <v>44252.025902777779</v>
      </c>
      <c r="B116">
        <v>27846</v>
      </c>
      <c r="C116">
        <v>39</v>
      </c>
      <c r="D116" t="s">
        <v>129</v>
      </c>
      <c r="F116">
        <v>5.8029999999999999</v>
      </c>
      <c r="N116" s="1"/>
      <c r="O116" s="1"/>
      <c r="P116" s="1"/>
      <c r="Q116" s="1"/>
      <c r="R116" s="1"/>
      <c r="S116" s="1"/>
      <c r="T116" s="1"/>
    </row>
    <row r="117" spans="1:20" x14ac:dyDescent="0.2">
      <c r="A117" s="13">
        <v>44252.033229166664</v>
      </c>
      <c r="B117">
        <v>27847</v>
      </c>
      <c r="C117">
        <v>40</v>
      </c>
      <c r="D117" t="s">
        <v>130</v>
      </c>
      <c r="F117">
        <v>5.742</v>
      </c>
      <c r="G117">
        <v>1</v>
      </c>
      <c r="H117" t="s">
        <v>20</v>
      </c>
      <c r="I117">
        <v>128.6</v>
      </c>
      <c r="J117">
        <v>833</v>
      </c>
      <c r="K117">
        <v>17816</v>
      </c>
      <c r="N117" s="1"/>
      <c r="O117" s="1"/>
      <c r="P117" s="1"/>
      <c r="Q117" s="1"/>
      <c r="R117" s="1"/>
      <c r="S117" s="1"/>
      <c r="T117" s="1"/>
    </row>
    <row r="118" spans="1:20" x14ac:dyDescent="0.2">
      <c r="A118" s="13">
        <v>44252.033229166664</v>
      </c>
      <c r="B118">
        <v>27847</v>
      </c>
      <c r="C118">
        <v>40</v>
      </c>
      <c r="D118" t="s">
        <v>130</v>
      </c>
      <c r="F118">
        <v>5.742</v>
      </c>
      <c r="G118">
        <v>2</v>
      </c>
      <c r="H118" t="s">
        <v>21</v>
      </c>
      <c r="I118">
        <v>244.6</v>
      </c>
      <c r="J118">
        <v>28592</v>
      </c>
      <c r="K118">
        <v>693512</v>
      </c>
      <c r="N118" s="1"/>
      <c r="O118" s="1"/>
      <c r="P118" s="1"/>
      <c r="Q118" s="1"/>
      <c r="R118" s="1"/>
      <c r="S118" s="1"/>
      <c r="T118" s="1"/>
    </row>
    <row r="119" spans="1:20" x14ac:dyDescent="0.2">
      <c r="A119" s="13">
        <v>44252.033229166664</v>
      </c>
      <c r="B119">
        <v>27847</v>
      </c>
      <c r="C119">
        <v>40</v>
      </c>
      <c r="D119" t="s">
        <v>130</v>
      </c>
      <c r="F119">
        <v>5.742</v>
      </c>
      <c r="N119" s="1"/>
      <c r="O119" s="1"/>
      <c r="P119" s="1"/>
      <c r="Q119" s="1"/>
      <c r="R119" s="1"/>
      <c r="S119" s="1"/>
      <c r="T119" s="1"/>
    </row>
    <row r="120" spans="1:20" x14ac:dyDescent="0.2">
      <c r="A120" s="13">
        <v>44252.040555555555</v>
      </c>
      <c r="B120">
        <v>27848</v>
      </c>
      <c r="C120">
        <v>41</v>
      </c>
      <c r="D120" t="s">
        <v>131</v>
      </c>
      <c r="F120">
        <v>5.6749999999999998</v>
      </c>
      <c r="G120">
        <v>1</v>
      </c>
      <c r="H120" t="s">
        <v>20</v>
      </c>
      <c r="I120">
        <v>128.6</v>
      </c>
      <c r="J120">
        <v>3657</v>
      </c>
      <c r="K120">
        <v>76189</v>
      </c>
      <c r="N120" s="1"/>
      <c r="O120" s="1"/>
      <c r="P120" s="1"/>
      <c r="Q120" s="1"/>
      <c r="R120" s="1"/>
      <c r="S120" s="1"/>
      <c r="T120" s="1"/>
    </row>
    <row r="121" spans="1:20" x14ac:dyDescent="0.2">
      <c r="A121" s="13">
        <v>44252.040555555555</v>
      </c>
      <c r="B121">
        <v>27848</v>
      </c>
      <c r="C121">
        <v>41</v>
      </c>
      <c r="D121" t="s">
        <v>131</v>
      </c>
      <c r="F121">
        <v>5.6749999999999998</v>
      </c>
      <c r="G121">
        <v>2</v>
      </c>
      <c r="H121" t="s">
        <v>21</v>
      </c>
      <c r="I121">
        <v>232.6</v>
      </c>
      <c r="J121">
        <v>127840</v>
      </c>
      <c r="K121">
        <v>3299409</v>
      </c>
      <c r="N121" s="1"/>
      <c r="O121" s="1"/>
      <c r="P121" s="1"/>
      <c r="Q121" s="1"/>
      <c r="R121" s="1"/>
      <c r="S121" s="1"/>
      <c r="T121" s="1"/>
    </row>
    <row r="122" spans="1:20" x14ac:dyDescent="0.2">
      <c r="A122" s="13">
        <v>44252.040555555555</v>
      </c>
      <c r="B122">
        <v>27848</v>
      </c>
      <c r="C122">
        <v>41</v>
      </c>
      <c r="D122" t="s">
        <v>131</v>
      </c>
      <c r="F122">
        <v>5.6749999999999998</v>
      </c>
      <c r="N122" s="1"/>
      <c r="O122" s="1"/>
      <c r="P122" s="1"/>
      <c r="Q122" s="1"/>
      <c r="R122" s="1"/>
      <c r="S122" s="1"/>
      <c r="T122" s="1"/>
    </row>
    <row r="123" spans="1:20" x14ac:dyDescent="0.2">
      <c r="A123" s="13">
        <v>44252.047881944447</v>
      </c>
      <c r="B123">
        <v>27849</v>
      </c>
      <c r="C123">
        <v>42</v>
      </c>
      <c r="D123" t="s">
        <v>132</v>
      </c>
      <c r="F123">
        <v>5.7279999999999998</v>
      </c>
      <c r="G123">
        <v>1</v>
      </c>
      <c r="H123" t="s">
        <v>20</v>
      </c>
      <c r="I123">
        <v>129.6</v>
      </c>
      <c r="J123">
        <v>3058</v>
      </c>
      <c r="K123">
        <v>63893</v>
      </c>
      <c r="N123" s="1"/>
      <c r="O123" s="1"/>
      <c r="P123" s="1"/>
      <c r="Q123" s="1"/>
      <c r="R123" s="1"/>
      <c r="S123" s="1"/>
      <c r="T123" s="1"/>
    </row>
    <row r="124" spans="1:20" x14ac:dyDescent="0.2">
      <c r="A124" s="13">
        <v>44252.047881944447</v>
      </c>
      <c r="B124">
        <v>27849</v>
      </c>
      <c r="C124">
        <v>42</v>
      </c>
      <c r="D124" t="s">
        <v>132</v>
      </c>
      <c r="F124">
        <v>5.7279999999999998</v>
      </c>
      <c r="G124">
        <v>2</v>
      </c>
      <c r="H124" t="s">
        <v>21</v>
      </c>
      <c r="I124">
        <v>234.6</v>
      </c>
      <c r="J124">
        <v>116964</v>
      </c>
      <c r="K124">
        <v>2995487</v>
      </c>
      <c r="N124" s="1"/>
      <c r="O124" s="1"/>
      <c r="P124" s="1"/>
      <c r="Q124" s="1"/>
      <c r="R124" s="1"/>
      <c r="S124" s="1"/>
      <c r="T124" s="1"/>
    </row>
    <row r="125" spans="1:20" x14ac:dyDescent="0.2">
      <c r="A125" s="13">
        <v>44252.047881944447</v>
      </c>
      <c r="B125">
        <v>27849</v>
      </c>
      <c r="C125">
        <v>42</v>
      </c>
      <c r="D125" t="s">
        <v>132</v>
      </c>
      <c r="F125">
        <v>5.7279999999999998</v>
      </c>
      <c r="N125" s="1"/>
      <c r="O125" s="1"/>
      <c r="P125" s="1"/>
      <c r="Q125" s="1"/>
      <c r="R125" s="1"/>
      <c r="S125" s="1"/>
      <c r="T125" s="1"/>
    </row>
    <row r="126" spans="1:20" x14ac:dyDescent="0.2">
      <c r="A126" s="13">
        <v>44252.055277777778</v>
      </c>
      <c r="B126">
        <v>27850</v>
      </c>
      <c r="C126">
        <v>43</v>
      </c>
      <c r="D126" t="s">
        <v>133</v>
      </c>
      <c r="F126">
        <v>5.8879999999999999</v>
      </c>
      <c r="G126">
        <v>1</v>
      </c>
      <c r="H126" t="s">
        <v>20</v>
      </c>
      <c r="I126">
        <v>128.6</v>
      </c>
      <c r="J126">
        <v>1533</v>
      </c>
      <c r="K126">
        <v>32473</v>
      </c>
      <c r="N126" s="1"/>
      <c r="O126" s="1"/>
      <c r="P126" s="1"/>
      <c r="Q126" s="1"/>
      <c r="R126" s="1"/>
      <c r="S126" s="1"/>
      <c r="T126" s="1"/>
    </row>
    <row r="127" spans="1:20" x14ac:dyDescent="0.2">
      <c r="A127" s="13">
        <v>44252.055277777778</v>
      </c>
      <c r="B127">
        <v>27850</v>
      </c>
      <c r="C127">
        <v>43</v>
      </c>
      <c r="D127" t="s">
        <v>133</v>
      </c>
      <c r="F127">
        <v>5.8879999999999999</v>
      </c>
      <c r="G127">
        <v>2</v>
      </c>
      <c r="H127" t="s">
        <v>21</v>
      </c>
      <c r="I127">
        <v>240.6</v>
      </c>
      <c r="J127">
        <v>61077</v>
      </c>
      <c r="K127">
        <v>1501231</v>
      </c>
    </row>
    <row r="128" spans="1:20" x14ac:dyDescent="0.2">
      <c r="A128" s="13">
        <v>44252.055277777778</v>
      </c>
      <c r="B128">
        <v>27850</v>
      </c>
      <c r="C128">
        <v>43</v>
      </c>
      <c r="D128" t="s">
        <v>133</v>
      </c>
      <c r="F128">
        <v>5.8879999999999999</v>
      </c>
    </row>
    <row r="129" spans="1:11" x14ac:dyDescent="0.2">
      <c r="A129" s="13">
        <v>44252.062604166669</v>
      </c>
      <c r="B129">
        <v>27851</v>
      </c>
      <c r="C129">
        <v>44</v>
      </c>
      <c r="D129" t="s">
        <v>134</v>
      </c>
      <c r="F129">
        <v>5.9550000000000001</v>
      </c>
      <c r="G129">
        <v>1</v>
      </c>
      <c r="H129" t="s">
        <v>20</v>
      </c>
      <c r="I129">
        <v>129.6</v>
      </c>
      <c r="J129">
        <v>1314</v>
      </c>
      <c r="K129">
        <v>27990</v>
      </c>
    </row>
    <row r="130" spans="1:11" x14ac:dyDescent="0.2">
      <c r="A130" s="13">
        <v>44252.062604166669</v>
      </c>
      <c r="B130">
        <v>27851</v>
      </c>
      <c r="C130">
        <v>44</v>
      </c>
      <c r="D130" t="s">
        <v>134</v>
      </c>
      <c r="F130">
        <v>5.9550000000000001</v>
      </c>
      <c r="G130">
        <v>2</v>
      </c>
      <c r="H130" t="s">
        <v>21</v>
      </c>
      <c r="I130">
        <v>242.6</v>
      </c>
      <c r="J130">
        <v>44858</v>
      </c>
      <c r="K130">
        <v>1094147</v>
      </c>
    </row>
    <row r="131" spans="1:11" x14ac:dyDescent="0.2">
      <c r="A131" s="13">
        <v>44252.062604166669</v>
      </c>
      <c r="B131">
        <v>27851</v>
      </c>
      <c r="C131">
        <v>44</v>
      </c>
      <c r="D131" t="s">
        <v>134</v>
      </c>
      <c r="F131">
        <v>5.9550000000000001</v>
      </c>
    </row>
    <row r="132" spans="1:11" x14ac:dyDescent="0.2">
      <c r="A132" s="13">
        <v>44252.069930555554</v>
      </c>
      <c r="B132">
        <v>27852</v>
      </c>
      <c r="C132">
        <v>45</v>
      </c>
      <c r="D132" t="s">
        <v>135</v>
      </c>
      <c r="F132">
        <v>5.6189999999999998</v>
      </c>
      <c r="G132">
        <v>1</v>
      </c>
      <c r="H132" t="s">
        <v>20</v>
      </c>
      <c r="I132">
        <v>129.80000000000001</v>
      </c>
      <c r="J132">
        <v>1901</v>
      </c>
      <c r="K132">
        <v>40283</v>
      </c>
    </row>
    <row r="133" spans="1:11" x14ac:dyDescent="0.2">
      <c r="A133" s="13">
        <v>44252.069930555554</v>
      </c>
      <c r="B133">
        <v>27852</v>
      </c>
      <c r="C133">
        <v>45</v>
      </c>
      <c r="D133" t="s">
        <v>135</v>
      </c>
      <c r="F133">
        <v>5.6189999999999998</v>
      </c>
      <c r="G133">
        <v>2</v>
      </c>
      <c r="H133" t="s">
        <v>21</v>
      </c>
      <c r="I133">
        <v>239.8</v>
      </c>
      <c r="J133">
        <v>72868</v>
      </c>
      <c r="K133">
        <v>1802369</v>
      </c>
    </row>
    <row r="134" spans="1:11" x14ac:dyDescent="0.2">
      <c r="A134" s="13">
        <v>44252.069930555554</v>
      </c>
      <c r="B134">
        <v>27852</v>
      </c>
      <c r="C134">
        <v>45</v>
      </c>
      <c r="D134" t="s">
        <v>135</v>
      </c>
      <c r="F134">
        <v>5.6189999999999998</v>
      </c>
    </row>
    <row r="135" spans="1:11" x14ac:dyDescent="0.2">
      <c r="A135" s="13">
        <v>44252.077256944445</v>
      </c>
      <c r="B135">
        <v>27853</v>
      </c>
      <c r="C135">
        <v>46</v>
      </c>
      <c r="D135" t="s">
        <v>136</v>
      </c>
      <c r="F135">
        <v>5.79</v>
      </c>
      <c r="G135">
        <v>1</v>
      </c>
      <c r="H135" t="s">
        <v>20</v>
      </c>
      <c r="I135">
        <v>128.6</v>
      </c>
      <c r="J135">
        <v>1140</v>
      </c>
      <c r="K135">
        <v>24421</v>
      </c>
    </row>
    <row r="136" spans="1:11" x14ac:dyDescent="0.2">
      <c r="A136" s="13">
        <v>44252.077256944445</v>
      </c>
      <c r="B136">
        <v>27853</v>
      </c>
      <c r="C136">
        <v>46</v>
      </c>
      <c r="D136" t="s">
        <v>136</v>
      </c>
      <c r="F136">
        <v>5.79</v>
      </c>
      <c r="G136">
        <v>2</v>
      </c>
      <c r="H136" t="s">
        <v>21</v>
      </c>
      <c r="I136">
        <v>243.6</v>
      </c>
      <c r="J136">
        <v>33190</v>
      </c>
      <c r="K136">
        <v>807742</v>
      </c>
    </row>
    <row r="137" spans="1:11" x14ac:dyDescent="0.2">
      <c r="A137" s="13">
        <v>44252.077256944445</v>
      </c>
      <c r="B137">
        <v>27853</v>
      </c>
      <c r="C137">
        <v>46</v>
      </c>
      <c r="D137" t="s">
        <v>136</v>
      </c>
      <c r="F137">
        <v>5.79</v>
      </c>
    </row>
    <row r="138" spans="1:11" x14ac:dyDescent="0.2">
      <c r="A138" s="13">
        <v>44252.084583333337</v>
      </c>
      <c r="B138">
        <v>27854</v>
      </c>
      <c r="C138">
        <v>47</v>
      </c>
      <c r="D138" t="s">
        <v>137</v>
      </c>
      <c r="F138">
        <v>5.827</v>
      </c>
      <c r="G138">
        <v>1</v>
      </c>
      <c r="H138" t="s">
        <v>20</v>
      </c>
      <c r="I138">
        <v>129.80000000000001</v>
      </c>
      <c r="J138">
        <v>1735</v>
      </c>
      <c r="K138">
        <v>36677</v>
      </c>
    </row>
    <row r="139" spans="1:11" x14ac:dyDescent="0.2">
      <c r="A139" s="13">
        <v>44252.084583333337</v>
      </c>
      <c r="B139">
        <v>27854</v>
      </c>
      <c r="C139">
        <v>47</v>
      </c>
      <c r="D139" t="s">
        <v>137</v>
      </c>
      <c r="F139">
        <v>5.827</v>
      </c>
      <c r="G139">
        <v>2</v>
      </c>
      <c r="H139" t="s">
        <v>21</v>
      </c>
      <c r="I139">
        <v>239.8</v>
      </c>
      <c r="J139">
        <v>68214</v>
      </c>
      <c r="K139">
        <v>1680733</v>
      </c>
    </row>
    <row r="140" spans="1:11" x14ac:dyDescent="0.2">
      <c r="A140" s="13">
        <v>44252.084583333337</v>
      </c>
      <c r="B140">
        <v>27854</v>
      </c>
      <c r="C140">
        <v>47</v>
      </c>
      <c r="D140" t="s">
        <v>137</v>
      </c>
      <c r="F140">
        <v>5.827</v>
      </c>
    </row>
    <row r="141" spans="1:11" x14ac:dyDescent="0.2">
      <c r="A141" s="13">
        <v>44252.091909722221</v>
      </c>
      <c r="B141">
        <v>27855</v>
      </c>
      <c r="C141">
        <v>48</v>
      </c>
      <c r="D141" t="s">
        <v>138</v>
      </c>
      <c r="F141">
        <v>5.8220000000000001</v>
      </c>
      <c r="G141">
        <v>1</v>
      </c>
      <c r="H141" t="s">
        <v>20</v>
      </c>
      <c r="I141">
        <v>128.5</v>
      </c>
      <c r="J141">
        <v>2675</v>
      </c>
      <c r="K141">
        <v>56666</v>
      </c>
    </row>
    <row r="142" spans="1:11" x14ac:dyDescent="0.2">
      <c r="A142" s="13">
        <v>44252.091909722221</v>
      </c>
      <c r="B142">
        <v>27855</v>
      </c>
      <c r="C142">
        <v>48</v>
      </c>
      <c r="D142" t="s">
        <v>138</v>
      </c>
      <c r="F142">
        <v>5.8220000000000001</v>
      </c>
      <c r="G142">
        <v>2</v>
      </c>
      <c r="H142" t="s">
        <v>21</v>
      </c>
      <c r="I142">
        <v>237.5</v>
      </c>
      <c r="J142">
        <v>82733</v>
      </c>
      <c r="K142">
        <v>2058475</v>
      </c>
    </row>
    <row r="143" spans="1:11" x14ac:dyDescent="0.2">
      <c r="A143" s="13">
        <v>44252.091909722221</v>
      </c>
      <c r="B143">
        <v>27855</v>
      </c>
      <c r="C143">
        <v>48</v>
      </c>
      <c r="D143" t="s">
        <v>138</v>
      </c>
      <c r="F143">
        <v>5.8220000000000001</v>
      </c>
    </row>
    <row r="144" spans="1:11" x14ac:dyDescent="0.2">
      <c r="A144" s="13">
        <v>44252.099247685182</v>
      </c>
      <c r="B144">
        <v>27856</v>
      </c>
      <c r="C144">
        <v>49</v>
      </c>
      <c r="D144" t="s">
        <v>12</v>
      </c>
      <c r="G144">
        <v>1</v>
      </c>
      <c r="H144" t="s">
        <v>20</v>
      </c>
      <c r="I144">
        <v>128.80000000000001</v>
      </c>
      <c r="J144">
        <v>11872</v>
      </c>
      <c r="K144">
        <v>258627</v>
      </c>
    </row>
    <row r="145" spans="1:11" x14ac:dyDescent="0.2">
      <c r="A145" s="13">
        <v>44252.099247685182</v>
      </c>
      <c r="B145">
        <v>27856</v>
      </c>
      <c r="C145">
        <v>49</v>
      </c>
      <c r="D145" t="s">
        <v>12</v>
      </c>
      <c r="G145">
        <v>2</v>
      </c>
      <c r="H145" t="s">
        <v>21</v>
      </c>
      <c r="I145">
        <v>241.8</v>
      </c>
      <c r="J145">
        <v>49113</v>
      </c>
      <c r="K145">
        <v>1212805</v>
      </c>
    </row>
    <row r="146" spans="1:11" x14ac:dyDescent="0.2">
      <c r="A146" s="13">
        <v>44252.099247685182</v>
      </c>
      <c r="B146">
        <v>27856</v>
      </c>
      <c r="C146">
        <v>49</v>
      </c>
      <c r="D146" t="s">
        <v>12</v>
      </c>
    </row>
    <row r="147" spans="1:11" x14ac:dyDescent="0.2">
      <c r="A147" s="13">
        <v>44252.106562499997</v>
      </c>
      <c r="B147">
        <v>27857</v>
      </c>
      <c r="C147">
        <v>50</v>
      </c>
      <c r="D147" t="s">
        <v>139</v>
      </c>
      <c r="F147">
        <v>5.8179999999999996</v>
      </c>
      <c r="G147">
        <v>1</v>
      </c>
      <c r="H147" t="s">
        <v>20</v>
      </c>
      <c r="I147">
        <v>128.80000000000001</v>
      </c>
      <c r="J147">
        <v>960</v>
      </c>
      <c r="K147">
        <v>20580</v>
      </c>
    </row>
    <row r="148" spans="1:11" x14ac:dyDescent="0.2">
      <c r="A148" s="13">
        <v>44252.106562499997</v>
      </c>
      <c r="B148">
        <v>27857</v>
      </c>
      <c r="C148">
        <v>50</v>
      </c>
      <c r="D148" t="s">
        <v>139</v>
      </c>
      <c r="F148">
        <v>5.8179999999999996</v>
      </c>
      <c r="G148">
        <v>2</v>
      </c>
      <c r="H148" t="s">
        <v>21</v>
      </c>
      <c r="I148">
        <v>244.8</v>
      </c>
      <c r="J148">
        <v>29383</v>
      </c>
      <c r="K148">
        <v>712998</v>
      </c>
    </row>
    <row r="149" spans="1:11" x14ac:dyDescent="0.2">
      <c r="A149" s="13">
        <v>44252.106562499997</v>
      </c>
      <c r="B149">
        <v>27857</v>
      </c>
      <c r="C149">
        <v>50</v>
      </c>
      <c r="D149" t="s">
        <v>139</v>
      </c>
      <c r="F149">
        <v>5.8179999999999996</v>
      </c>
    </row>
    <row r="150" spans="1:11" x14ac:dyDescent="0.2">
      <c r="A150" s="13">
        <v>44252.113900462966</v>
      </c>
      <c r="B150">
        <v>27858</v>
      </c>
      <c r="C150">
        <v>51</v>
      </c>
      <c r="D150" t="s">
        <v>140</v>
      </c>
      <c r="F150">
        <v>5.77</v>
      </c>
      <c r="G150">
        <v>1</v>
      </c>
      <c r="H150" t="s">
        <v>20</v>
      </c>
      <c r="I150">
        <v>129.6</v>
      </c>
      <c r="J150">
        <v>1180</v>
      </c>
      <c r="K150">
        <v>25076</v>
      </c>
    </row>
    <row r="151" spans="1:11" x14ac:dyDescent="0.2">
      <c r="A151" s="13">
        <v>44252.113900462966</v>
      </c>
      <c r="B151">
        <v>27858</v>
      </c>
      <c r="C151">
        <v>51</v>
      </c>
      <c r="D151" t="s">
        <v>140</v>
      </c>
      <c r="F151">
        <v>5.77</v>
      </c>
      <c r="G151">
        <v>2</v>
      </c>
      <c r="H151" t="s">
        <v>21</v>
      </c>
      <c r="I151">
        <v>242.6</v>
      </c>
      <c r="J151">
        <v>41534</v>
      </c>
      <c r="K151">
        <v>1010463</v>
      </c>
    </row>
    <row r="152" spans="1:11" x14ac:dyDescent="0.2">
      <c r="A152" s="13">
        <v>44252.113900462966</v>
      </c>
      <c r="B152">
        <v>27858</v>
      </c>
      <c r="C152">
        <v>51</v>
      </c>
      <c r="D152" t="s">
        <v>140</v>
      </c>
      <c r="F152">
        <v>5.77</v>
      </c>
    </row>
    <row r="153" spans="1:11" x14ac:dyDescent="0.2">
      <c r="A153" s="13">
        <v>44252.12122685185</v>
      </c>
      <c r="B153">
        <v>27859</v>
      </c>
      <c r="C153">
        <v>52</v>
      </c>
      <c r="D153" t="s">
        <v>141</v>
      </c>
      <c r="F153">
        <v>5.9779999999999998</v>
      </c>
      <c r="G153">
        <v>1</v>
      </c>
      <c r="H153" t="s">
        <v>20</v>
      </c>
      <c r="I153">
        <v>129.6</v>
      </c>
      <c r="J153">
        <v>772</v>
      </c>
      <c r="K153">
        <v>16449</v>
      </c>
    </row>
    <row r="154" spans="1:11" x14ac:dyDescent="0.2">
      <c r="A154" s="13">
        <v>44252.12122685185</v>
      </c>
      <c r="B154">
        <v>27859</v>
      </c>
      <c r="C154">
        <v>52</v>
      </c>
      <c r="D154" t="s">
        <v>141</v>
      </c>
      <c r="F154">
        <v>5.9779999999999998</v>
      </c>
      <c r="G154">
        <v>2</v>
      </c>
      <c r="H154" t="s">
        <v>21</v>
      </c>
      <c r="I154">
        <v>243.6</v>
      </c>
      <c r="J154">
        <v>34912</v>
      </c>
      <c r="K154">
        <v>847696</v>
      </c>
    </row>
    <row r="155" spans="1:11" x14ac:dyDescent="0.2">
      <c r="A155" s="13">
        <v>44252.12122685185</v>
      </c>
      <c r="B155">
        <v>27859</v>
      </c>
      <c r="C155">
        <v>52</v>
      </c>
      <c r="D155" t="s">
        <v>141</v>
      </c>
      <c r="F155">
        <v>5.9779999999999998</v>
      </c>
    </row>
    <row r="156" spans="1:11" x14ac:dyDescent="0.2">
      <c r="A156" s="13">
        <v>44252.128564814811</v>
      </c>
      <c r="B156">
        <v>27860</v>
      </c>
      <c r="C156">
        <v>53</v>
      </c>
      <c r="D156" t="s">
        <v>142</v>
      </c>
      <c r="F156">
        <v>5.75</v>
      </c>
      <c r="G156">
        <v>1</v>
      </c>
      <c r="H156" t="s">
        <v>20</v>
      </c>
      <c r="I156">
        <v>129.80000000000001</v>
      </c>
      <c r="J156">
        <v>3094</v>
      </c>
      <c r="K156">
        <v>64603</v>
      </c>
    </row>
    <row r="157" spans="1:11" x14ac:dyDescent="0.2">
      <c r="A157" s="13">
        <v>44252.128564814811</v>
      </c>
      <c r="B157">
        <v>27860</v>
      </c>
      <c r="C157">
        <v>53</v>
      </c>
      <c r="D157" t="s">
        <v>142</v>
      </c>
      <c r="F157">
        <v>5.75</v>
      </c>
      <c r="G157">
        <v>2</v>
      </c>
      <c r="H157" t="s">
        <v>21</v>
      </c>
      <c r="I157">
        <v>234.8</v>
      </c>
      <c r="J157">
        <v>115365</v>
      </c>
      <c r="K157">
        <v>2949056</v>
      </c>
    </row>
    <row r="158" spans="1:11" x14ac:dyDescent="0.2">
      <c r="A158" s="13">
        <v>44252.128564814811</v>
      </c>
      <c r="B158">
        <v>27860</v>
      </c>
      <c r="C158">
        <v>53</v>
      </c>
      <c r="D158" t="s">
        <v>142</v>
      </c>
      <c r="F158">
        <v>5.75</v>
      </c>
    </row>
    <row r="159" spans="1:11" x14ac:dyDescent="0.2">
      <c r="A159" s="13">
        <v>44252.135891203703</v>
      </c>
      <c r="B159">
        <v>27861</v>
      </c>
      <c r="C159">
        <v>54</v>
      </c>
      <c r="D159" t="s">
        <v>143</v>
      </c>
      <c r="F159">
        <v>5.6180000000000003</v>
      </c>
      <c r="G159">
        <v>1</v>
      </c>
      <c r="H159" t="s">
        <v>20</v>
      </c>
      <c r="I159">
        <v>128.80000000000001</v>
      </c>
      <c r="J159">
        <v>2378</v>
      </c>
      <c r="K159">
        <v>50445</v>
      </c>
    </row>
    <row r="160" spans="1:11" x14ac:dyDescent="0.2">
      <c r="A160" s="13">
        <v>44252.135891203703</v>
      </c>
      <c r="B160">
        <v>27861</v>
      </c>
      <c r="C160">
        <v>54</v>
      </c>
      <c r="D160" t="s">
        <v>143</v>
      </c>
      <c r="F160">
        <v>5.6180000000000003</v>
      </c>
      <c r="G160">
        <v>2</v>
      </c>
      <c r="H160" t="s">
        <v>21</v>
      </c>
      <c r="I160">
        <v>238.8</v>
      </c>
      <c r="J160">
        <v>77398</v>
      </c>
      <c r="K160">
        <v>1922401</v>
      </c>
    </row>
    <row r="161" spans="1:11" x14ac:dyDescent="0.2">
      <c r="A161" s="13">
        <v>44252.135891203703</v>
      </c>
      <c r="B161">
        <v>27861</v>
      </c>
      <c r="C161">
        <v>54</v>
      </c>
      <c r="D161" t="s">
        <v>143</v>
      </c>
      <c r="F161">
        <v>5.6180000000000003</v>
      </c>
    </row>
    <row r="162" spans="1:11" x14ac:dyDescent="0.2">
      <c r="A162" s="13">
        <v>44252.143217592595</v>
      </c>
      <c r="B162">
        <v>27862</v>
      </c>
      <c r="C162">
        <v>55</v>
      </c>
      <c r="D162" t="s">
        <v>144</v>
      </c>
      <c r="F162">
        <v>5.5990000000000002</v>
      </c>
      <c r="G162">
        <v>1</v>
      </c>
      <c r="H162" t="s">
        <v>20</v>
      </c>
      <c r="I162">
        <v>128.6</v>
      </c>
      <c r="J162">
        <v>1379</v>
      </c>
      <c r="K162">
        <v>29447</v>
      </c>
    </row>
    <row r="163" spans="1:11" x14ac:dyDescent="0.2">
      <c r="A163" s="13">
        <v>44252.143217592595</v>
      </c>
      <c r="B163">
        <v>27862</v>
      </c>
      <c r="C163">
        <v>55</v>
      </c>
      <c r="D163" t="s">
        <v>144</v>
      </c>
      <c r="F163">
        <v>5.5990000000000002</v>
      </c>
      <c r="G163">
        <v>2</v>
      </c>
      <c r="H163" t="s">
        <v>21</v>
      </c>
      <c r="I163">
        <v>241.6</v>
      </c>
      <c r="J163">
        <v>48840</v>
      </c>
      <c r="K163">
        <v>1193864</v>
      </c>
    </row>
    <row r="164" spans="1:11" x14ac:dyDescent="0.2">
      <c r="A164" s="13">
        <v>44252.143217592595</v>
      </c>
      <c r="B164">
        <v>27862</v>
      </c>
      <c r="C164">
        <v>55</v>
      </c>
      <c r="D164" t="s">
        <v>144</v>
      </c>
      <c r="F164">
        <v>5.5990000000000002</v>
      </c>
    </row>
    <row r="165" spans="1:11" x14ac:dyDescent="0.2">
      <c r="A165" s="13">
        <v>44252.150543981479</v>
      </c>
      <c r="B165">
        <v>27863</v>
      </c>
      <c r="C165">
        <v>56</v>
      </c>
      <c r="D165" t="s">
        <v>145</v>
      </c>
      <c r="F165">
        <v>5.8639999999999999</v>
      </c>
      <c r="G165">
        <v>1</v>
      </c>
      <c r="H165" t="s">
        <v>20</v>
      </c>
      <c r="I165">
        <v>129.6</v>
      </c>
      <c r="J165">
        <v>2271</v>
      </c>
      <c r="K165">
        <v>47975</v>
      </c>
    </row>
    <row r="166" spans="1:11" x14ac:dyDescent="0.2">
      <c r="A166" s="13">
        <v>44252.150543981479</v>
      </c>
      <c r="B166">
        <v>27863</v>
      </c>
      <c r="C166">
        <v>56</v>
      </c>
      <c r="D166" t="s">
        <v>145</v>
      </c>
      <c r="F166">
        <v>5.8639999999999999</v>
      </c>
      <c r="G166">
        <v>2</v>
      </c>
      <c r="H166" t="s">
        <v>21</v>
      </c>
      <c r="I166">
        <v>238.6</v>
      </c>
      <c r="J166">
        <v>78523</v>
      </c>
      <c r="K166">
        <v>1947208</v>
      </c>
    </row>
    <row r="167" spans="1:11" x14ac:dyDescent="0.2">
      <c r="A167" s="13">
        <v>44252.150543981479</v>
      </c>
      <c r="B167">
        <v>27863</v>
      </c>
      <c r="C167">
        <v>56</v>
      </c>
      <c r="D167" t="s">
        <v>145</v>
      </c>
      <c r="F167">
        <v>5.8639999999999999</v>
      </c>
    </row>
    <row r="168" spans="1:11" x14ac:dyDescent="0.2">
      <c r="A168" s="13">
        <v>44252.157881944448</v>
      </c>
      <c r="B168">
        <v>27864</v>
      </c>
      <c r="C168">
        <v>57</v>
      </c>
      <c r="D168" t="s">
        <v>146</v>
      </c>
      <c r="F168">
        <v>5.7729999999999997</v>
      </c>
      <c r="G168">
        <v>1</v>
      </c>
      <c r="H168" t="s">
        <v>20</v>
      </c>
      <c r="I168">
        <v>128.80000000000001</v>
      </c>
      <c r="J168">
        <v>1285</v>
      </c>
      <c r="K168">
        <v>27398</v>
      </c>
    </row>
    <row r="169" spans="1:11" x14ac:dyDescent="0.2">
      <c r="A169" s="13">
        <v>44252.157881944448</v>
      </c>
      <c r="B169">
        <v>27864</v>
      </c>
      <c r="C169">
        <v>57</v>
      </c>
      <c r="D169" t="s">
        <v>146</v>
      </c>
      <c r="F169">
        <v>5.7729999999999997</v>
      </c>
      <c r="G169">
        <v>2</v>
      </c>
      <c r="H169" t="s">
        <v>21</v>
      </c>
      <c r="I169">
        <v>241.8</v>
      </c>
      <c r="J169">
        <v>48252</v>
      </c>
      <c r="K169">
        <v>1182196</v>
      </c>
    </row>
    <row r="170" spans="1:11" x14ac:dyDescent="0.2">
      <c r="A170" s="13">
        <v>44252.157881944448</v>
      </c>
      <c r="B170">
        <v>27864</v>
      </c>
      <c r="C170">
        <v>57</v>
      </c>
      <c r="D170" t="s">
        <v>146</v>
      </c>
      <c r="F170">
        <v>5.7729999999999997</v>
      </c>
    </row>
    <row r="171" spans="1:11" x14ac:dyDescent="0.2">
      <c r="A171" s="13">
        <v>44252.165208333332</v>
      </c>
      <c r="B171">
        <v>27865</v>
      </c>
      <c r="C171">
        <v>58</v>
      </c>
      <c r="D171" t="s">
        <v>147</v>
      </c>
      <c r="F171">
        <v>5.7290000000000001</v>
      </c>
      <c r="G171">
        <v>1</v>
      </c>
      <c r="H171" t="s">
        <v>20</v>
      </c>
      <c r="I171">
        <v>129.6</v>
      </c>
      <c r="J171">
        <v>940</v>
      </c>
      <c r="K171">
        <v>20007</v>
      </c>
    </row>
    <row r="172" spans="1:11" x14ac:dyDescent="0.2">
      <c r="A172" s="13">
        <v>44252.165208333332</v>
      </c>
      <c r="B172">
        <v>27865</v>
      </c>
      <c r="C172">
        <v>58</v>
      </c>
      <c r="D172" t="s">
        <v>147</v>
      </c>
      <c r="F172">
        <v>5.7290000000000001</v>
      </c>
      <c r="G172">
        <v>2</v>
      </c>
      <c r="H172" t="s">
        <v>21</v>
      </c>
      <c r="I172">
        <v>244.6</v>
      </c>
      <c r="J172">
        <v>31931</v>
      </c>
      <c r="K172">
        <v>774532</v>
      </c>
    </row>
    <row r="173" spans="1:11" x14ac:dyDescent="0.2">
      <c r="A173" s="13">
        <v>44252.165208333332</v>
      </c>
      <c r="B173">
        <v>27865</v>
      </c>
      <c r="C173">
        <v>58</v>
      </c>
      <c r="D173" t="s">
        <v>147</v>
      </c>
      <c r="F173">
        <v>5.7290000000000001</v>
      </c>
    </row>
    <row r="174" spans="1:11" x14ac:dyDescent="0.2">
      <c r="A174" s="13">
        <v>44252.172534722224</v>
      </c>
      <c r="B174">
        <v>27866</v>
      </c>
      <c r="C174">
        <v>59</v>
      </c>
      <c r="D174" t="s">
        <v>148</v>
      </c>
      <c r="F174">
        <v>5.91</v>
      </c>
      <c r="G174">
        <v>1</v>
      </c>
      <c r="H174" t="s">
        <v>20</v>
      </c>
      <c r="I174">
        <v>129.6</v>
      </c>
      <c r="J174">
        <v>2171</v>
      </c>
      <c r="K174">
        <v>45862</v>
      </c>
    </row>
    <row r="175" spans="1:11" x14ac:dyDescent="0.2">
      <c r="A175" s="13">
        <v>44252.172534722224</v>
      </c>
      <c r="B175">
        <v>27866</v>
      </c>
      <c r="C175">
        <v>59</v>
      </c>
      <c r="D175" t="s">
        <v>148</v>
      </c>
      <c r="F175">
        <v>5.91</v>
      </c>
      <c r="G175">
        <v>2</v>
      </c>
      <c r="H175" t="s">
        <v>21</v>
      </c>
      <c r="I175">
        <v>238.6</v>
      </c>
      <c r="J175">
        <v>76904</v>
      </c>
      <c r="K175">
        <v>1904501</v>
      </c>
    </row>
    <row r="176" spans="1:11" x14ac:dyDescent="0.2">
      <c r="A176" s="13">
        <v>44252.172534722224</v>
      </c>
      <c r="B176">
        <v>27866</v>
      </c>
      <c r="C176">
        <v>59</v>
      </c>
      <c r="D176" t="s">
        <v>148</v>
      </c>
      <c r="F176">
        <v>5.91</v>
      </c>
    </row>
    <row r="177" spans="1:11" x14ac:dyDescent="0.2">
      <c r="A177" s="13">
        <v>44252.179872685185</v>
      </c>
      <c r="B177">
        <v>27867</v>
      </c>
      <c r="C177">
        <v>60</v>
      </c>
      <c r="D177" t="s">
        <v>12</v>
      </c>
      <c r="G177">
        <v>1</v>
      </c>
      <c r="H177" t="s">
        <v>20</v>
      </c>
      <c r="I177">
        <v>128.80000000000001</v>
      </c>
      <c r="J177">
        <v>12823</v>
      </c>
      <c r="K177">
        <v>278270</v>
      </c>
    </row>
    <row r="178" spans="1:11" x14ac:dyDescent="0.2">
      <c r="A178" s="13">
        <v>44252.179872685185</v>
      </c>
      <c r="B178">
        <v>27867</v>
      </c>
      <c r="C178">
        <v>60</v>
      </c>
      <c r="D178" t="s">
        <v>12</v>
      </c>
      <c r="G178">
        <v>2</v>
      </c>
      <c r="H178" t="s">
        <v>21</v>
      </c>
      <c r="I178">
        <v>241.8</v>
      </c>
      <c r="J178">
        <v>52762</v>
      </c>
      <c r="K178">
        <v>1303636</v>
      </c>
    </row>
    <row r="179" spans="1:11" x14ac:dyDescent="0.2">
      <c r="A179" s="13">
        <v>44252.179872685185</v>
      </c>
      <c r="B179">
        <v>27867</v>
      </c>
      <c r="C179">
        <v>60</v>
      </c>
      <c r="D179" t="s">
        <v>12</v>
      </c>
    </row>
    <row r="180" spans="1:11" x14ac:dyDescent="0.2">
      <c r="A180" s="13">
        <v>44252.187199074076</v>
      </c>
      <c r="B180">
        <v>27868</v>
      </c>
      <c r="C180">
        <v>61</v>
      </c>
      <c r="D180" t="s">
        <v>102</v>
      </c>
      <c r="G180">
        <v>1</v>
      </c>
      <c r="H180" t="s">
        <v>20</v>
      </c>
      <c r="I180">
        <v>129.6</v>
      </c>
      <c r="J180">
        <v>1116</v>
      </c>
      <c r="K180">
        <v>23890</v>
      </c>
    </row>
    <row r="181" spans="1:11" x14ac:dyDescent="0.2">
      <c r="A181" s="13">
        <v>44252.187199074076</v>
      </c>
      <c r="B181">
        <v>27868</v>
      </c>
      <c r="C181">
        <v>61</v>
      </c>
      <c r="D181" t="s">
        <v>102</v>
      </c>
      <c r="G181">
        <v>2</v>
      </c>
      <c r="H181" t="s">
        <v>21</v>
      </c>
      <c r="I181">
        <v>242.6</v>
      </c>
      <c r="J181">
        <v>40902</v>
      </c>
      <c r="K181">
        <v>1003685</v>
      </c>
    </row>
    <row r="182" spans="1:11" x14ac:dyDescent="0.2">
      <c r="A182" s="13">
        <v>44252.187199074076</v>
      </c>
      <c r="B182">
        <v>27868</v>
      </c>
      <c r="C182">
        <v>61</v>
      </c>
      <c r="D182" t="s">
        <v>102</v>
      </c>
    </row>
    <row r="183" spans="1:11" x14ac:dyDescent="0.2">
      <c r="A183" s="13">
        <v>44252.194537037038</v>
      </c>
      <c r="B183">
        <v>27869</v>
      </c>
      <c r="C183">
        <v>62</v>
      </c>
      <c r="D183" t="s">
        <v>11</v>
      </c>
      <c r="G183">
        <v>1</v>
      </c>
      <c r="H183" t="s">
        <v>20</v>
      </c>
      <c r="I183">
        <v>128.6</v>
      </c>
      <c r="J183">
        <v>8671</v>
      </c>
      <c r="K183">
        <v>191969</v>
      </c>
    </row>
    <row r="184" spans="1:11" x14ac:dyDescent="0.2">
      <c r="A184" s="13">
        <v>44252.194537037038</v>
      </c>
      <c r="B184">
        <v>27869</v>
      </c>
      <c r="C184">
        <v>62</v>
      </c>
      <c r="D184" t="s">
        <v>11</v>
      </c>
      <c r="G184">
        <v>2</v>
      </c>
      <c r="H184" t="s">
        <v>21</v>
      </c>
      <c r="I184">
        <v>246.6</v>
      </c>
      <c r="J184">
        <v>9343</v>
      </c>
      <c r="K184">
        <v>227086</v>
      </c>
    </row>
    <row r="185" spans="1:11" x14ac:dyDescent="0.2">
      <c r="A185" s="13">
        <v>44252.194537037038</v>
      </c>
      <c r="B185">
        <v>27869</v>
      </c>
      <c r="C185">
        <v>62</v>
      </c>
      <c r="D185" t="s">
        <v>11</v>
      </c>
    </row>
    <row r="186" spans="1:11" x14ac:dyDescent="0.2">
      <c r="A186" s="13">
        <v>44252.201863425929</v>
      </c>
      <c r="B186">
        <v>27870</v>
      </c>
      <c r="C186">
        <v>63</v>
      </c>
      <c r="D186" t="s">
        <v>13</v>
      </c>
      <c r="G186">
        <v>1</v>
      </c>
      <c r="H186" t="s">
        <v>21</v>
      </c>
      <c r="I186">
        <v>244.8</v>
      </c>
      <c r="J186">
        <v>24662</v>
      </c>
      <c r="K186">
        <v>603461</v>
      </c>
    </row>
    <row r="187" spans="1:11" x14ac:dyDescent="0.2">
      <c r="A187" s="13">
        <v>44252.201863425929</v>
      </c>
      <c r="B187">
        <v>27870</v>
      </c>
      <c r="C187">
        <v>63</v>
      </c>
      <c r="D187" t="s">
        <v>13</v>
      </c>
    </row>
    <row r="188" spans="1:11" x14ac:dyDescent="0.2">
      <c r="A188" s="13">
        <v>44252.209189814814</v>
      </c>
      <c r="B188">
        <v>27871</v>
      </c>
      <c r="C188">
        <v>64</v>
      </c>
      <c r="D188" t="s">
        <v>14</v>
      </c>
      <c r="G188">
        <v>1</v>
      </c>
      <c r="H188" t="s">
        <v>20</v>
      </c>
      <c r="I188">
        <v>129.69999999999999</v>
      </c>
      <c r="J188">
        <v>2164</v>
      </c>
      <c r="K188">
        <v>47121</v>
      </c>
    </row>
    <row r="189" spans="1:11" x14ac:dyDescent="0.2">
      <c r="A189" s="13">
        <v>44252.209189814814</v>
      </c>
      <c r="B189">
        <v>27871</v>
      </c>
      <c r="C189">
        <v>64</v>
      </c>
      <c r="D189" t="s">
        <v>14</v>
      </c>
      <c r="G189">
        <v>2</v>
      </c>
      <c r="H189" t="s">
        <v>21</v>
      </c>
      <c r="I189">
        <v>245.7</v>
      </c>
      <c r="J189">
        <v>23592</v>
      </c>
      <c r="K189">
        <v>577165</v>
      </c>
    </row>
    <row r="190" spans="1:11" x14ac:dyDescent="0.2">
      <c r="A190" s="13">
        <v>44252.209189814814</v>
      </c>
      <c r="B190">
        <v>27871</v>
      </c>
      <c r="C190">
        <v>64</v>
      </c>
      <c r="D190" t="s">
        <v>14</v>
      </c>
    </row>
    <row r="191" spans="1:11" x14ac:dyDescent="0.2">
      <c r="A191" s="13">
        <v>44252.216516203705</v>
      </c>
      <c r="B191">
        <v>27872</v>
      </c>
      <c r="C191">
        <v>65</v>
      </c>
      <c r="D191" t="s">
        <v>149</v>
      </c>
      <c r="F191">
        <v>5.9589999999999996</v>
      </c>
      <c r="G191">
        <v>1</v>
      </c>
      <c r="H191" t="s">
        <v>20</v>
      </c>
      <c r="I191">
        <v>129.80000000000001</v>
      </c>
      <c r="J191">
        <v>603</v>
      </c>
      <c r="K191">
        <v>12873</v>
      </c>
    </row>
    <row r="192" spans="1:11" x14ac:dyDescent="0.2">
      <c r="A192" s="13">
        <v>44252.216516203705</v>
      </c>
      <c r="B192">
        <v>27872</v>
      </c>
      <c r="C192">
        <v>65</v>
      </c>
      <c r="D192" t="s">
        <v>149</v>
      </c>
      <c r="F192">
        <v>5.9589999999999996</v>
      </c>
      <c r="G192">
        <v>2</v>
      </c>
      <c r="H192" t="s">
        <v>21</v>
      </c>
      <c r="I192">
        <v>245.8</v>
      </c>
      <c r="J192">
        <v>19607</v>
      </c>
      <c r="K192">
        <v>474658</v>
      </c>
    </row>
    <row r="193" spans="1:11" x14ac:dyDescent="0.2">
      <c r="A193" s="13">
        <v>44252.216516203705</v>
      </c>
      <c r="B193">
        <v>27872</v>
      </c>
      <c r="C193">
        <v>65</v>
      </c>
      <c r="D193" t="s">
        <v>149</v>
      </c>
      <c r="F193">
        <v>5.9589999999999996</v>
      </c>
    </row>
    <row r="194" spans="1:11" x14ac:dyDescent="0.2">
      <c r="A194" s="13">
        <v>44252.22384259259</v>
      </c>
      <c r="B194">
        <v>27873</v>
      </c>
      <c r="C194">
        <v>66</v>
      </c>
      <c r="D194" t="s">
        <v>150</v>
      </c>
      <c r="F194">
        <v>5.6740000000000004</v>
      </c>
      <c r="G194">
        <v>1</v>
      </c>
      <c r="H194" t="s">
        <v>20</v>
      </c>
      <c r="I194">
        <v>129.5</v>
      </c>
      <c r="J194">
        <v>1442</v>
      </c>
      <c r="K194">
        <v>30603</v>
      </c>
    </row>
    <row r="195" spans="1:11" x14ac:dyDescent="0.2">
      <c r="A195" s="13">
        <v>44252.22384259259</v>
      </c>
      <c r="B195">
        <v>27873</v>
      </c>
      <c r="C195">
        <v>66</v>
      </c>
      <c r="D195" t="s">
        <v>150</v>
      </c>
      <c r="F195">
        <v>5.6740000000000004</v>
      </c>
      <c r="G195">
        <v>2</v>
      </c>
      <c r="H195" t="s">
        <v>21</v>
      </c>
      <c r="I195">
        <v>242.5</v>
      </c>
      <c r="J195">
        <v>46059</v>
      </c>
      <c r="K195">
        <v>1124473</v>
      </c>
    </row>
    <row r="196" spans="1:11" x14ac:dyDescent="0.2">
      <c r="A196" s="13">
        <v>44252.22384259259</v>
      </c>
      <c r="B196">
        <v>27873</v>
      </c>
      <c r="C196">
        <v>66</v>
      </c>
      <c r="D196" t="s">
        <v>150</v>
      </c>
      <c r="F196">
        <v>5.6740000000000004</v>
      </c>
    </row>
    <row r="197" spans="1:11" x14ac:dyDescent="0.2">
      <c r="A197" s="13">
        <v>44252.231180555558</v>
      </c>
      <c r="B197">
        <v>27874</v>
      </c>
      <c r="C197">
        <v>67</v>
      </c>
      <c r="D197" t="s">
        <v>151</v>
      </c>
      <c r="F197">
        <v>5.8410000000000002</v>
      </c>
      <c r="G197">
        <v>1</v>
      </c>
      <c r="H197" t="s">
        <v>20</v>
      </c>
      <c r="I197">
        <v>129.6</v>
      </c>
      <c r="J197">
        <v>900</v>
      </c>
      <c r="K197">
        <v>19147</v>
      </c>
    </row>
    <row r="198" spans="1:11" x14ac:dyDescent="0.2">
      <c r="A198" s="13">
        <v>44252.231180555558</v>
      </c>
      <c r="B198">
        <v>27874</v>
      </c>
      <c r="C198">
        <v>67</v>
      </c>
      <c r="D198" t="s">
        <v>151</v>
      </c>
      <c r="F198">
        <v>5.8410000000000002</v>
      </c>
      <c r="G198">
        <v>2</v>
      </c>
      <c r="H198" t="s">
        <v>21</v>
      </c>
      <c r="I198">
        <v>243.6</v>
      </c>
      <c r="J198">
        <v>34067</v>
      </c>
      <c r="K198">
        <v>827668</v>
      </c>
    </row>
    <row r="199" spans="1:11" x14ac:dyDescent="0.2">
      <c r="A199" s="13">
        <v>44252.231180555558</v>
      </c>
      <c r="B199">
        <v>27874</v>
      </c>
      <c r="C199">
        <v>67</v>
      </c>
      <c r="D199" t="s">
        <v>151</v>
      </c>
      <c r="F199">
        <v>5.8410000000000002</v>
      </c>
    </row>
    <row r="200" spans="1:11" x14ac:dyDescent="0.2">
      <c r="A200" s="13">
        <v>44252.238518518519</v>
      </c>
      <c r="B200">
        <v>27875</v>
      </c>
      <c r="C200">
        <v>68</v>
      </c>
      <c r="D200" t="s">
        <v>152</v>
      </c>
      <c r="F200">
        <v>5.7350000000000003</v>
      </c>
      <c r="G200">
        <v>1</v>
      </c>
      <c r="H200" t="s">
        <v>20</v>
      </c>
      <c r="I200">
        <v>129.80000000000001</v>
      </c>
      <c r="J200">
        <v>1238</v>
      </c>
      <c r="K200">
        <v>26341</v>
      </c>
    </row>
    <row r="201" spans="1:11" x14ac:dyDescent="0.2">
      <c r="A201" s="13">
        <v>44252.238518518519</v>
      </c>
      <c r="B201">
        <v>27875</v>
      </c>
      <c r="C201">
        <v>68</v>
      </c>
      <c r="D201" t="s">
        <v>152</v>
      </c>
      <c r="F201">
        <v>5.7350000000000003</v>
      </c>
      <c r="G201">
        <v>2</v>
      </c>
      <c r="H201" t="s">
        <v>21</v>
      </c>
      <c r="I201">
        <v>242.8</v>
      </c>
      <c r="J201">
        <v>43116</v>
      </c>
      <c r="K201">
        <v>1050816</v>
      </c>
    </row>
    <row r="202" spans="1:11" x14ac:dyDescent="0.2">
      <c r="A202" s="13">
        <v>44252.238518518519</v>
      </c>
      <c r="B202">
        <v>27875</v>
      </c>
      <c r="C202">
        <v>68</v>
      </c>
      <c r="D202" t="s">
        <v>152</v>
      </c>
      <c r="F202">
        <v>5.7350000000000003</v>
      </c>
    </row>
    <row r="203" spans="1:11" x14ac:dyDescent="0.2">
      <c r="A203" s="13">
        <v>44252.245856481481</v>
      </c>
      <c r="B203">
        <v>27876</v>
      </c>
      <c r="C203">
        <v>69</v>
      </c>
      <c r="D203" t="s">
        <v>153</v>
      </c>
      <c r="F203">
        <v>5.6230000000000002</v>
      </c>
      <c r="G203">
        <v>1</v>
      </c>
      <c r="H203" t="s">
        <v>20</v>
      </c>
      <c r="I203">
        <v>129.80000000000001</v>
      </c>
      <c r="J203">
        <v>1759</v>
      </c>
      <c r="K203">
        <v>37544</v>
      </c>
    </row>
    <row r="204" spans="1:11" x14ac:dyDescent="0.2">
      <c r="A204" s="13">
        <v>44252.245856481481</v>
      </c>
      <c r="B204">
        <v>27876</v>
      </c>
      <c r="C204">
        <v>69</v>
      </c>
      <c r="D204" t="s">
        <v>153</v>
      </c>
      <c r="F204">
        <v>5.6230000000000002</v>
      </c>
      <c r="G204">
        <v>2</v>
      </c>
      <c r="H204" t="s">
        <v>21</v>
      </c>
      <c r="I204">
        <v>241.8</v>
      </c>
      <c r="J204">
        <v>56083</v>
      </c>
      <c r="K204">
        <v>1377345</v>
      </c>
    </row>
    <row r="205" spans="1:11" x14ac:dyDescent="0.2">
      <c r="A205" s="13">
        <v>44252.245856481481</v>
      </c>
      <c r="B205">
        <v>27876</v>
      </c>
      <c r="C205">
        <v>69</v>
      </c>
      <c r="D205" t="s">
        <v>153</v>
      </c>
      <c r="F205">
        <v>5.6230000000000002</v>
      </c>
    </row>
    <row r="206" spans="1:11" x14ac:dyDescent="0.2">
      <c r="A206" s="13">
        <v>44252.253182870372</v>
      </c>
      <c r="B206">
        <v>27877</v>
      </c>
      <c r="C206">
        <v>70</v>
      </c>
      <c r="D206" t="s">
        <v>154</v>
      </c>
      <c r="F206">
        <v>5.8280000000000003</v>
      </c>
      <c r="G206">
        <v>1</v>
      </c>
      <c r="H206" t="s">
        <v>20</v>
      </c>
      <c r="I206">
        <v>129.6</v>
      </c>
      <c r="J206">
        <v>1917</v>
      </c>
      <c r="K206">
        <v>40465</v>
      </c>
    </row>
    <row r="207" spans="1:11" x14ac:dyDescent="0.2">
      <c r="A207" s="13">
        <v>44252.253182870372</v>
      </c>
      <c r="B207">
        <v>27877</v>
      </c>
      <c r="C207">
        <v>70</v>
      </c>
      <c r="D207" t="s">
        <v>154</v>
      </c>
      <c r="F207">
        <v>5.8280000000000003</v>
      </c>
      <c r="G207">
        <v>2</v>
      </c>
      <c r="H207" t="s">
        <v>21</v>
      </c>
      <c r="I207">
        <v>239.6</v>
      </c>
      <c r="J207">
        <v>76527</v>
      </c>
      <c r="K207">
        <v>1897715</v>
      </c>
    </row>
    <row r="208" spans="1:11" x14ac:dyDescent="0.2">
      <c r="A208" s="13">
        <v>44252.253182870372</v>
      </c>
      <c r="B208">
        <v>27877</v>
      </c>
      <c r="C208">
        <v>70</v>
      </c>
      <c r="D208" t="s">
        <v>154</v>
      </c>
      <c r="F208">
        <v>5.8280000000000003</v>
      </c>
    </row>
    <row r="209" spans="1:11" x14ac:dyDescent="0.2">
      <c r="A209" s="13">
        <v>44252.260509259257</v>
      </c>
      <c r="B209">
        <v>27878</v>
      </c>
      <c r="C209">
        <v>71</v>
      </c>
      <c r="D209" t="s">
        <v>12</v>
      </c>
      <c r="G209">
        <v>1</v>
      </c>
      <c r="H209" t="s">
        <v>20</v>
      </c>
      <c r="I209">
        <v>128.80000000000001</v>
      </c>
      <c r="J209">
        <v>11882</v>
      </c>
      <c r="K209">
        <v>259600</v>
      </c>
    </row>
    <row r="210" spans="1:11" x14ac:dyDescent="0.2">
      <c r="A210" s="13">
        <v>44252.260509259257</v>
      </c>
      <c r="B210">
        <v>27878</v>
      </c>
      <c r="C210">
        <v>71</v>
      </c>
      <c r="D210" t="s">
        <v>12</v>
      </c>
      <c r="G210">
        <v>2</v>
      </c>
      <c r="H210" t="s">
        <v>21</v>
      </c>
      <c r="I210">
        <v>241.8</v>
      </c>
      <c r="J210">
        <v>49096</v>
      </c>
      <c r="K210">
        <v>1215117</v>
      </c>
    </row>
    <row r="211" spans="1:11" x14ac:dyDescent="0.2">
      <c r="A211" s="13">
        <v>44252.260509259257</v>
      </c>
      <c r="B211">
        <v>27878</v>
      </c>
      <c r="C211">
        <v>71</v>
      </c>
      <c r="D211" t="s">
        <v>12</v>
      </c>
    </row>
    <row r="212" spans="1:11" x14ac:dyDescent="0.2">
      <c r="A212" s="13">
        <v>44252.267835648148</v>
      </c>
      <c r="B212">
        <v>27879</v>
      </c>
      <c r="C212">
        <v>72</v>
      </c>
      <c r="D212" t="s">
        <v>155</v>
      </c>
      <c r="F212">
        <v>5.8150000000000004</v>
      </c>
      <c r="G212">
        <v>1</v>
      </c>
      <c r="H212" t="s">
        <v>20</v>
      </c>
      <c r="I212">
        <v>129.6</v>
      </c>
      <c r="J212">
        <v>1379</v>
      </c>
      <c r="K212">
        <v>29596</v>
      </c>
    </row>
    <row r="213" spans="1:11" x14ac:dyDescent="0.2">
      <c r="A213" s="13">
        <v>44252.267835648148</v>
      </c>
      <c r="B213">
        <v>27879</v>
      </c>
      <c r="C213">
        <v>72</v>
      </c>
      <c r="D213" t="s">
        <v>155</v>
      </c>
      <c r="F213">
        <v>5.8150000000000004</v>
      </c>
      <c r="G213">
        <v>2</v>
      </c>
      <c r="H213" t="s">
        <v>21</v>
      </c>
      <c r="I213">
        <v>242.6</v>
      </c>
      <c r="J213">
        <v>42284</v>
      </c>
      <c r="K213">
        <v>1032993</v>
      </c>
    </row>
    <row r="214" spans="1:11" x14ac:dyDescent="0.2">
      <c r="A214" s="13">
        <v>44252.267835648148</v>
      </c>
      <c r="B214">
        <v>27879</v>
      </c>
      <c r="C214">
        <v>72</v>
      </c>
      <c r="D214" t="s">
        <v>155</v>
      </c>
      <c r="F214">
        <v>5.8150000000000004</v>
      </c>
    </row>
    <row r="215" spans="1:11" x14ac:dyDescent="0.2">
      <c r="A215" s="13">
        <v>44252.27516203704</v>
      </c>
      <c r="B215">
        <v>27880</v>
      </c>
      <c r="C215">
        <v>73</v>
      </c>
      <c r="D215" t="s">
        <v>156</v>
      </c>
      <c r="F215">
        <v>5.718</v>
      </c>
      <c r="G215">
        <v>1</v>
      </c>
      <c r="H215" t="s">
        <v>20</v>
      </c>
      <c r="I215">
        <v>129.80000000000001</v>
      </c>
      <c r="J215">
        <v>863</v>
      </c>
      <c r="K215">
        <v>18484</v>
      </c>
    </row>
    <row r="216" spans="1:11" x14ac:dyDescent="0.2">
      <c r="A216" s="13">
        <v>44252.27516203704</v>
      </c>
      <c r="B216">
        <v>27880</v>
      </c>
      <c r="C216">
        <v>73</v>
      </c>
      <c r="D216" t="s">
        <v>156</v>
      </c>
      <c r="F216">
        <v>5.718</v>
      </c>
      <c r="G216">
        <v>2</v>
      </c>
      <c r="H216" t="s">
        <v>21</v>
      </c>
      <c r="I216">
        <v>244.8</v>
      </c>
      <c r="J216">
        <v>27228</v>
      </c>
      <c r="K216">
        <v>660912</v>
      </c>
    </row>
    <row r="217" spans="1:11" x14ac:dyDescent="0.2">
      <c r="A217" s="13">
        <v>44252.27516203704</v>
      </c>
      <c r="B217">
        <v>27880</v>
      </c>
      <c r="C217">
        <v>73</v>
      </c>
      <c r="D217" t="s">
        <v>156</v>
      </c>
      <c r="F217">
        <v>5.718</v>
      </c>
    </row>
    <row r="218" spans="1:11" x14ac:dyDescent="0.2">
      <c r="A218" s="13">
        <v>44252.282500000001</v>
      </c>
      <c r="B218">
        <v>27881</v>
      </c>
      <c r="C218">
        <v>74</v>
      </c>
      <c r="D218" t="s">
        <v>157</v>
      </c>
      <c r="F218">
        <v>5.7359999999999998</v>
      </c>
      <c r="G218">
        <v>1</v>
      </c>
      <c r="H218" t="s">
        <v>20</v>
      </c>
      <c r="I218">
        <v>129.6</v>
      </c>
      <c r="J218">
        <v>3212</v>
      </c>
      <c r="K218">
        <v>67254</v>
      </c>
    </row>
    <row r="219" spans="1:11" x14ac:dyDescent="0.2">
      <c r="A219" s="13">
        <v>44252.282500000001</v>
      </c>
      <c r="B219">
        <v>27881</v>
      </c>
      <c r="C219">
        <v>74</v>
      </c>
      <c r="D219" t="s">
        <v>157</v>
      </c>
      <c r="F219">
        <v>5.7359999999999998</v>
      </c>
      <c r="G219">
        <v>2</v>
      </c>
      <c r="H219" t="s">
        <v>21</v>
      </c>
      <c r="I219">
        <v>235.6</v>
      </c>
      <c r="J219">
        <v>109113</v>
      </c>
      <c r="K219">
        <v>2761726</v>
      </c>
    </row>
    <row r="220" spans="1:11" x14ac:dyDescent="0.2">
      <c r="A220" s="13">
        <v>44252.282500000001</v>
      </c>
      <c r="B220">
        <v>27881</v>
      </c>
      <c r="C220">
        <v>74</v>
      </c>
      <c r="D220" t="s">
        <v>157</v>
      </c>
      <c r="F220">
        <v>5.7359999999999998</v>
      </c>
    </row>
    <row r="221" spans="1:11" x14ac:dyDescent="0.2">
      <c r="A221" s="13">
        <v>44252.289826388886</v>
      </c>
      <c r="B221">
        <v>27882</v>
      </c>
      <c r="C221">
        <v>75</v>
      </c>
      <c r="D221" t="s">
        <v>158</v>
      </c>
      <c r="F221">
        <v>5.8380000000000001</v>
      </c>
      <c r="G221">
        <v>1</v>
      </c>
      <c r="H221" t="s">
        <v>20</v>
      </c>
      <c r="I221">
        <v>129.69999999999999</v>
      </c>
      <c r="J221">
        <v>1177</v>
      </c>
      <c r="K221">
        <v>25123</v>
      </c>
    </row>
    <row r="222" spans="1:11" x14ac:dyDescent="0.2">
      <c r="A222" s="13">
        <v>44252.289826388886</v>
      </c>
      <c r="B222">
        <v>27882</v>
      </c>
      <c r="C222">
        <v>75</v>
      </c>
      <c r="D222" t="s">
        <v>158</v>
      </c>
      <c r="F222">
        <v>5.8380000000000001</v>
      </c>
      <c r="G222">
        <v>2</v>
      </c>
      <c r="H222" t="s">
        <v>21</v>
      </c>
      <c r="I222">
        <v>243.7</v>
      </c>
      <c r="J222">
        <v>41004</v>
      </c>
      <c r="K222">
        <v>999837</v>
      </c>
    </row>
    <row r="223" spans="1:11" x14ac:dyDescent="0.2">
      <c r="A223" s="13">
        <v>44252.289826388886</v>
      </c>
      <c r="B223">
        <v>27882</v>
      </c>
      <c r="C223">
        <v>75</v>
      </c>
      <c r="D223" t="s">
        <v>158</v>
      </c>
      <c r="F223">
        <v>5.8380000000000001</v>
      </c>
    </row>
    <row r="224" spans="1:11" x14ac:dyDescent="0.2">
      <c r="A224" s="13">
        <v>44252.297152777777</v>
      </c>
      <c r="B224">
        <v>27883</v>
      </c>
      <c r="C224">
        <v>76</v>
      </c>
      <c r="D224" t="s">
        <v>159</v>
      </c>
      <c r="F224">
        <v>5.6669999999999998</v>
      </c>
      <c r="G224">
        <v>1</v>
      </c>
      <c r="H224" t="s">
        <v>20</v>
      </c>
      <c r="I224">
        <v>128.6</v>
      </c>
      <c r="J224">
        <v>2264</v>
      </c>
      <c r="K224">
        <v>47998</v>
      </c>
    </row>
    <row r="225" spans="1:11" x14ac:dyDescent="0.2">
      <c r="A225" s="13">
        <v>44252.297152777777</v>
      </c>
      <c r="B225">
        <v>27883</v>
      </c>
      <c r="C225">
        <v>76</v>
      </c>
      <c r="D225" t="s">
        <v>159</v>
      </c>
      <c r="F225">
        <v>5.6669999999999998</v>
      </c>
      <c r="G225">
        <v>2</v>
      </c>
      <c r="H225" t="s">
        <v>21</v>
      </c>
      <c r="I225">
        <v>239.6</v>
      </c>
      <c r="J225">
        <v>73206</v>
      </c>
      <c r="K225">
        <v>1813269</v>
      </c>
    </row>
    <row r="226" spans="1:11" x14ac:dyDescent="0.2">
      <c r="A226" s="13">
        <v>44252.297152777777</v>
      </c>
      <c r="B226">
        <v>27883</v>
      </c>
      <c r="C226">
        <v>76</v>
      </c>
      <c r="D226" t="s">
        <v>159</v>
      </c>
      <c r="F226">
        <v>5.6669999999999998</v>
      </c>
    </row>
    <row r="227" spans="1:11" x14ac:dyDescent="0.2">
      <c r="A227" s="13">
        <v>44252.304490740738</v>
      </c>
      <c r="B227">
        <v>27884</v>
      </c>
      <c r="C227">
        <v>77</v>
      </c>
      <c r="D227" t="s">
        <v>160</v>
      </c>
      <c r="F227">
        <v>5.72</v>
      </c>
      <c r="G227">
        <v>1</v>
      </c>
      <c r="H227" t="s">
        <v>20</v>
      </c>
      <c r="I227">
        <v>129.5</v>
      </c>
      <c r="J227">
        <v>2764</v>
      </c>
      <c r="K227">
        <v>57953</v>
      </c>
    </row>
    <row r="228" spans="1:11" x14ac:dyDescent="0.2">
      <c r="A228" s="13">
        <v>44252.304490740738</v>
      </c>
      <c r="B228">
        <v>27884</v>
      </c>
      <c r="C228">
        <v>77</v>
      </c>
      <c r="D228" t="s">
        <v>160</v>
      </c>
      <c r="F228">
        <v>5.72</v>
      </c>
      <c r="G228">
        <v>2</v>
      </c>
      <c r="H228" t="s">
        <v>21</v>
      </c>
      <c r="I228">
        <v>235.5</v>
      </c>
      <c r="J228">
        <v>105162</v>
      </c>
      <c r="K228">
        <v>2657473</v>
      </c>
    </row>
    <row r="229" spans="1:11" x14ac:dyDescent="0.2">
      <c r="A229" s="13">
        <v>44252.304490740738</v>
      </c>
      <c r="B229">
        <v>27884</v>
      </c>
      <c r="C229">
        <v>77</v>
      </c>
      <c r="D229" t="s">
        <v>160</v>
      </c>
      <c r="F229">
        <v>5.72</v>
      </c>
    </row>
    <row r="230" spans="1:11" x14ac:dyDescent="0.2">
      <c r="A230" s="13">
        <v>44252.31181712963</v>
      </c>
      <c r="B230">
        <v>27885</v>
      </c>
      <c r="C230">
        <v>78</v>
      </c>
      <c r="D230" t="s">
        <v>161</v>
      </c>
      <c r="F230">
        <v>5.827</v>
      </c>
      <c r="G230">
        <v>1</v>
      </c>
      <c r="H230" t="s">
        <v>20</v>
      </c>
      <c r="I230">
        <v>129.6</v>
      </c>
      <c r="J230">
        <v>883</v>
      </c>
      <c r="K230">
        <v>18939</v>
      </c>
    </row>
    <row r="231" spans="1:11" x14ac:dyDescent="0.2">
      <c r="A231" s="13">
        <v>44252.31181712963</v>
      </c>
      <c r="B231">
        <v>27885</v>
      </c>
      <c r="C231">
        <v>78</v>
      </c>
      <c r="D231" t="s">
        <v>161</v>
      </c>
      <c r="F231">
        <v>5.827</v>
      </c>
      <c r="G231">
        <v>2</v>
      </c>
      <c r="H231" t="s">
        <v>21</v>
      </c>
      <c r="I231">
        <v>244.6</v>
      </c>
      <c r="J231">
        <v>26420</v>
      </c>
      <c r="K231">
        <v>641439</v>
      </c>
    </row>
    <row r="232" spans="1:11" x14ac:dyDescent="0.2">
      <c r="A232" s="13">
        <v>44252.31181712963</v>
      </c>
      <c r="B232">
        <v>27885</v>
      </c>
      <c r="C232">
        <v>78</v>
      </c>
      <c r="D232" t="s">
        <v>161</v>
      </c>
      <c r="F232">
        <v>5.827</v>
      </c>
    </row>
    <row r="233" spans="1:11" x14ac:dyDescent="0.2">
      <c r="A233" s="13">
        <v>44252.319143518522</v>
      </c>
      <c r="B233">
        <v>27886</v>
      </c>
      <c r="C233">
        <v>79</v>
      </c>
      <c r="D233" t="s">
        <v>162</v>
      </c>
      <c r="F233">
        <v>5.681</v>
      </c>
      <c r="G233">
        <v>1</v>
      </c>
      <c r="H233" t="s">
        <v>20</v>
      </c>
      <c r="I233">
        <v>129.80000000000001</v>
      </c>
      <c r="J233">
        <v>1088</v>
      </c>
      <c r="K233">
        <v>23212</v>
      </c>
    </row>
    <row r="234" spans="1:11" x14ac:dyDescent="0.2">
      <c r="A234" s="13">
        <v>44252.319143518522</v>
      </c>
      <c r="B234">
        <v>27886</v>
      </c>
      <c r="C234">
        <v>79</v>
      </c>
      <c r="D234" t="s">
        <v>162</v>
      </c>
      <c r="F234">
        <v>5.681</v>
      </c>
      <c r="G234">
        <v>2</v>
      </c>
      <c r="H234" t="s">
        <v>21</v>
      </c>
      <c r="I234">
        <v>243.8</v>
      </c>
      <c r="J234">
        <v>39189</v>
      </c>
      <c r="K234">
        <v>954819</v>
      </c>
    </row>
    <row r="235" spans="1:11" x14ac:dyDescent="0.2">
      <c r="A235" s="13">
        <v>44252.319143518522</v>
      </c>
      <c r="B235">
        <v>27886</v>
      </c>
      <c r="C235">
        <v>79</v>
      </c>
      <c r="D235" t="s">
        <v>162</v>
      </c>
      <c r="F235">
        <v>5.681</v>
      </c>
    </row>
    <row r="236" spans="1:11" x14ac:dyDescent="0.2">
      <c r="A236" s="13">
        <v>44252.326469907406</v>
      </c>
      <c r="B236">
        <v>27887</v>
      </c>
      <c r="C236">
        <v>80</v>
      </c>
      <c r="D236" t="s">
        <v>163</v>
      </c>
      <c r="F236">
        <v>5.6369999999999996</v>
      </c>
      <c r="G236">
        <v>1</v>
      </c>
      <c r="H236" t="s">
        <v>20</v>
      </c>
      <c r="I236">
        <v>129.5</v>
      </c>
      <c r="J236">
        <v>1915</v>
      </c>
      <c r="K236">
        <v>40626</v>
      </c>
    </row>
    <row r="237" spans="1:11" x14ac:dyDescent="0.2">
      <c r="A237" s="13">
        <v>44252.326469907406</v>
      </c>
      <c r="B237">
        <v>27887</v>
      </c>
      <c r="C237">
        <v>80</v>
      </c>
      <c r="D237" t="s">
        <v>163</v>
      </c>
      <c r="F237">
        <v>5.6369999999999996</v>
      </c>
      <c r="G237">
        <v>2</v>
      </c>
      <c r="H237" t="s">
        <v>21</v>
      </c>
      <c r="I237">
        <v>239.5</v>
      </c>
      <c r="J237">
        <v>67335</v>
      </c>
      <c r="K237">
        <v>1663232</v>
      </c>
    </row>
    <row r="238" spans="1:11" x14ac:dyDescent="0.2">
      <c r="A238" s="13">
        <v>44252.326469907406</v>
      </c>
      <c r="B238">
        <v>27887</v>
      </c>
      <c r="C238">
        <v>80</v>
      </c>
      <c r="D238" t="s">
        <v>163</v>
      </c>
      <c r="F238">
        <v>5.6369999999999996</v>
      </c>
    </row>
    <row r="239" spans="1:11" x14ac:dyDescent="0.2">
      <c r="A239" s="13">
        <v>44252.333807870367</v>
      </c>
      <c r="B239">
        <v>27888</v>
      </c>
      <c r="C239">
        <v>81</v>
      </c>
      <c r="D239" t="s">
        <v>164</v>
      </c>
      <c r="F239">
        <v>5.8179999999999996</v>
      </c>
      <c r="G239">
        <v>1</v>
      </c>
      <c r="H239" t="s">
        <v>20</v>
      </c>
      <c r="I239">
        <v>129.5</v>
      </c>
      <c r="J239">
        <v>1012</v>
      </c>
      <c r="K239">
        <v>21620</v>
      </c>
    </row>
    <row r="240" spans="1:11" x14ac:dyDescent="0.2">
      <c r="A240" s="13">
        <v>44252.333807870367</v>
      </c>
      <c r="B240">
        <v>27888</v>
      </c>
      <c r="C240">
        <v>81</v>
      </c>
      <c r="D240" t="s">
        <v>164</v>
      </c>
      <c r="F240">
        <v>5.8179999999999996</v>
      </c>
      <c r="G240">
        <v>2</v>
      </c>
      <c r="H240" t="s">
        <v>21</v>
      </c>
      <c r="I240">
        <v>244.5</v>
      </c>
      <c r="J240">
        <v>30663</v>
      </c>
      <c r="K240">
        <v>743555</v>
      </c>
    </row>
    <row r="241" spans="1:11" x14ac:dyDescent="0.2">
      <c r="A241" s="13">
        <v>44252.333807870367</v>
      </c>
      <c r="B241">
        <v>27888</v>
      </c>
      <c r="C241">
        <v>81</v>
      </c>
      <c r="D241" t="s">
        <v>164</v>
      </c>
      <c r="F241">
        <v>5.8179999999999996</v>
      </c>
    </row>
    <row r="242" spans="1:11" x14ac:dyDescent="0.2">
      <c r="A242" s="13">
        <v>44252.341145833336</v>
      </c>
      <c r="B242">
        <v>27889</v>
      </c>
      <c r="C242">
        <v>82</v>
      </c>
      <c r="D242" t="s">
        <v>12</v>
      </c>
      <c r="G242">
        <v>1</v>
      </c>
      <c r="H242" t="s">
        <v>20</v>
      </c>
      <c r="I242">
        <v>128.6</v>
      </c>
      <c r="J242">
        <v>12172</v>
      </c>
      <c r="K242">
        <v>265422</v>
      </c>
    </row>
    <row r="243" spans="1:11" x14ac:dyDescent="0.2">
      <c r="A243" s="13">
        <v>44252.341145833336</v>
      </c>
      <c r="B243">
        <v>27889</v>
      </c>
      <c r="C243">
        <v>82</v>
      </c>
      <c r="D243" t="s">
        <v>12</v>
      </c>
      <c r="G243">
        <v>2</v>
      </c>
      <c r="H243" t="s">
        <v>21</v>
      </c>
      <c r="I243">
        <v>241.6</v>
      </c>
      <c r="J243">
        <v>50241</v>
      </c>
      <c r="K243">
        <v>1243322</v>
      </c>
    </row>
    <row r="244" spans="1:11" x14ac:dyDescent="0.2">
      <c r="A244" s="13">
        <v>44252.341145833336</v>
      </c>
      <c r="B244">
        <v>27889</v>
      </c>
      <c r="C244">
        <v>82</v>
      </c>
      <c r="D244" t="s">
        <v>12</v>
      </c>
    </row>
    <row r="245" spans="1:11" x14ac:dyDescent="0.2">
      <c r="A245" s="13">
        <v>44252.34847222222</v>
      </c>
      <c r="B245">
        <v>27890</v>
      </c>
      <c r="C245">
        <v>83</v>
      </c>
      <c r="D245" t="s">
        <v>165</v>
      </c>
      <c r="F245">
        <v>5.694</v>
      </c>
      <c r="G245">
        <v>1</v>
      </c>
      <c r="H245" t="s">
        <v>20</v>
      </c>
      <c r="I245">
        <v>129.5</v>
      </c>
      <c r="J245">
        <v>1021</v>
      </c>
      <c r="K245">
        <v>21779</v>
      </c>
    </row>
    <row r="246" spans="1:11" x14ac:dyDescent="0.2">
      <c r="A246" s="13">
        <v>44252.34847222222</v>
      </c>
      <c r="B246">
        <v>27890</v>
      </c>
      <c r="C246">
        <v>83</v>
      </c>
      <c r="D246" t="s">
        <v>165</v>
      </c>
      <c r="F246">
        <v>5.694</v>
      </c>
      <c r="G246">
        <v>2</v>
      </c>
      <c r="H246" t="s">
        <v>21</v>
      </c>
      <c r="I246">
        <v>243.5</v>
      </c>
      <c r="J246">
        <v>36659</v>
      </c>
      <c r="K246">
        <v>892818</v>
      </c>
    </row>
    <row r="247" spans="1:11" x14ac:dyDescent="0.2">
      <c r="A247" s="13">
        <v>44252.34847222222</v>
      </c>
      <c r="B247">
        <v>27890</v>
      </c>
      <c r="C247">
        <v>83</v>
      </c>
      <c r="D247" t="s">
        <v>165</v>
      </c>
      <c r="F247">
        <v>5.694</v>
      </c>
    </row>
    <row r="248" spans="1:11" x14ac:dyDescent="0.2">
      <c r="A248" s="13">
        <v>44252.355798611112</v>
      </c>
      <c r="B248">
        <v>27891</v>
      </c>
      <c r="C248">
        <v>84</v>
      </c>
      <c r="D248" t="s">
        <v>166</v>
      </c>
      <c r="F248">
        <v>5.7140000000000004</v>
      </c>
      <c r="G248">
        <v>1</v>
      </c>
      <c r="H248" t="s">
        <v>20</v>
      </c>
      <c r="I248">
        <v>129.5</v>
      </c>
      <c r="J248">
        <v>1506</v>
      </c>
      <c r="K248">
        <v>32114</v>
      </c>
    </row>
    <row r="249" spans="1:11" x14ac:dyDescent="0.2">
      <c r="A249" s="13">
        <v>44252.355798611112</v>
      </c>
      <c r="B249">
        <v>27891</v>
      </c>
      <c r="C249">
        <v>84</v>
      </c>
      <c r="D249" t="s">
        <v>166</v>
      </c>
      <c r="F249">
        <v>5.7140000000000004</v>
      </c>
      <c r="G249">
        <v>2</v>
      </c>
      <c r="H249" t="s">
        <v>21</v>
      </c>
      <c r="I249">
        <v>241.5</v>
      </c>
      <c r="J249">
        <v>56001</v>
      </c>
      <c r="K249">
        <v>1375888</v>
      </c>
    </row>
    <row r="250" spans="1:11" x14ac:dyDescent="0.2">
      <c r="A250" s="13">
        <v>44252.355798611112</v>
      </c>
      <c r="B250">
        <v>27891</v>
      </c>
      <c r="C250">
        <v>84</v>
      </c>
      <c r="D250" t="s">
        <v>166</v>
      </c>
      <c r="F250">
        <v>5.7140000000000004</v>
      </c>
    </row>
    <row r="251" spans="1:11" x14ac:dyDescent="0.2">
      <c r="A251" s="13">
        <v>44252.363125000003</v>
      </c>
      <c r="B251">
        <v>27892</v>
      </c>
      <c r="C251">
        <v>85</v>
      </c>
      <c r="D251" t="s">
        <v>167</v>
      </c>
      <c r="F251">
        <v>5.64</v>
      </c>
      <c r="G251">
        <v>1</v>
      </c>
      <c r="H251" t="s">
        <v>20</v>
      </c>
      <c r="I251">
        <v>129.6</v>
      </c>
      <c r="J251">
        <v>1227</v>
      </c>
      <c r="K251">
        <v>26181</v>
      </c>
    </row>
    <row r="252" spans="1:11" x14ac:dyDescent="0.2">
      <c r="A252" s="13">
        <v>44252.363125000003</v>
      </c>
      <c r="B252">
        <v>27892</v>
      </c>
      <c r="C252">
        <v>85</v>
      </c>
      <c r="D252" t="s">
        <v>167</v>
      </c>
      <c r="F252">
        <v>5.64</v>
      </c>
      <c r="G252">
        <v>2</v>
      </c>
      <c r="H252" t="s">
        <v>21</v>
      </c>
      <c r="I252">
        <v>242.6</v>
      </c>
      <c r="J252">
        <v>41817</v>
      </c>
      <c r="K252">
        <v>1020447</v>
      </c>
    </row>
    <row r="253" spans="1:11" x14ac:dyDescent="0.2">
      <c r="A253" s="13">
        <v>44252.363125000003</v>
      </c>
      <c r="B253">
        <v>27892</v>
      </c>
      <c r="C253">
        <v>85</v>
      </c>
      <c r="D253" t="s">
        <v>167</v>
      </c>
      <c r="F253">
        <v>5.64</v>
      </c>
    </row>
    <row r="254" spans="1:11" x14ac:dyDescent="0.2">
      <c r="A254" s="13">
        <v>44252.370451388888</v>
      </c>
      <c r="B254">
        <v>27893</v>
      </c>
      <c r="C254">
        <v>86</v>
      </c>
      <c r="D254" t="s">
        <v>168</v>
      </c>
      <c r="F254">
        <v>5.851</v>
      </c>
      <c r="G254">
        <v>1</v>
      </c>
      <c r="H254" t="s">
        <v>20</v>
      </c>
      <c r="I254">
        <v>129.5</v>
      </c>
      <c r="J254">
        <v>2203</v>
      </c>
      <c r="K254">
        <v>46583</v>
      </c>
    </row>
    <row r="255" spans="1:11" x14ac:dyDescent="0.2">
      <c r="A255" s="13">
        <v>44252.370451388888</v>
      </c>
      <c r="B255">
        <v>27893</v>
      </c>
      <c r="C255">
        <v>86</v>
      </c>
      <c r="D255" t="s">
        <v>168</v>
      </c>
      <c r="F255">
        <v>5.851</v>
      </c>
      <c r="G255">
        <v>2</v>
      </c>
      <c r="H255" t="s">
        <v>21</v>
      </c>
      <c r="I255">
        <v>238.5</v>
      </c>
      <c r="J255">
        <v>80631</v>
      </c>
      <c r="K255">
        <v>2005388</v>
      </c>
    </row>
    <row r="256" spans="1:11" x14ac:dyDescent="0.2">
      <c r="A256" s="13">
        <v>44252.370451388888</v>
      </c>
      <c r="B256">
        <v>27893</v>
      </c>
      <c r="C256">
        <v>86</v>
      </c>
      <c r="D256" t="s">
        <v>168</v>
      </c>
      <c r="F256">
        <v>5.851</v>
      </c>
    </row>
    <row r="257" spans="1:11" x14ac:dyDescent="0.2">
      <c r="A257" s="13">
        <v>44252.37777777778</v>
      </c>
      <c r="B257">
        <v>27894</v>
      </c>
      <c r="C257">
        <v>87</v>
      </c>
      <c r="D257" t="s">
        <v>169</v>
      </c>
      <c r="F257">
        <v>5.8979999999999997</v>
      </c>
      <c r="G257">
        <v>1</v>
      </c>
      <c r="H257" t="s">
        <v>20</v>
      </c>
      <c r="I257">
        <v>128.6</v>
      </c>
      <c r="J257">
        <v>797</v>
      </c>
      <c r="K257">
        <v>17081</v>
      </c>
    </row>
    <row r="258" spans="1:11" x14ac:dyDescent="0.2">
      <c r="A258" s="13">
        <v>44252.37777777778</v>
      </c>
      <c r="B258">
        <v>27894</v>
      </c>
      <c r="C258">
        <v>87</v>
      </c>
      <c r="D258" t="s">
        <v>169</v>
      </c>
      <c r="F258">
        <v>5.8979999999999997</v>
      </c>
      <c r="G258">
        <v>2</v>
      </c>
      <c r="H258" t="s">
        <v>21</v>
      </c>
      <c r="I258">
        <v>244.6</v>
      </c>
      <c r="J258">
        <v>27905</v>
      </c>
      <c r="K258">
        <v>676820</v>
      </c>
    </row>
    <row r="259" spans="1:11" x14ac:dyDescent="0.2">
      <c r="A259" s="13">
        <v>44252.37777777778</v>
      </c>
      <c r="B259">
        <v>27894</v>
      </c>
      <c r="C259">
        <v>87</v>
      </c>
      <c r="D259" t="s">
        <v>169</v>
      </c>
      <c r="F259">
        <v>5.8979999999999997</v>
      </c>
    </row>
    <row r="260" spans="1:11" x14ac:dyDescent="0.2">
      <c r="A260" s="13">
        <v>44252.385115740741</v>
      </c>
      <c r="B260">
        <v>27895</v>
      </c>
      <c r="C260">
        <v>88</v>
      </c>
      <c r="D260" t="s">
        <v>170</v>
      </c>
      <c r="F260">
        <v>5.8230000000000004</v>
      </c>
      <c r="G260">
        <v>1</v>
      </c>
      <c r="H260" t="s">
        <v>20</v>
      </c>
      <c r="I260">
        <v>129.5</v>
      </c>
      <c r="J260">
        <v>2188</v>
      </c>
      <c r="K260">
        <v>46135</v>
      </c>
    </row>
    <row r="261" spans="1:11" x14ac:dyDescent="0.2">
      <c r="A261" s="13">
        <v>44252.385115740741</v>
      </c>
      <c r="B261">
        <v>27895</v>
      </c>
      <c r="C261">
        <v>88</v>
      </c>
      <c r="D261" t="s">
        <v>170</v>
      </c>
      <c r="F261">
        <v>5.8230000000000004</v>
      </c>
      <c r="G261">
        <v>2</v>
      </c>
      <c r="H261" t="s">
        <v>21</v>
      </c>
      <c r="I261">
        <v>239.5</v>
      </c>
      <c r="J261">
        <v>74869</v>
      </c>
      <c r="K261">
        <v>1856023</v>
      </c>
    </row>
    <row r="262" spans="1:11" x14ac:dyDescent="0.2">
      <c r="A262" s="13">
        <v>44252.385115740741</v>
      </c>
      <c r="B262">
        <v>27895</v>
      </c>
      <c r="C262">
        <v>88</v>
      </c>
      <c r="D262" t="s">
        <v>170</v>
      </c>
      <c r="F262">
        <v>5.8230000000000004</v>
      </c>
    </row>
    <row r="263" spans="1:11" x14ac:dyDescent="0.2">
      <c r="A263" s="13">
        <v>44252.392453703702</v>
      </c>
      <c r="B263">
        <v>27896</v>
      </c>
      <c r="C263">
        <v>89</v>
      </c>
      <c r="D263" t="s">
        <v>171</v>
      </c>
      <c r="F263">
        <v>5.6360000000000001</v>
      </c>
      <c r="G263">
        <v>1</v>
      </c>
      <c r="H263" t="s">
        <v>20</v>
      </c>
      <c r="I263">
        <v>129.80000000000001</v>
      </c>
      <c r="J263">
        <v>584</v>
      </c>
      <c r="K263">
        <v>12501</v>
      </c>
    </row>
    <row r="264" spans="1:11" x14ac:dyDescent="0.2">
      <c r="A264" s="13">
        <v>44252.392453703702</v>
      </c>
      <c r="B264">
        <v>27896</v>
      </c>
      <c r="C264">
        <v>89</v>
      </c>
      <c r="D264" t="s">
        <v>171</v>
      </c>
      <c r="F264">
        <v>5.6360000000000001</v>
      </c>
      <c r="G264">
        <v>2</v>
      </c>
      <c r="H264" t="s">
        <v>21</v>
      </c>
      <c r="I264">
        <v>245.8</v>
      </c>
      <c r="J264">
        <v>18297</v>
      </c>
      <c r="K264">
        <v>441784</v>
      </c>
    </row>
    <row r="265" spans="1:11" x14ac:dyDescent="0.2">
      <c r="A265" s="13">
        <v>44252.392453703702</v>
      </c>
      <c r="B265">
        <v>27896</v>
      </c>
      <c r="C265">
        <v>89</v>
      </c>
      <c r="D265" t="s">
        <v>171</v>
      </c>
      <c r="F265">
        <v>5.6360000000000001</v>
      </c>
    </row>
    <row r="266" spans="1:11" x14ac:dyDescent="0.2">
      <c r="A266" s="13">
        <v>44252.399780092594</v>
      </c>
      <c r="B266">
        <v>27897</v>
      </c>
      <c r="C266">
        <v>90</v>
      </c>
      <c r="D266" t="s">
        <v>172</v>
      </c>
      <c r="F266">
        <v>5.6130000000000004</v>
      </c>
      <c r="G266">
        <v>1</v>
      </c>
      <c r="H266" t="s">
        <v>20</v>
      </c>
      <c r="I266">
        <v>129.6</v>
      </c>
      <c r="J266">
        <v>1306</v>
      </c>
      <c r="K266">
        <v>27696</v>
      </c>
    </row>
    <row r="267" spans="1:11" x14ac:dyDescent="0.2">
      <c r="A267" s="13">
        <v>44252.399780092594</v>
      </c>
      <c r="B267">
        <v>27897</v>
      </c>
      <c r="C267">
        <v>90</v>
      </c>
      <c r="D267" t="s">
        <v>172</v>
      </c>
      <c r="F267">
        <v>5.6130000000000004</v>
      </c>
      <c r="G267">
        <v>2</v>
      </c>
      <c r="H267" t="s">
        <v>21</v>
      </c>
      <c r="I267">
        <v>241.6</v>
      </c>
      <c r="J267">
        <v>51453</v>
      </c>
      <c r="K267">
        <v>1259033</v>
      </c>
    </row>
    <row r="268" spans="1:11" x14ac:dyDescent="0.2">
      <c r="A268" s="13">
        <v>44252.399780092594</v>
      </c>
      <c r="B268">
        <v>27897</v>
      </c>
      <c r="C268">
        <v>90</v>
      </c>
      <c r="D268" t="s">
        <v>172</v>
      </c>
      <c r="F268">
        <v>5.6130000000000004</v>
      </c>
    </row>
    <row r="269" spans="1:11" x14ac:dyDescent="0.2">
      <c r="A269" s="13">
        <v>44252.407106481478</v>
      </c>
      <c r="B269">
        <v>27898</v>
      </c>
      <c r="C269">
        <v>91</v>
      </c>
      <c r="D269" t="s">
        <v>173</v>
      </c>
      <c r="F269">
        <v>5.7460000000000004</v>
      </c>
      <c r="G269">
        <v>1</v>
      </c>
      <c r="H269" t="s">
        <v>20</v>
      </c>
      <c r="I269">
        <v>129.6</v>
      </c>
      <c r="J269">
        <v>2089</v>
      </c>
      <c r="K269">
        <v>44244</v>
      </c>
    </row>
    <row r="270" spans="1:11" x14ac:dyDescent="0.2">
      <c r="A270" s="13">
        <v>44252.407106481478</v>
      </c>
      <c r="B270">
        <v>27898</v>
      </c>
      <c r="C270">
        <v>91</v>
      </c>
      <c r="D270" t="s">
        <v>173</v>
      </c>
      <c r="F270">
        <v>5.7460000000000004</v>
      </c>
      <c r="G270">
        <v>2</v>
      </c>
      <c r="H270" t="s">
        <v>21</v>
      </c>
      <c r="I270">
        <v>239.6</v>
      </c>
      <c r="J270">
        <v>69126</v>
      </c>
      <c r="K270">
        <v>1708266</v>
      </c>
    </row>
    <row r="271" spans="1:11" x14ac:dyDescent="0.2">
      <c r="A271" s="13">
        <v>44252.407106481478</v>
      </c>
      <c r="B271">
        <v>27898</v>
      </c>
      <c r="C271">
        <v>91</v>
      </c>
      <c r="D271" t="s">
        <v>173</v>
      </c>
      <c r="F271">
        <v>5.7460000000000004</v>
      </c>
    </row>
    <row r="272" spans="1:11" x14ac:dyDescent="0.2">
      <c r="A272" s="13">
        <v>44252.414444444446</v>
      </c>
      <c r="B272">
        <v>27899</v>
      </c>
      <c r="C272">
        <v>92</v>
      </c>
      <c r="D272" t="s">
        <v>174</v>
      </c>
      <c r="F272">
        <v>5.92</v>
      </c>
      <c r="G272">
        <v>1</v>
      </c>
      <c r="H272" t="s">
        <v>20</v>
      </c>
      <c r="I272">
        <v>128.6</v>
      </c>
      <c r="J272">
        <v>2180</v>
      </c>
      <c r="K272">
        <v>46223</v>
      </c>
    </row>
    <row r="273" spans="1:11" x14ac:dyDescent="0.2">
      <c r="A273" s="13">
        <v>44252.414444444446</v>
      </c>
      <c r="B273">
        <v>27899</v>
      </c>
      <c r="C273">
        <v>92</v>
      </c>
      <c r="D273" t="s">
        <v>174</v>
      </c>
      <c r="F273">
        <v>5.92</v>
      </c>
      <c r="G273">
        <v>2</v>
      </c>
      <c r="H273" t="s">
        <v>21</v>
      </c>
      <c r="I273">
        <v>238.6</v>
      </c>
      <c r="J273">
        <v>77631</v>
      </c>
      <c r="K273">
        <v>1928608</v>
      </c>
    </row>
    <row r="274" spans="1:11" x14ac:dyDescent="0.2">
      <c r="A274" s="13">
        <v>44252.414444444446</v>
      </c>
      <c r="B274">
        <v>27899</v>
      </c>
      <c r="C274">
        <v>92</v>
      </c>
      <c r="D274" t="s">
        <v>174</v>
      </c>
      <c r="F274">
        <v>5.92</v>
      </c>
    </row>
    <row r="275" spans="1:11" x14ac:dyDescent="0.2">
      <c r="A275" s="13">
        <v>44252.421770833331</v>
      </c>
      <c r="B275">
        <v>27900</v>
      </c>
      <c r="C275">
        <v>93</v>
      </c>
      <c r="D275" t="s">
        <v>12</v>
      </c>
      <c r="G275">
        <v>1</v>
      </c>
      <c r="H275" t="s">
        <v>20</v>
      </c>
      <c r="I275">
        <v>128.5</v>
      </c>
      <c r="J275">
        <v>12480</v>
      </c>
      <c r="K275">
        <v>271821</v>
      </c>
    </row>
    <row r="276" spans="1:11" x14ac:dyDescent="0.2">
      <c r="A276" s="13">
        <v>44252.421770833331</v>
      </c>
      <c r="B276">
        <v>27900</v>
      </c>
      <c r="C276">
        <v>93</v>
      </c>
      <c r="D276" t="s">
        <v>12</v>
      </c>
      <c r="G276">
        <v>2</v>
      </c>
      <c r="H276" t="s">
        <v>21</v>
      </c>
      <c r="I276">
        <v>241.5</v>
      </c>
      <c r="J276">
        <v>51431</v>
      </c>
      <c r="K276">
        <v>1272400</v>
      </c>
    </row>
    <row r="277" spans="1:11" x14ac:dyDescent="0.2">
      <c r="A277" s="13">
        <v>44252.421770833331</v>
      </c>
      <c r="B277">
        <v>27900</v>
      </c>
      <c r="C277">
        <v>93</v>
      </c>
      <c r="D277" t="s">
        <v>12</v>
      </c>
    </row>
    <row r="278" spans="1:11" x14ac:dyDescent="0.2">
      <c r="A278" s="13">
        <v>44252.429224537038</v>
      </c>
      <c r="B278">
        <v>27901</v>
      </c>
      <c r="C278">
        <v>94</v>
      </c>
      <c r="D278" t="s">
        <v>175</v>
      </c>
      <c r="F278">
        <v>5.8079999999999998</v>
      </c>
      <c r="G278">
        <v>1</v>
      </c>
      <c r="H278" t="s">
        <v>20</v>
      </c>
      <c r="I278">
        <v>129.6</v>
      </c>
      <c r="J278">
        <v>925</v>
      </c>
      <c r="K278">
        <v>20119</v>
      </c>
    </row>
    <row r="279" spans="1:11" x14ac:dyDescent="0.2">
      <c r="A279" s="13">
        <v>44252.429224537038</v>
      </c>
      <c r="B279">
        <v>27901</v>
      </c>
      <c r="C279">
        <v>94</v>
      </c>
      <c r="D279" t="s">
        <v>175</v>
      </c>
      <c r="F279">
        <v>5.8079999999999998</v>
      </c>
      <c r="G279">
        <v>2</v>
      </c>
      <c r="H279" t="s">
        <v>21</v>
      </c>
      <c r="I279">
        <v>244.6</v>
      </c>
      <c r="J279">
        <v>31568</v>
      </c>
      <c r="K279">
        <v>768754</v>
      </c>
    </row>
    <row r="280" spans="1:11" x14ac:dyDescent="0.2">
      <c r="A280" s="13">
        <v>44252.429224537038</v>
      </c>
      <c r="B280">
        <v>27901</v>
      </c>
      <c r="C280">
        <v>94</v>
      </c>
      <c r="D280" t="s">
        <v>175</v>
      </c>
      <c r="F280">
        <v>5.8079999999999998</v>
      </c>
    </row>
    <row r="281" spans="1:11" x14ac:dyDescent="0.2">
      <c r="A281" s="13">
        <v>44252.436550925922</v>
      </c>
      <c r="B281">
        <v>27902</v>
      </c>
      <c r="C281">
        <v>95</v>
      </c>
      <c r="D281" t="s">
        <v>176</v>
      </c>
      <c r="F281">
        <v>5.6349999999999998</v>
      </c>
      <c r="G281">
        <v>1</v>
      </c>
      <c r="H281" t="s">
        <v>20</v>
      </c>
      <c r="I281">
        <v>129.6</v>
      </c>
      <c r="J281">
        <v>2447</v>
      </c>
      <c r="K281">
        <v>51639</v>
      </c>
    </row>
    <row r="282" spans="1:11" x14ac:dyDescent="0.2">
      <c r="A282" s="13">
        <v>44252.436550925922</v>
      </c>
      <c r="B282">
        <v>27902</v>
      </c>
      <c r="C282">
        <v>95</v>
      </c>
      <c r="D282" t="s">
        <v>176</v>
      </c>
      <c r="F282">
        <v>5.6349999999999998</v>
      </c>
      <c r="G282">
        <v>2</v>
      </c>
      <c r="H282" t="s">
        <v>21</v>
      </c>
      <c r="I282">
        <v>237.6</v>
      </c>
      <c r="J282">
        <v>88434</v>
      </c>
      <c r="K282">
        <v>2211471</v>
      </c>
    </row>
    <row r="283" spans="1:11" x14ac:dyDescent="0.2">
      <c r="A283" s="13">
        <v>44252.436550925922</v>
      </c>
      <c r="B283">
        <v>27902</v>
      </c>
      <c r="C283">
        <v>95</v>
      </c>
      <c r="D283" t="s">
        <v>176</v>
      </c>
      <c r="F283">
        <v>5.6349999999999998</v>
      </c>
    </row>
    <row r="284" spans="1:11" x14ac:dyDescent="0.2">
      <c r="A284" s="13">
        <v>44252.443888888891</v>
      </c>
      <c r="B284">
        <v>27903</v>
      </c>
      <c r="C284">
        <v>96</v>
      </c>
      <c r="D284" t="s">
        <v>177</v>
      </c>
      <c r="F284">
        <v>5.6280000000000001</v>
      </c>
      <c r="G284">
        <v>1</v>
      </c>
      <c r="H284" t="s">
        <v>20</v>
      </c>
      <c r="I284">
        <v>129.80000000000001</v>
      </c>
      <c r="J284">
        <v>1518</v>
      </c>
      <c r="K284">
        <v>32373</v>
      </c>
    </row>
    <row r="285" spans="1:11" x14ac:dyDescent="0.2">
      <c r="A285" s="13">
        <v>44252.443888888891</v>
      </c>
      <c r="B285">
        <v>27903</v>
      </c>
      <c r="C285">
        <v>96</v>
      </c>
      <c r="D285" t="s">
        <v>177</v>
      </c>
      <c r="F285">
        <v>5.6280000000000001</v>
      </c>
      <c r="G285">
        <v>2</v>
      </c>
      <c r="H285" t="s">
        <v>21</v>
      </c>
      <c r="I285">
        <v>242.8</v>
      </c>
      <c r="J285">
        <v>45814</v>
      </c>
      <c r="K285">
        <v>1121215</v>
      </c>
    </row>
    <row r="286" spans="1:11" x14ac:dyDescent="0.2">
      <c r="A286" s="13">
        <v>44252.443888888891</v>
      </c>
      <c r="B286">
        <v>27903</v>
      </c>
      <c r="C286">
        <v>96</v>
      </c>
      <c r="D286" t="s">
        <v>177</v>
      </c>
      <c r="F286">
        <v>5.6280000000000001</v>
      </c>
    </row>
    <row r="287" spans="1:11" x14ac:dyDescent="0.2">
      <c r="A287" s="13">
        <v>44252.451215277775</v>
      </c>
      <c r="B287">
        <v>27904</v>
      </c>
      <c r="C287">
        <v>97</v>
      </c>
      <c r="D287" t="s">
        <v>178</v>
      </c>
      <c r="F287">
        <v>5.806</v>
      </c>
      <c r="G287">
        <v>1</v>
      </c>
      <c r="H287" t="s">
        <v>20</v>
      </c>
      <c r="I287">
        <v>128.6</v>
      </c>
      <c r="J287">
        <v>3129</v>
      </c>
      <c r="K287">
        <v>65869</v>
      </c>
    </row>
    <row r="288" spans="1:11" x14ac:dyDescent="0.2">
      <c r="A288" s="13">
        <v>44252.451215277775</v>
      </c>
      <c r="B288">
        <v>27904</v>
      </c>
      <c r="C288">
        <v>97</v>
      </c>
      <c r="D288" t="s">
        <v>178</v>
      </c>
      <c r="F288">
        <v>5.806</v>
      </c>
      <c r="G288">
        <v>2</v>
      </c>
      <c r="H288" t="s">
        <v>21</v>
      </c>
      <c r="I288">
        <v>235.6</v>
      </c>
      <c r="J288">
        <v>104288</v>
      </c>
      <c r="K288">
        <v>2641195</v>
      </c>
    </row>
    <row r="289" spans="1:11" x14ac:dyDescent="0.2">
      <c r="A289" s="13">
        <v>44252.451215277775</v>
      </c>
      <c r="B289">
        <v>27904</v>
      </c>
      <c r="C289">
        <v>97</v>
      </c>
      <c r="D289" t="s">
        <v>178</v>
      </c>
      <c r="F289">
        <v>5.806</v>
      </c>
    </row>
    <row r="290" spans="1:11" x14ac:dyDescent="0.2">
      <c r="A290" s="13">
        <v>44252.458541666667</v>
      </c>
      <c r="B290">
        <v>27905</v>
      </c>
      <c r="C290">
        <v>98</v>
      </c>
      <c r="D290" t="s">
        <v>179</v>
      </c>
      <c r="F290">
        <v>5.8339999999999996</v>
      </c>
      <c r="G290">
        <v>1</v>
      </c>
      <c r="H290" t="s">
        <v>20</v>
      </c>
      <c r="I290">
        <v>128.5</v>
      </c>
      <c r="J290">
        <v>612</v>
      </c>
      <c r="K290">
        <v>13107</v>
      </c>
    </row>
    <row r="291" spans="1:11" x14ac:dyDescent="0.2">
      <c r="A291" s="13">
        <v>44252.458541666667</v>
      </c>
      <c r="B291">
        <v>27905</v>
      </c>
      <c r="C291">
        <v>98</v>
      </c>
      <c r="D291" t="s">
        <v>179</v>
      </c>
      <c r="F291">
        <v>5.8339999999999996</v>
      </c>
      <c r="G291">
        <v>2</v>
      </c>
      <c r="H291" t="s">
        <v>21</v>
      </c>
      <c r="I291">
        <v>245.5</v>
      </c>
      <c r="J291">
        <v>19472</v>
      </c>
      <c r="K291">
        <v>472582</v>
      </c>
    </row>
    <row r="292" spans="1:11" x14ac:dyDescent="0.2">
      <c r="A292" s="13">
        <v>44252.458541666667</v>
      </c>
      <c r="B292">
        <v>27905</v>
      </c>
      <c r="C292">
        <v>98</v>
      </c>
      <c r="D292" t="s">
        <v>179</v>
      </c>
      <c r="F292">
        <v>5.8339999999999996</v>
      </c>
    </row>
    <row r="293" spans="1:11" x14ac:dyDescent="0.2">
      <c r="A293" s="13">
        <v>44252.465868055559</v>
      </c>
      <c r="B293">
        <v>27906</v>
      </c>
      <c r="C293">
        <v>99</v>
      </c>
      <c r="D293" t="s">
        <v>180</v>
      </c>
      <c r="F293">
        <v>5.9420000000000002</v>
      </c>
      <c r="G293">
        <v>1</v>
      </c>
      <c r="H293" t="s">
        <v>20</v>
      </c>
      <c r="I293">
        <v>128.6</v>
      </c>
      <c r="J293">
        <v>1210</v>
      </c>
      <c r="K293">
        <v>25798</v>
      </c>
    </row>
    <row r="294" spans="1:11" x14ac:dyDescent="0.2">
      <c r="A294" s="13">
        <v>44252.465868055559</v>
      </c>
      <c r="B294">
        <v>27906</v>
      </c>
      <c r="C294">
        <v>99</v>
      </c>
      <c r="D294" t="s">
        <v>180</v>
      </c>
      <c r="F294">
        <v>5.9420000000000002</v>
      </c>
      <c r="G294">
        <v>2</v>
      </c>
      <c r="H294" t="s">
        <v>21</v>
      </c>
      <c r="I294">
        <v>242.6</v>
      </c>
      <c r="J294">
        <v>42367</v>
      </c>
      <c r="K294">
        <v>1036783</v>
      </c>
    </row>
    <row r="295" spans="1:11" x14ac:dyDescent="0.2">
      <c r="A295" s="13">
        <v>44252.465868055559</v>
      </c>
      <c r="B295">
        <v>27906</v>
      </c>
      <c r="C295">
        <v>99</v>
      </c>
      <c r="D295" t="s">
        <v>180</v>
      </c>
      <c r="F295">
        <v>5.9420000000000002</v>
      </c>
    </row>
    <row r="296" spans="1:11" x14ac:dyDescent="0.2">
      <c r="A296" s="13">
        <v>44252.473194444443</v>
      </c>
      <c r="B296">
        <v>27907</v>
      </c>
      <c r="C296">
        <v>100</v>
      </c>
      <c r="D296" t="s">
        <v>181</v>
      </c>
      <c r="F296">
        <v>5.6849999999999996</v>
      </c>
      <c r="G296">
        <v>1</v>
      </c>
      <c r="H296" t="s">
        <v>20</v>
      </c>
      <c r="I296">
        <v>129.5</v>
      </c>
      <c r="J296">
        <v>2623</v>
      </c>
      <c r="K296">
        <v>55362</v>
      </c>
    </row>
    <row r="297" spans="1:11" x14ac:dyDescent="0.2">
      <c r="A297" s="13">
        <v>44252.473194444443</v>
      </c>
      <c r="B297">
        <v>27907</v>
      </c>
      <c r="C297">
        <v>100</v>
      </c>
      <c r="D297" t="s">
        <v>181</v>
      </c>
      <c r="F297">
        <v>5.6849999999999996</v>
      </c>
      <c r="G297">
        <v>2</v>
      </c>
      <c r="H297" t="s">
        <v>21</v>
      </c>
      <c r="I297">
        <v>237.5</v>
      </c>
      <c r="J297">
        <v>87392</v>
      </c>
      <c r="K297">
        <v>2186299</v>
      </c>
    </row>
    <row r="298" spans="1:11" x14ac:dyDescent="0.2">
      <c r="A298" s="13">
        <v>44252.473194444443</v>
      </c>
      <c r="B298">
        <v>27907</v>
      </c>
      <c r="C298">
        <v>100</v>
      </c>
      <c r="D298" t="s">
        <v>181</v>
      </c>
      <c r="F298">
        <v>5.6849999999999996</v>
      </c>
    </row>
    <row r="299" spans="1:11" x14ac:dyDescent="0.2">
      <c r="A299" s="13">
        <v>44252.480520833335</v>
      </c>
      <c r="B299">
        <v>27908</v>
      </c>
      <c r="C299">
        <v>101</v>
      </c>
      <c r="D299" t="s">
        <v>182</v>
      </c>
      <c r="F299">
        <v>5.76</v>
      </c>
      <c r="G299">
        <v>1</v>
      </c>
      <c r="H299" t="s">
        <v>20</v>
      </c>
      <c r="I299">
        <v>129.6</v>
      </c>
      <c r="J299">
        <v>2301</v>
      </c>
      <c r="K299">
        <v>48751</v>
      </c>
    </row>
    <row r="300" spans="1:11" x14ac:dyDescent="0.2">
      <c r="A300" s="13">
        <v>44252.480520833335</v>
      </c>
      <c r="B300">
        <v>27908</v>
      </c>
      <c r="C300">
        <v>101</v>
      </c>
      <c r="D300" t="s">
        <v>182</v>
      </c>
      <c r="F300">
        <v>5.76</v>
      </c>
      <c r="G300">
        <v>2</v>
      </c>
      <c r="H300" t="s">
        <v>21</v>
      </c>
      <c r="I300">
        <v>238.6</v>
      </c>
      <c r="J300">
        <v>79376</v>
      </c>
      <c r="K300">
        <v>1975512</v>
      </c>
    </row>
    <row r="301" spans="1:11" x14ac:dyDescent="0.2">
      <c r="A301" s="13">
        <v>44252.480520833335</v>
      </c>
      <c r="B301">
        <v>27908</v>
      </c>
      <c r="C301">
        <v>101</v>
      </c>
      <c r="D301" t="s">
        <v>182</v>
      </c>
      <c r="F301">
        <v>5.76</v>
      </c>
    </row>
    <row r="302" spans="1:11" x14ac:dyDescent="0.2">
      <c r="A302" s="13">
        <v>44252.487847222219</v>
      </c>
      <c r="B302">
        <v>27909</v>
      </c>
      <c r="C302">
        <v>102</v>
      </c>
      <c r="D302" t="s">
        <v>183</v>
      </c>
      <c r="F302">
        <v>5.6769999999999996</v>
      </c>
      <c r="G302">
        <v>1</v>
      </c>
      <c r="H302" t="s">
        <v>20</v>
      </c>
      <c r="I302">
        <v>129.6</v>
      </c>
      <c r="J302">
        <v>1382</v>
      </c>
      <c r="K302">
        <v>29401</v>
      </c>
    </row>
    <row r="303" spans="1:11" x14ac:dyDescent="0.2">
      <c r="A303" s="13">
        <v>44252.487847222219</v>
      </c>
      <c r="B303">
        <v>27909</v>
      </c>
      <c r="C303">
        <v>102</v>
      </c>
      <c r="D303" t="s">
        <v>183</v>
      </c>
      <c r="F303">
        <v>5.6769999999999996</v>
      </c>
      <c r="G303">
        <v>2</v>
      </c>
      <c r="H303" t="s">
        <v>21</v>
      </c>
      <c r="I303">
        <v>241.6</v>
      </c>
      <c r="J303">
        <v>50485</v>
      </c>
      <c r="K303">
        <v>1239640</v>
      </c>
    </row>
    <row r="304" spans="1:11" x14ac:dyDescent="0.2">
      <c r="A304" s="13">
        <v>44252.487847222219</v>
      </c>
      <c r="B304">
        <v>27909</v>
      </c>
      <c r="C304">
        <v>102</v>
      </c>
      <c r="D304" t="s">
        <v>183</v>
      </c>
      <c r="F304">
        <v>5.6769999999999996</v>
      </c>
    </row>
    <row r="305" spans="1:11" x14ac:dyDescent="0.2">
      <c r="A305" s="13">
        <v>44252.495173611111</v>
      </c>
      <c r="B305">
        <v>27910</v>
      </c>
      <c r="C305">
        <v>103</v>
      </c>
      <c r="D305" t="s">
        <v>184</v>
      </c>
      <c r="F305">
        <v>5.774</v>
      </c>
      <c r="G305">
        <v>1</v>
      </c>
      <c r="H305" t="s">
        <v>20</v>
      </c>
      <c r="I305">
        <v>129.6</v>
      </c>
      <c r="J305">
        <v>1091</v>
      </c>
      <c r="K305">
        <v>23248</v>
      </c>
    </row>
    <row r="306" spans="1:11" x14ac:dyDescent="0.2">
      <c r="A306" s="13">
        <v>44252.495173611111</v>
      </c>
      <c r="B306">
        <v>27910</v>
      </c>
      <c r="C306">
        <v>103</v>
      </c>
      <c r="D306" t="s">
        <v>184</v>
      </c>
      <c r="F306">
        <v>5.774</v>
      </c>
      <c r="G306">
        <v>2</v>
      </c>
      <c r="H306" t="s">
        <v>21</v>
      </c>
      <c r="I306">
        <v>243.6</v>
      </c>
      <c r="J306">
        <v>38010</v>
      </c>
      <c r="K306">
        <v>925655</v>
      </c>
    </row>
    <row r="307" spans="1:11" x14ac:dyDescent="0.2">
      <c r="A307" s="13">
        <v>44252.495173611111</v>
      </c>
      <c r="B307">
        <v>27910</v>
      </c>
      <c r="C307">
        <v>103</v>
      </c>
      <c r="D307" t="s">
        <v>184</v>
      </c>
      <c r="F307">
        <v>5.774</v>
      </c>
    </row>
    <row r="308" spans="1:11" x14ac:dyDescent="0.2">
      <c r="A308" s="13">
        <v>44252.502500000002</v>
      </c>
      <c r="B308">
        <v>27911</v>
      </c>
      <c r="C308">
        <v>104</v>
      </c>
      <c r="D308" t="s">
        <v>12</v>
      </c>
      <c r="G308">
        <v>1</v>
      </c>
      <c r="H308" t="s">
        <v>20</v>
      </c>
      <c r="I308">
        <v>128.6</v>
      </c>
      <c r="J308">
        <v>12543</v>
      </c>
      <c r="K308">
        <v>274778</v>
      </c>
    </row>
    <row r="309" spans="1:11" x14ac:dyDescent="0.2">
      <c r="A309" s="13">
        <v>44252.502500000002</v>
      </c>
      <c r="B309">
        <v>27911</v>
      </c>
      <c r="C309">
        <v>104</v>
      </c>
      <c r="D309" t="s">
        <v>12</v>
      </c>
      <c r="G309">
        <v>2</v>
      </c>
      <c r="H309" t="s">
        <v>21</v>
      </c>
      <c r="I309">
        <v>241.6</v>
      </c>
      <c r="J309">
        <v>51746</v>
      </c>
      <c r="K309">
        <v>1286281</v>
      </c>
    </row>
    <row r="310" spans="1:11" x14ac:dyDescent="0.2">
      <c r="A310" s="13">
        <v>44252.502500000002</v>
      </c>
      <c r="B310">
        <v>27911</v>
      </c>
      <c r="C310">
        <v>104</v>
      </c>
      <c r="D310" t="s">
        <v>12</v>
      </c>
    </row>
    <row r="311" spans="1:11" x14ac:dyDescent="0.2">
      <c r="A311" s="13">
        <v>44252.509826388887</v>
      </c>
      <c r="B311">
        <v>27912</v>
      </c>
      <c r="C311">
        <v>105</v>
      </c>
      <c r="D311" t="s">
        <v>185</v>
      </c>
      <c r="F311">
        <v>5.7320000000000002</v>
      </c>
      <c r="G311">
        <v>1</v>
      </c>
      <c r="H311" t="s">
        <v>20</v>
      </c>
      <c r="I311">
        <v>129.6</v>
      </c>
      <c r="J311">
        <v>912</v>
      </c>
      <c r="K311">
        <v>19556</v>
      </c>
    </row>
    <row r="312" spans="1:11" x14ac:dyDescent="0.2">
      <c r="A312" s="13">
        <v>44252.509826388887</v>
      </c>
      <c r="B312">
        <v>27912</v>
      </c>
      <c r="C312">
        <v>105</v>
      </c>
      <c r="D312" t="s">
        <v>185</v>
      </c>
      <c r="F312">
        <v>5.7320000000000002</v>
      </c>
      <c r="G312">
        <v>2</v>
      </c>
      <c r="H312" t="s">
        <v>21</v>
      </c>
      <c r="I312">
        <v>244.6</v>
      </c>
      <c r="J312">
        <v>28755</v>
      </c>
      <c r="K312">
        <v>699889</v>
      </c>
    </row>
    <row r="313" spans="1:11" x14ac:dyDescent="0.2">
      <c r="A313" s="13">
        <v>44252.509826388887</v>
      </c>
      <c r="B313">
        <v>27912</v>
      </c>
      <c r="C313">
        <v>105</v>
      </c>
      <c r="D313" t="s">
        <v>185</v>
      </c>
      <c r="F313">
        <v>5.7320000000000002</v>
      </c>
    </row>
    <row r="314" spans="1:11" x14ac:dyDescent="0.2">
      <c r="A314" s="13">
        <v>44252.517152777778</v>
      </c>
      <c r="B314">
        <v>27913</v>
      </c>
      <c r="C314">
        <v>106</v>
      </c>
      <c r="D314" t="s">
        <v>186</v>
      </c>
      <c r="F314">
        <v>5.6559999999999997</v>
      </c>
      <c r="G314">
        <v>1</v>
      </c>
      <c r="H314" t="s">
        <v>20</v>
      </c>
      <c r="I314">
        <v>129.6</v>
      </c>
      <c r="J314">
        <v>1910</v>
      </c>
      <c r="K314">
        <v>40629</v>
      </c>
    </row>
    <row r="315" spans="1:11" x14ac:dyDescent="0.2">
      <c r="A315" s="13">
        <v>44252.517152777778</v>
      </c>
      <c r="B315">
        <v>27913</v>
      </c>
      <c r="C315">
        <v>106</v>
      </c>
      <c r="D315" t="s">
        <v>186</v>
      </c>
      <c r="F315">
        <v>5.6559999999999997</v>
      </c>
      <c r="G315">
        <v>2</v>
      </c>
      <c r="H315" t="s">
        <v>21</v>
      </c>
      <c r="I315">
        <v>240.6</v>
      </c>
      <c r="J315">
        <v>65167</v>
      </c>
      <c r="K315">
        <v>1613845</v>
      </c>
    </row>
    <row r="316" spans="1:11" x14ac:dyDescent="0.2">
      <c r="A316" s="13">
        <v>44252.517152777778</v>
      </c>
      <c r="B316">
        <v>27913</v>
      </c>
      <c r="C316">
        <v>106</v>
      </c>
      <c r="D316" t="s">
        <v>186</v>
      </c>
      <c r="F316">
        <v>5.6559999999999997</v>
      </c>
    </row>
    <row r="317" spans="1:11" x14ac:dyDescent="0.2">
      <c r="A317" s="13">
        <v>44252.52449074074</v>
      </c>
      <c r="B317">
        <v>27914</v>
      </c>
      <c r="C317">
        <v>107</v>
      </c>
      <c r="D317" t="s">
        <v>187</v>
      </c>
      <c r="F317">
        <v>5.5949999999999998</v>
      </c>
      <c r="G317">
        <v>1</v>
      </c>
      <c r="H317" t="s">
        <v>20</v>
      </c>
      <c r="I317">
        <v>129.6</v>
      </c>
      <c r="J317">
        <v>1183</v>
      </c>
      <c r="K317">
        <v>25176</v>
      </c>
    </row>
    <row r="318" spans="1:11" x14ac:dyDescent="0.2">
      <c r="A318" s="13">
        <v>44252.52449074074</v>
      </c>
      <c r="B318">
        <v>27914</v>
      </c>
      <c r="C318">
        <v>107</v>
      </c>
      <c r="D318" t="s">
        <v>187</v>
      </c>
      <c r="F318">
        <v>5.5949999999999998</v>
      </c>
      <c r="G318">
        <v>2</v>
      </c>
      <c r="H318" t="s">
        <v>21</v>
      </c>
      <c r="I318">
        <v>243.6</v>
      </c>
      <c r="J318">
        <v>34714</v>
      </c>
      <c r="K318">
        <v>846303</v>
      </c>
    </row>
    <row r="319" spans="1:11" x14ac:dyDescent="0.2">
      <c r="A319" s="13">
        <v>44252.52449074074</v>
      </c>
      <c r="B319">
        <v>27914</v>
      </c>
      <c r="C319">
        <v>107</v>
      </c>
      <c r="D319" t="s">
        <v>187</v>
      </c>
      <c r="F319">
        <v>5.5949999999999998</v>
      </c>
    </row>
    <row r="320" spans="1:11" x14ac:dyDescent="0.2">
      <c r="A320" s="13">
        <v>44252.531817129631</v>
      </c>
      <c r="B320">
        <v>27915</v>
      </c>
      <c r="C320">
        <v>108</v>
      </c>
      <c r="D320" t="s">
        <v>188</v>
      </c>
      <c r="F320">
        <v>5.8550000000000004</v>
      </c>
      <c r="G320">
        <v>1</v>
      </c>
      <c r="H320" t="s">
        <v>20</v>
      </c>
      <c r="I320">
        <v>129.80000000000001</v>
      </c>
      <c r="J320">
        <v>1389</v>
      </c>
      <c r="K320">
        <v>29594</v>
      </c>
    </row>
    <row r="321" spans="1:11" x14ac:dyDescent="0.2">
      <c r="A321" s="13">
        <v>44252.531817129631</v>
      </c>
      <c r="B321">
        <v>27915</v>
      </c>
      <c r="C321">
        <v>108</v>
      </c>
      <c r="D321" t="s">
        <v>188</v>
      </c>
      <c r="F321">
        <v>5.8550000000000004</v>
      </c>
      <c r="G321">
        <v>2</v>
      </c>
      <c r="H321" t="s">
        <v>21</v>
      </c>
      <c r="I321">
        <v>242.8</v>
      </c>
      <c r="J321">
        <v>46462</v>
      </c>
      <c r="K321">
        <v>1138206</v>
      </c>
    </row>
    <row r="322" spans="1:11" x14ac:dyDescent="0.2">
      <c r="A322" s="13">
        <v>44252.531817129631</v>
      </c>
      <c r="B322">
        <v>27915</v>
      </c>
      <c r="C322">
        <v>108</v>
      </c>
      <c r="D322" t="s">
        <v>188</v>
      </c>
      <c r="F322">
        <v>5.8550000000000004</v>
      </c>
    </row>
    <row r="323" spans="1:11" x14ac:dyDescent="0.2">
      <c r="A323" s="13">
        <v>44252.539143518516</v>
      </c>
      <c r="B323">
        <v>27916</v>
      </c>
      <c r="C323">
        <v>109</v>
      </c>
      <c r="D323" t="s">
        <v>189</v>
      </c>
      <c r="F323">
        <v>5.77</v>
      </c>
      <c r="G323">
        <v>1</v>
      </c>
      <c r="H323" t="s">
        <v>20</v>
      </c>
      <c r="I323">
        <v>129.6</v>
      </c>
      <c r="J323">
        <v>1029</v>
      </c>
      <c r="K323">
        <v>21959</v>
      </c>
    </row>
    <row r="324" spans="1:11" x14ac:dyDescent="0.2">
      <c r="A324" s="13">
        <v>44252.539143518516</v>
      </c>
      <c r="B324">
        <v>27916</v>
      </c>
      <c r="C324">
        <v>109</v>
      </c>
      <c r="D324" t="s">
        <v>189</v>
      </c>
      <c r="F324">
        <v>5.77</v>
      </c>
      <c r="G324">
        <v>2</v>
      </c>
      <c r="H324" t="s">
        <v>21</v>
      </c>
      <c r="I324">
        <v>243.6</v>
      </c>
      <c r="J324">
        <v>32938</v>
      </c>
      <c r="K324">
        <v>801523</v>
      </c>
    </row>
    <row r="325" spans="1:11" x14ac:dyDescent="0.2">
      <c r="A325" s="13">
        <v>44252.539143518516</v>
      </c>
      <c r="B325">
        <v>27916</v>
      </c>
      <c r="C325">
        <v>109</v>
      </c>
      <c r="D325" t="s">
        <v>189</v>
      </c>
      <c r="F325">
        <v>5.77</v>
      </c>
    </row>
    <row r="326" spans="1:11" x14ac:dyDescent="0.2">
      <c r="A326" s="13">
        <v>44252.546481481484</v>
      </c>
      <c r="B326">
        <v>27917</v>
      </c>
      <c r="C326">
        <v>110</v>
      </c>
      <c r="D326" t="s">
        <v>190</v>
      </c>
      <c r="F326">
        <v>5.9550000000000001</v>
      </c>
      <c r="G326">
        <v>1</v>
      </c>
      <c r="H326" t="s">
        <v>20</v>
      </c>
      <c r="I326">
        <v>129.6</v>
      </c>
      <c r="J326">
        <v>2161</v>
      </c>
      <c r="K326">
        <v>45782</v>
      </c>
    </row>
    <row r="327" spans="1:11" x14ac:dyDescent="0.2">
      <c r="A327" s="13">
        <v>44252.546481481484</v>
      </c>
      <c r="B327">
        <v>27917</v>
      </c>
      <c r="C327">
        <v>110</v>
      </c>
      <c r="D327" t="s">
        <v>190</v>
      </c>
      <c r="F327">
        <v>5.9550000000000001</v>
      </c>
      <c r="G327">
        <v>2</v>
      </c>
      <c r="H327" t="s">
        <v>21</v>
      </c>
      <c r="I327">
        <v>238.6</v>
      </c>
      <c r="J327">
        <v>78989</v>
      </c>
      <c r="K327">
        <v>1965580</v>
      </c>
    </row>
    <row r="328" spans="1:11" x14ac:dyDescent="0.2">
      <c r="A328" s="13">
        <v>44252.546481481484</v>
      </c>
      <c r="B328">
        <v>27917</v>
      </c>
      <c r="C328">
        <v>110</v>
      </c>
      <c r="D328" t="s">
        <v>190</v>
      </c>
      <c r="F328">
        <v>5.9550000000000001</v>
      </c>
    </row>
    <row r="329" spans="1:11" x14ac:dyDescent="0.2">
      <c r="A329" s="13">
        <v>44252.553819444445</v>
      </c>
      <c r="B329">
        <v>27918</v>
      </c>
      <c r="C329">
        <v>111</v>
      </c>
      <c r="D329" t="s">
        <v>191</v>
      </c>
      <c r="F329">
        <v>5.6680000000000001</v>
      </c>
      <c r="G329">
        <v>1</v>
      </c>
      <c r="H329" t="s">
        <v>20</v>
      </c>
      <c r="I329">
        <v>128.6</v>
      </c>
      <c r="J329">
        <v>2584</v>
      </c>
      <c r="K329">
        <v>54231</v>
      </c>
    </row>
    <row r="330" spans="1:11" x14ac:dyDescent="0.2">
      <c r="A330" s="13">
        <v>44252.553819444445</v>
      </c>
      <c r="B330">
        <v>27918</v>
      </c>
      <c r="C330">
        <v>111</v>
      </c>
      <c r="D330" t="s">
        <v>191</v>
      </c>
      <c r="F330">
        <v>5.6680000000000001</v>
      </c>
      <c r="G330">
        <v>2</v>
      </c>
      <c r="H330" t="s">
        <v>21</v>
      </c>
      <c r="I330">
        <v>236.6</v>
      </c>
      <c r="J330">
        <v>98005</v>
      </c>
      <c r="K330">
        <v>2462091</v>
      </c>
    </row>
    <row r="331" spans="1:11" x14ac:dyDescent="0.2">
      <c r="A331" s="13">
        <v>44252.553819444445</v>
      </c>
      <c r="B331">
        <v>27918</v>
      </c>
      <c r="C331">
        <v>111</v>
      </c>
      <c r="D331" t="s">
        <v>191</v>
      </c>
      <c r="F331">
        <v>5.6680000000000001</v>
      </c>
    </row>
    <row r="332" spans="1:11" x14ac:dyDescent="0.2">
      <c r="A332" s="13">
        <v>44252.561145833337</v>
      </c>
      <c r="B332">
        <v>27919</v>
      </c>
      <c r="C332">
        <v>112</v>
      </c>
      <c r="D332" t="s">
        <v>192</v>
      </c>
      <c r="F332">
        <v>5.6050000000000004</v>
      </c>
      <c r="G332">
        <v>1</v>
      </c>
      <c r="H332" t="s">
        <v>20</v>
      </c>
      <c r="I332">
        <v>129.6</v>
      </c>
      <c r="J332">
        <v>1199</v>
      </c>
      <c r="K332">
        <v>25573</v>
      </c>
    </row>
    <row r="333" spans="1:11" x14ac:dyDescent="0.2">
      <c r="A333" s="13">
        <v>44252.561145833337</v>
      </c>
      <c r="B333">
        <v>27919</v>
      </c>
      <c r="C333">
        <v>112</v>
      </c>
      <c r="D333" t="s">
        <v>192</v>
      </c>
      <c r="F333">
        <v>5.6050000000000004</v>
      </c>
      <c r="G333">
        <v>2</v>
      </c>
      <c r="H333" t="s">
        <v>21</v>
      </c>
      <c r="I333">
        <v>242.6</v>
      </c>
      <c r="J333">
        <v>42934</v>
      </c>
      <c r="K333">
        <v>1049770</v>
      </c>
    </row>
    <row r="334" spans="1:11" x14ac:dyDescent="0.2">
      <c r="A334" s="13">
        <v>44252.561145833337</v>
      </c>
      <c r="B334">
        <v>27919</v>
      </c>
      <c r="C334">
        <v>112</v>
      </c>
      <c r="D334" t="s">
        <v>192</v>
      </c>
      <c r="F334">
        <v>5.6050000000000004</v>
      </c>
    </row>
    <row r="335" spans="1:11" x14ac:dyDescent="0.2">
      <c r="A335" s="13">
        <v>44252.568472222221</v>
      </c>
      <c r="B335">
        <v>27920</v>
      </c>
      <c r="C335">
        <v>113</v>
      </c>
      <c r="D335" t="s">
        <v>193</v>
      </c>
      <c r="F335">
        <v>5.827</v>
      </c>
      <c r="G335">
        <v>1</v>
      </c>
      <c r="H335" t="s">
        <v>20</v>
      </c>
      <c r="I335">
        <v>128.80000000000001</v>
      </c>
      <c r="J335">
        <v>1533</v>
      </c>
      <c r="K335">
        <v>32548</v>
      </c>
    </row>
    <row r="336" spans="1:11" x14ac:dyDescent="0.2">
      <c r="A336" s="13">
        <v>44252.568472222221</v>
      </c>
      <c r="B336">
        <v>27920</v>
      </c>
      <c r="C336">
        <v>113</v>
      </c>
      <c r="D336" t="s">
        <v>193</v>
      </c>
      <c r="F336">
        <v>5.827</v>
      </c>
      <c r="G336">
        <v>2</v>
      </c>
      <c r="H336" t="s">
        <v>21</v>
      </c>
      <c r="I336">
        <v>241.8</v>
      </c>
      <c r="J336">
        <v>51567</v>
      </c>
      <c r="K336">
        <v>1263437</v>
      </c>
    </row>
    <row r="337" spans="1:11" x14ac:dyDescent="0.2">
      <c r="A337" s="13">
        <v>44252.568472222221</v>
      </c>
      <c r="B337">
        <v>27920</v>
      </c>
      <c r="C337">
        <v>113</v>
      </c>
      <c r="D337" t="s">
        <v>193</v>
      </c>
      <c r="F337">
        <v>5.827</v>
      </c>
    </row>
    <row r="338" spans="1:11" x14ac:dyDescent="0.2">
      <c r="A338" s="13">
        <v>44252.575810185182</v>
      </c>
      <c r="B338">
        <v>27921</v>
      </c>
      <c r="C338">
        <v>114</v>
      </c>
      <c r="D338" t="s">
        <v>194</v>
      </c>
      <c r="F338">
        <v>5.7709999999999999</v>
      </c>
      <c r="G338">
        <v>1</v>
      </c>
      <c r="H338" t="s">
        <v>20</v>
      </c>
      <c r="I338">
        <v>128.6</v>
      </c>
      <c r="J338">
        <v>1811</v>
      </c>
      <c r="K338">
        <v>38307</v>
      </c>
    </row>
    <row r="339" spans="1:11" x14ac:dyDescent="0.2">
      <c r="A339" s="13">
        <v>44252.575810185182</v>
      </c>
      <c r="B339">
        <v>27921</v>
      </c>
      <c r="C339">
        <v>114</v>
      </c>
      <c r="D339" t="s">
        <v>194</v>
      </c>
      <c r="F339">
        <v>5.7709999999999999</v>
      </c>
      <c r="G339">
        <v>2</v>
      </c>
      <c r="H339" t="s">
        <v>21</v>
      </c>
      <c r="I339">
        <v>240.6</v>
      </c>
      <c r="J339">
        <v>59566</v>
      </c>
      <c r="K339">
        <v>1464431</v>
      </c>
    </row>
    <row r="340" spans="1:11" x14ac:dyDescent="0.2">
      <c r="A340" s="13">
        <v>44252.575810185182</v>
      </c>
      <c r="B340">
        <v>27921</v>
      </c>
      <c r="C340">
        <v>114</v>
      </c>
      <c r="D340" t="s">
        <v>194</v>
      </c>
      <c r="F340">
        <v>5.7709999999999999</v>
      </c>
    </row>
    <row r="341" spans="1:11" x14ac:dyDescent="0.2">
      <c r="A341" s="13">
        <v>44252.583136574074</v>
      </c>
      <c r="B341">
        <v>27922</v>
      </c>
      <c r="C341">
        <v>115</v>
      </c>
      <c r="D341" t="s">
        <v>12</v>
      </c>
      <c r="G341">
        <v>1</v>
      </c>
      <c r="H341" t="s">
        <v>20</v>
      </c>
      <c r="I341">
        <v>128.80000000000001</v>
      </c>
      <c r="J341">
        <v>12941</v>
      </c>
      <c r="K341">
        <v>282067</v>
      </c>
    </row>
    <row r="342" spans="1:11" x14ac:dyDescent="0.2">
      <c r="A342" s="13">
        <v>44252.583136574074</v>
      </c>
      <c r="B342">
        <v>27922</v>
      </c>
      <c r="C342">
        <v>115</v>
      </c>
      <c r="D342" t="s">
        <v>12</v>
      </c>
      <c r="G342">
        <v>2</v>
      </c>
      <c r="H342" t="s">
        <v>21</v>
      </c>
      <c r="I342">
        <v>240.8</v>
      </c>
      <c r="J342">
        <v>53259</v>
      </c>
      <c r="K342">
        <v>1320928</v>
      </c>
    </row>
    <row r="343" spans="1:11" x14ac:dyDescent="0.2">
      <c r="A343" s="13">
        <v>44252.583136574074</v>
      </c>
      <c r="B343">
        <v>27922</v>
      </c>
      <c r="C343">
        <v>115</v>
      </c>
      <c r="D343" t="s">
        <v>12</v>
      </c>
    </row>
    <row r="344" spans="1:11" x14ac:dyDescent="0.2">
      <c r="A344" s="13">
        <v>44252.590451388889</v>
      </c>
      <c r="B344">
        <v>27923</v>
      </c>
      <c r="C344">
        <v>116</v>
      </c>
      <c r="D344" t="s">
        <v>195</v>
      </c>
      <c r="F344">
        <v>5.8040000000000003</v>
      </c>
      <c r="G344">
        <v>1</v>
      </c>
      <c r="H344" t="s">
        <v>20</v>
      </c>
      <c r="I344">
        <v>128.6</v>
      </c>
      <c r="J344">
        <v>925</v>
      </c>
      <c r="K344">
        <v>19770</v>
      </c>
    </row>
    <row r="345" spans="1:11" x14ac:dyDescent="0.2">
      <c r="A345" s="13">
        <v>44252.590451388889</v>
      </c>
      <c r="B345">
        <v>27923</v>
      </c>
      <c r="C345">
        <v>116</v>
      </c>
      <c r="D345" t="s">
        <v>195</v>
      </c>
      <c r="F345">
        <v>5.8040000000000003</v>
      </c>
      <c r="G345">
        <v>2</v>
      </c>
      <c r="H345" t="s">
        <v>21</v>
      </c>
      <c r="I345">
        <v>244.6</v>
      </c>
      <c r="J345">
        <v>30021</v>
      </c>
      <c r="K345">
        <v>730223</v>
      </c>
    </row>
    <row r="346" spans="1:11" x14ac:dyDescent="0.2">
      <c r="A346" s="13">
        <v>44252.590451388889</v>
      </c>
      <c r="B346">
        <v>27923</v>
      </c>
      <c r="C346">
        <v>116</v>
      </c>
      <c r="D346" t="s">
        <v>195</v>
      </c>
      <c r="F346">
        <v>5.8040000000000003</v>
      </c>
    </row>
    <row r="347" spans="1:11" x14ac:dyDescent="0.2">
      <c r="A347" s="13">
        <v>44252.59778935185</v>
      </c>
      <c r="B347">
        <v>27924</v>
      </c>
      <c r="C347">
        <v>117</v>
      </c>
      <c r="D347" t="s">
        <v>196</v>
      </c>
      <c r="F347">
        <v>5.6890000000000001</v>
      </c>
      <c r="G347">
        <v>1</v>
      </c>
      <c r="H347" t="s">
        <v>20</v>
      </c>
      <c r="I347">
        <v>128.6</v>
      </c>
      <c r="J347">
        <v>2784</v>
      </c>
      <c r="K347">
        <v>58756</v>
      </c>
    </row>
    <row r="348" spans="1:11" x14ac:dyDescent="0.2">
      <c r="A348" s="13">
        <v>44252.59778935185</v>
      </c>
      <c r="B348">
        <v>27924</v>
      </c>
      <c r="C348">
        <v>117</v>
      </c>
      <c r="D348" t="s">
        <v>196</v>
      </c>
      <c r="F348">
        <v>5.6890000000000001</v>
      </c>
      <c r="G348">
        <v>2</v>
      </c>
      <c r="H348" t="s">
        <v>21</v>
      </c>
      <c r="I348">
        <v>236.6</v>
      </c>
      <c r="J348">
        <v>94490</v>
      </c>
      <c r="K348">
        <v>2370735</v>
      </c>
    </row>
    <row r="349" spans="1:11" x14ac:dyDescent="0.2">
      <c r="A349" s="13">
        <v>44252.59778935185</v>
      </c>
      <c r="B349">
        <v>27924</v>
      </c>
      <c r="C349">
        <v>117</v>
      </c>
      <c r="D349" t="s">
        <v>196</v>
      </c>
      <c r="F349">
        <v>5.6890000000000001</v>
      </c>
    </row>
    <row r="350" spans="1:11" x14ac:dyDescent="0.2">
      <c r="A350" s="13">
        <v>44252.605127314811</v>
      </c>
      <c r="B350">
        <v>27925</v>
      </c>
      <c r="C350">
        <v>118</v>
      </c>
      <c r="D350" t="s">
        <v>197</v>
      </c>
      <c r="F350">
        <v>5.6379999999999999</v>
      </c>
      <c r="G350">
        <v>1</v>
      </c>
      <c r="H350" t="s">
        <v>20</v>
      </c>
      <c r="I350">
        <v>129.6</v>
      </c>
      <c r="J350">
        <v>821</v>
      </c>
      <c r="K350">
        <v>17461</v>
      </c>
    </row>
    <row r="351" spans="1:11" x14ac:dyDescent="0.2">
      <c r="A351" s="13">
        <v>44252.605127314811</v>
      </c>
      <c r="B351">
        <v>27925</v>
      </c>
      <c r="C351">
        <v>118</v>
      </c>
      <c r="D351" t="s">
        <v>197</v>
      </c>
      <c r="F351">
        <v>5.6379999999999999</v>
      </c>
      <c r="G351">
        <v>2</v>
      </c>
      <c r="H351" t="s">
        <v>21</v>
      </c>
      <c r="I351">
        <v>244.6</v>
      </c>
      <c r="J351">
        <v>26252</v>
      </c>
      <c r="K351">
        <v>637665</v>
      </c>
    </row>
    <row r="352" spans="1:11" x14ac:dyDescent="0.2">
      <c r="A352" s="13">
        <v>44252.605127314811</v>
      </c>
      <c r="B352">
        <v>27925</v>
      </c>
      <c r="C352">
        <v>118</v>
      </c>
      <c r="D352" t="s">
        <v>197</v>
      </c>
      <c r="F352">
        <v>5.6379999999999999</v>
      </c>
    </row>
    <row r="353" spans="1:11" x14ac:dyDescent="0.2">
      <c r="A353" s="13">
        <v>44252.612453703703</v>
      </c>
      <c r="B353">
        <v>27926</v>
      </c>
      <c r="C353">
        <v>119</v>
      </c>
      <c r="D353" t="s">
        <v>198</v>
      </c>
      <c r="F353">
        <v>5.7649999999999997</v>
      </c>
      <c r="G353">
        <v>1</v>
      </c>
      <c r="H353" t="s">
        <v>20</v>
      </c>
      <c r="I353">
        <v>129.6</v>
      </c>
      <c r="J353">
        <v>1079</v>
      </c>
      <c r="K353">
        <v>22929</v>
      </c>
    </row>
    <row r="354" spans="1:11" x14ac:dyDescent="0.2">
      <c r="A354" s="13">
        <v>44252.612453703703</v>
      </c>
      <c r="B354">
        <v>27926</v>
      </c>
      <c r="C354">
        <v>119</v>
      </c>
      <c r="D354" t="s">
        <v>198</v>
      </c>
      <c r="F354">
        <v>5.7649999999999997</v>
      </c>
      <c r="G354">
        <v>2</v>
      </c>
      <c r="H354" t="s">
        <v>21</v>
      </c>
      <c r="I354">
        <v>243.6</v>
      </c>
      <c r="J354">
        <v>36251</v>
      </c>
      <c r="K354">
        <v>884371</v>
      </c>
    </row>
    <row r="355" spans="1:11" x14ac:dyDescent="0.2">
      <c r="A355" s="13">
        <v>44252.612453703703</v>
      </c>
      <c r="B355">
        <v>27926</v>
      </c>
      <c r="C355">
        <v>119</v>
      </c>
      <c r="D355" t="s">
        <v>198</v>
      </c>
      <c r="F355">
        <v>5.7649999999999997</v>
      </c>
    </row>
    <row r="356" spans="1:11" x14ac:dyDescent="0.2">
      <c r="A356" s="13">
        <v>44252.619780092595</v>
      </c>
      <c r="B356">
        <v>27927</v>
      </c>
      <c r="C356">
        <v>120</v>
      </c>
      <c r="D356" t="s">
        <v>102</v>
      </c>
      <c r="G356">
        <v>1</v>
      </c>
      <c r="H356" t="s">
        <v>20</v>
      </c>
      <c r="I356">
        <v>129.6</v>
      </c>
      <c r="J356">
        <v>1186</v>
      </c>
      <c r="K356">
        <v>25550</v>
      </c>
    </row>
    <row r="357" spans="1:11" x14ac:dyDescent="0.2">
      <c r="A357" s="13">
        <v>44252.619780092595</v>
      </c>
      <c r="B357">
        <v>27927</v>
      </c>
      <c r="C357">
        <v>120</v>
      </c>
      <c r="D357" t="s">
        <v>102</v>
      </c>
      <c r="G357">
        <v>2</v>
      </c>
      <c r="H357" t="s">
        <v>21</v>
      </c>
      <c r="I357">
        <v>242.6</v>
      </c>
      <c r="J357">
        <v>42853</v>
      </c>
      <c r="K357">
        <v>1055720</v>
      </c>
    </row>
    <row r="358" spans="1:11" x14ac:dyDescent="0.2">
      <c r="A358" s="13">
        <v>44252.619780092595</v>
      </c>
      <c r="B358">
        <v>27927</v>
      </c>
      <c r="C358">
        <v>120</v>
      </c>
      <c r="D358" t="s">
        <v>102</v>
      </c>
    </row>
    <row r="359" spans="1:11" x14ac:dyDescent="0.2">
      <c r="A359" s="13">
        <v>44252.627106481479</v>
      </c>
      <c r="B359">
        <v>27928</v>
      </c>
      <c r="C359">
        <v>121</v>
      </c>
      <c r="D359" t="s">
        <v>11</v>
      </c>
      <c r="G359">
        <v>1</v>
      </c>
      <c r="H359" t="s">
        <v>20</v>
      </c>
      <c r="I359">
        <v>128.6</v>
      </c>
      <c r="J359">
        <v>9443</v>
      </c>
      <c r="K359">
        <v>209089</v>
      </c>
    </row>
    <row r="360" spans="1:11" x14ac:dyDescent="0.2">
      <c r="A360" s="13">
        <v>44252.627106481479</v>
      </c>
      <c r="B360">
        <v>27928</v>
      </c>
      <c r="C360">
        <v>121</v>
      </c>
      <c r="D360" t="s">
        <v>11</v>
      </c>
      <c r="G360">
        <v>2</v>
      </c>
      <c r="H360" t="s">
        <v>21</v>
      </c>
      <c r="I360">
        <v>246.6</v>
      </c>
      <c r="J360">
        <v>10110</v>
      </c>
      <c r="K360">
        <v>245752</v>
      </c>
    </row>
    <row r="361" spans="1:11" x14ac:dyDescent="0.2">
      <c r="A361" s="13">
        <v>44252.627106481479</v>
      </c>
      <c r="B361">
        <v>27928</v>
      </c>
      <c r="C361">
        <v>121</v>
      </c>
      <c r="D361" t="s">
        <v>11</v>
      </c>
    </row>
    <row r="362" spans="1:11" x14ac:dyDescent="0.2">
      <c r="A362" s="13">
        <v>44252.634444444448</v>
      </c>
      <c r="B362">
        <v>27929</v>
      </c>
      <c r="C362">
        <v>122</v>
      </c>
      <c r="D362" t="s">
        <v>13</v>
      </c>
      <c r="G362">
        <v>1</v>
      </c>
      <c r="H362" t="s">
        <v>21</v>
      </c>
      <c r="I362">
        <v>245.6</v>
      </c>
      <c r="J362">
        <v>22449</v>
      </c>
      <c r="K362">
        <v>550063</v>
      </c>
    </row>
    <row r="363" spans="1:11" x14ac:dyDescent="0.2">
      <c r="A363" s="13">
        <v>44252.634444444448</v>
      </c>
      <c r="B363">
        <v>27929</v>
      </c>
      <c r="C363">
        <v>122</v>
      </c>
      <c r="D363" t="s">
        <v>13</v>
      </c>
    </row>
    <row r="364" spans="1:11" x14ac:dyDescent="0.2">
      <c r="A364" s="13">
        <v>44252.641770833332</v>
      </c>
      <c r="B364">
        <v>27930</v>
      </c>
      <c r="C364">
        <v>123</v>
      </c>
      <c r="D364" t="s">
        <v>14</v>
      </c>
      <c r="G364">
        <v>1</v>
      </c>
      <c r="H364" t="s">
        <v>20</v>
      </c>
      <c r="I364">
        <v>129.6</v>
      </c>
      <c r="J364">
        <v>2431</v>
      </c>
      <c r="K364">
        <v>53233</v>
      </c>
    </row>
    <row r="365" spans="1:11" x14ac:dyDescent="0.2">
      <c r="A365" s="13">
        <v>44252.641770833332</v>
      </c>
      <c r="B365">
        <v>27930</v>
      </c>
      <c r="C365">
        <v>123</v>
      </c>
      <c r="D365" t="s">
        <v>14</v>
      </c>
      <c r="G365">
        <v>2</v>
      </c>
      <c r="H365" t="s">
        <v>21</v>
      </c>
      <c r="I365">
        <v>244.6</v>
      </c>
      <c r="J365">
        <v>26474</v>
      </c>
      <c r="K365">
        <v>650822</v>
      </c>
    </row>
    <row r="366" spans="1:11" x14ac:dyDescent="0.2">
      <c r="A366" s="13">
        <v>44252.641770833332</v>
      </c>
      <c r="B366">
        <v>27930</v>
      </c>
      <c r="C366">
        <v>123</v>
      </c>
      <c r="D366" t="s">
        <v>14</v>
      </c>
    </row>
    <row r="367" spans="1:11" x14ac:dyDescent="0.2">
      <c r="A367" s="13">
        <v>44252.649097222224</v>
      </c>
      <c r="B367">
        <v>27931</v>
      </c>
      <c r="C367">
        <v>124</v>
      </c>
      <c r="D367" t="s">
        <v>12</v>
      </c>
      <c r="G367">
        <v>1</v>
      </c>
      <c r="H367" t="s">
        <v>20</v>
      </c>
      <c r="I367">
        <v>128.6</v>
      </c>
      <c r="J367">
        <v>11880</v>
      </c>
      <c r="K367">
        <v>259561</v>
      </c>
    </row>
    <row r="368" spans="1:11" x14ac:dyDescent="0.2">
      <c r="A368" s="13">
        <v>44252.649097222224</v>
      </c>
      <c r="B368">
        <v>27931</v>
      </c>
      <c r="C368">
        <v>124</v>
      </c>
      <c r="D368" t="s">
        <v>12</v>
      </c>
      <c r="G368">
        <v>2</v>
      </c>
      <c r="H368" t="s">
        <v>21</v>
      </c>
      <c r="I368">
        <v>241.6</v>
      </c>
      <c r="J368">
        <v>49210</v>
      </c>
      <c r="K368">
        <v>1219464</v>
      </c>
    </row>
    <row r="369" spans="1:11" x14ac:dyDescent="0.2">
      <c r="A369" s="13">
        <v>44252.649097222224</v>
      </c>
      <c r="B369">
        <v>27931</v>
      </c>
      <c r="C369">
        <v>124</v>
      </c>
      <c r="D369" t="s">
        <v>12</v>
      </c>
    </row>
    <row r="370" spans="1:11" x14ac:dyDescent="0.2">
      <c r="A370" s="13">
        <v>44252.656423611108</v>
      </c>
      <c r="B370">
        <v>27932</v>
      </c>
      <c r="C370">
        <v>125</v>
      </c>
      <c r="D370" t="s">
        <v>12</v>
      </c>
      <c r="G370">
        <v>1</v>
      </c>
      <c r="H370" t="s">
        <v>20</v>
      </c>
      <c r="I370">
        <v>128.6</v>
      </c>
      <c r="J370">
        <v>12341</v>
      </c>
      <c r="K370">
        <v>269255</v>
      </c>
    </row>
    <row r="371" spans="1:11" x14ac:dyDescent="0.2">
      <c r="A371" s="13">
        <v>44252.656423611108</v>
      </c>
      <c r="B371">
        <v>27932</v>
      </c>
      <c r="C371">
        <v>125</v>
      </c>
      <c r="D371" t="s">
        <v>12</v>
      </c>
      <c r="G371">
        <v>2</v>
      </c>
      <c r="H371" t="s">
        <v>21</v>
      </c>
      <c r="I371">
        <v>241.6</v>
      </c>
      <c r="J371">
        <v>50992</v>
      </c>
      <c r="K371">
        <v>1263201</v>
      </c>
    </row>
    <row r="372" spans="1:11" x14ac:dyDescent="0.2">
      <c r="A372" s="13">
        <v>44252.656423611108</v>
      </c>
      <c r="B372">
        <v>27932</v>
      </c>
      <c r="C372">
        <v>125</v>
      </c>
      <c r="D372" t="s">
        <v>12</v>
      </c>
    </row>
    <row r="373" spans="1:11" x14ac:dyDescent="0.2">
      <c r="B373" s="2"/>
    </row>
    <row r="374" spans="1:11" x14ac:dyDescent="0.2">
      <c r="B374" s="2"/>
    </row>
    <row r="375" spans="1:11" x14ac:dyDescent="0.2">
      <c r="B375" s="2"/>
    </row>
    <row r="376" spans="1:11" x14ac:dyDescent="0.2">
      <c r="B376" s="2"/>
    </row>
    <row r="377" spans="1:11" x14ac:dyDescent="0.2">
      <c r="B377" s="2"/>
    </row>
    <row r="378" spans="1:11" x14ac:dyDescent="0.2">
      <c r="B378" s="2"/>
    </row>
    <row r="379" spans="1:11" x14ac:dyDescent="0.2">
      <c r="B379" s="2"/>
    </row>
    <row r="380" spans="1:11" x14ac:dyDescent="0.2">
      <c r="B380" s="2"/>
    </row>
    <row r="381" spans="1:11" x14ac:dyDescent="0.2">
      <c r="B381" s="2"/>
    </row>
    <row r="382" spans="1:11" x14ac:dyDescent="0.2">
      <c r="B382" s="2"/>
    </row>
    <row r="383" spans="1:11" x14ac:dyDescent="0.2">
      <c r="B383" s="2"/>
    </row>
    <row r="384" spans="1:11" x14ac:dyDescent="0.2">
      <c r="B384" s="2"/>
    </row>
    <row r="385" spans="2:2" x14ac:dyDescent="0.2">
      <c r="B385" s="2"/>
    </row>
    <row r="386" spans="2:2" x14ac:dyDescent="0.2">
      <c r="B386" s="2"/>
    </row>
    <row r="387" spans="2:2" x14ac:dyDescent="0.2">
      <c r="B387" s="2"/>
    </row>
    <row r="388" spans="2:2" x14ac:dyDescent="0.2">
      <c r="B388" s="2"/>
    </row>
    <row r="389" spans="2:2" x14ac:dyDescent="0.2">
      <c r="B389" s="2"/>
    </row>
    <row r="390" spans="2:2" x14ac:dyDescent="0.2">
      <c r="B390" s="2"/>
    </row>
    <row r="391" spans="2:2" x14ac:dyDescent="0.2">
      <c r="B391" s="2"/>
    </row>
    <row r="392" spans="2:2" x14ac:dyDescent="0.2">
      <c r="B392" s="2"/>
    </row>
    <row r="393" spans="2:2" x14ac:dyDescent="0.2">
      <c r="B393" s="2"/>
    </row>
    <row r="394" spans="2:2" x14ac:dyDescent="0.2">
      <c r="B394" s="2"/>
    </row>
    <row r="395" spans="2:2" x14ac:dyDescent="0.2">
      <c r="B395" s="2"/>
    </row>
    <row r="396" spans="2:2" x14ac:dyDescent="0.2">
      <c r="B396" s="2"/>
    </row>
    <row r="397" spans="2:2" x14ac:dyDescent="0.2">
      <c r="B397" s="2"/>
    </row>
    <row r="398" spans="2:2" x14ac:dyDescent="0.2">
      <c r="B398" s="2"/>
    </row>
    <row r="399" spans="2:2" x14ac:dyDescent="0.2">
      <c r="B399" s="2"/>
    </row>
    <row r="400" spans="2:2" x14ac:dyDescent="0.2">
      <c r="B400" s="2"/>
    </row>
    <row r="401" spans="2:2" x14ac:dyDescent="0.2">
      <c r="B401" s="2"/>
    </row>
    <row r="402" spans="2:2" x14ac:dyDescent="0.2">
      <c r="B402" s="2"/>
    </row>
    <row r="403" spans="2:2" x14ac:dyDescent="0.2">
      <c r="B403" s="2"/>
    </row>
    <row r="404" spans="2:2" x14ac:dyDescent="0.2">
      <c r="B404" s="2"/>
    </row>
    <row r="405" spans="2:2" x14ac:dyDescent="0.2">
      <c r="B405" s="2"/>
    </row>
    <row r="406" spans="2:2" x14ac:dyDescent="0.2">
      <c r="B406" s="2"/>
    </row>
    <row r="407" spans="2:2" x14ac:dyDescent="0.2">
      <c r="B407" s="2"/>
    </row>
    <row r="408" spans="2:2" x14ac:dyDescent="0.2">
      <c r="B408" s="2"/>
    </row>
    <row r="409" spans="2:2" x14ac:dyDescent="0.2">
      <c r="B409" s="2"/>
    </row>
    <row r="410" spans="2:2" x14ac:dyDescent="0.2">
      <c r="B410" s="2"/>
    </row>
    <row r="411" spans="2:2" x14ac:dyDescent="0.2">
      <c r="B411" s="2"/>
    </row>
    <row r="412" spans="2:2" x14ac:dyDescent="0.2">
      <c r="B412" s="2"/>
    </row>
    <row r="413" spans="2:2" x14ac:dyDescent="0.2">
      <c r="B413" s="2"/>
    </row>
    <row r="414" spans="2:2" x14ac:dyDescent="0.2">
      <c r="B414" s="2"/>
    </row>
    <row r="415" spans="2:2" x14ac:dyDescent="0.2">
      <c r="B415" s="2"/>
    </row>
    <row r="416" spans="2:2" x14ac:dyDescent="0.2">
      <c r="B416" s="2"/>
    </row>
    <row r="417" spans="2:2" x14ac:dyDescent="0.2">
      <c r="B417" s="2"/>
    </row>
    <row r="418" spans="2:2" x14ac:dyDescent="0.2">
      <c r="B418" s="2"/>
    </row>
    <row r="419" spans="2:2" x14ac:dyDescent="0.2">
      <c r="B419"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40"/>
  <sheetViews>
    <sheetView topLeftCell="K1" zoomScale="60" zoomScaleNormal="60" workbookViewId="0">
      <selection activeCell="Q11" sqref="Q11"/>
    </sheetView>
  </sheetViews>
  <sheetFormatPr baseColWidth="10" defaultColWidth="11" defaultRowHeight="16" x14ac:dyDescent="0.2"/>
  <cols>
    <col min="1" max="1" width="15.6640625" bestFit="1" customWidth="1"/>
    <col min="2" max="2" width="11.83203125" bestFit="1" customWidth="1"/>
    <col min="3" max="3" width="16.33203125" bestFit="1" customWidth="1"/>
    <col min="4" max="4" width="19" bestFit="1" customWidth="1"/>
    <col min="5" max="5" width="10.5" bestFit="1" customWidth="1"/>
    <col min="6" max="6" width="14" customWidth="1"/>
    <col min="7" max="7" width="12.6640625" bestFit="1" customWidth="1"/>
    <col min="8" max="8" width="14" customWidth="1"/>
    <col min="9" max="9" width="7.6640625" bestFit="1" customWidth="1"/>
    <col min="10" max="10" width="11.83203125" bestFit="1" customWidth="1"/>
    <col min="11" max="11" width="16.33203125" bestFit="1" customWidth="1"/>
    <col min="12" max="12" width="19" bestFit="1" customWidth="1"/>
    <col min="13" max="13" width="7.6640625" bestFit="1" customWidth="1"/>
    <col min="14" max="14" width="7.6640625" customWidth="1"/>
    <col min="15" max="15" width="13" bestFit="1" customWidth="1"/>
    <col min="16" max="16" width="14" customWidth="1"/>
    <col min="17" max="17" width="12" bestFit="1" customWidth="1"/>
    <col min="18" max="18" width="10.6640625" bestFit="1" customWidth="1"/>
    <col min="19" max="19" width="19.83203125" bestFit="1" customWidth="1"/>
    <col min="20" max="20" width="23.1640625" bestFit="1" customWidth="1"/>
    <col min="21" max="21" width="8.83203125" bestFit="1" customWidth="1"/>
    <col min="22" max="22" width="17" bestFit="1" customWidth="1"/>
    <col min="23" max="23" width="7.33203125" bestFit="1" customWidth="1"/>
    <col min="24" max="24" width="2.1640625" bestFit="1" customWidth="1"/>
    <col min="25" max="25" width="12" bestFit="1" customWidth="1"/>
    <col min="26" max="26" width="10.6640625" bestFit="1" customWidth="1"/>
    <col min="27" max="27" width="19.83203125" bestFit="1" customWidth="1"/>
    <col min="28" max="28" width="23.1640625" bestFit="1" customWidth="1"/>
    <col min="29" max="29" width="8.83203125" bestFit="1" customWidth="1"/>
    <col min="30" max="30" width="17" bestFit="1" customWidth="1"/>
    <col min="31" max="31" width="7.33203125" bestFit="1" customWidth="1"/>
  </cols>
  <sheetData>
    <row r="1" spans="1:31" x14ac:dyDescent="0.2">
      <c r="R1" s="1"/>
      <c r="S1" s="1"/>
      <c r="T1" s="1"/>
      <c r="U1" s="1"/>
      <c r="V1" s="1"/>
      <c r="W1" s="2"/>
    </row>
    <row r="2" spans="1:31" x14ac:dyDescent="0.2">
      <c r="B2" t="s">
        <v>1</v>
      </c>
      <c r="C2" t="s">
        <v>2</v>
      </c>
      <c r="D2" t="s">
        <v>42</v>
      </c>
      <c r="E2" t="s">
        <v>18</v>
      </c>
      <c r="F2" s="1" t="s">
        <v>23</v>
      </c>
      <c r="G2" s="35">
        <f>LINEST(G6:G14,F6:F14,0)</f>
        <v>7.982168690919462E-7</v>
      </c>
      <c r="J2" t="s">
        <v>1</v>
      </c>
      <c r="K2" t="s">
        <v>2</v>
      </c>
      <c r="L2" t="s">
        <v>42</v>
      </c>
      <c r="M2" t="s">
        <v>18</v>
      </c>
      <c r="N2" s="1" t="s">
        <v>23</v>
      </c>
      <c r="O2" s="35">
        <f>LINEST(O6:O12,N6:N12,0)</f>
        <v>3.0463767364420221E-7</v>
      </c>
      <c r="Q2" t="s">
        <v>55</v>
      </c>
      <c r="R2" s="1"/>
      <c r="S2" s="1"/>
      <c r="T2" s="1"/>
      <c r="U2" s="1"/>
      <c r="V2" s="1"/>
      <c r="W2" s="2"/>
      <c r="Y2" t="s">
        <v>56</v>
      </c>
    </row>
    <row r="3" spans="1:31" x14ac:dyDescent="0.2">
      <c r="B3" t="s">
        <v>12</v>
      </c>
      <c r="C3" t="str">
        <f>"&gt;0"</f>
        <v>&gt;0</v>
      </c>
      <c r="D3">
        <v>1</v>
      </c>
      <c r="E3" t="s">
        <v>20</v>
      </c>
      <c r="F3" t="s">
        <v>24</v>
      </c>
      <c r="G3" s="5">
        <f>RSQ(G6:G14,F6:F14)</f>
        <v>0.99997397924514364</v>
      </c>
      <c r="J3" t="s">
        <v>12</v>
      </c>
      <c r="K3" t="str">
        <f>"&gt;0"</f>
        <v>&gt;0</v>
      </c>
      <c r="L3">
        <v>2</v>
      </c>
      <c r="M3" t="s">
        <v>21</v>
      </c>
      <c r="N3" t="s">
        <v>24</v>
      </c>
      <c r="O3" s="5">
        <f>RSQ(O6:O12,N6:N12)</f>
        <v>0.99999416520709139</v>
      </c>
      <c r="Q3" t="b">
        <f>AND(ISNA(MATCH('TCD data'!D2,refs[Standards],0)),'TCD data'!H2="N2",'TCD data'!G2=1)</f>
        <v>1</v>
      </c>
      <c r="R3" s="1"/>
      <c r="S3" s="1"/>
      <c r="T3" s="1"/>
      <c r="U3" s="1"/>
      <c r="V3" s="1"/>
      <c r="W3" s="2"/>
      <c r="Y3" t="b">
        <f>AND(ISNA(MATCH('TCD data'!D2,refs[Standards],0)),'TCD data'!H2="CO2")</f>
        <v>0</v>
      </c>
    </row>
    <row r="4" spans="1:31" x14ac:dyDescent="0.2">
      <c r="B4" s="1"/>
      <c r="D4" s="1"/>
      <c r="E4" s="1"/>
      <c r="F4" s="1"/>
      <c r="G4" s="2"/>
      <c r="R4" s="1"/>
      <c r="S4" s="1"/>
      <c r="T4" s="1"/>
      <c r="U4" s="1"/>
      <c r="V4" s="1"/>
      <c r="W4" s="2"/>
    </row>
    <row r="5" spans="1:31" x14ac:dyDescent="0.2">
      <c r="A5" t="s">
        <v>40</v>
      </c>
      <c r="B5" t="s">
        <v>1</v>
      </c>
      <c r="C5" t="s">
        <v>2</v>
      </c>
      <c r="D5" t="s">
        <v>42</v>
      </c>
      <c r="E5" t="s">
        <v>18</v>
      </c>
      <c r="F5" t="s">
        <v>19</v>
      </c>
      <c r="G5" t="s">
        <v>22</v>
      </c>
      <c r="I5" t="s">
        <v>40</v>
      </c>
      <c r="J5" t="s">
        <v>1</v>
      </c>
      <c r="K5" t="s">
        <v>2</v>
      </c>
      <c r="L5" t="s">
        <v>42</v>
      </c>
      <c r="M5" t="s">
        <v>18</v>
      </c>
      <c r="N5" t="s">
        <v>19</v>
      </c>
      <c r="O5" t="s">
        <v>26</v>
      </c>
      <c r="Q5" s="15" t="s">
        <v>40</v>
      </c>
      <c r="R5" s="16" t="s">
        <v>1</v>
      </c>
      <c r="S5" s="16" t="s">
        <v>42</v>
      </c>
      <c r="T5" s="16" t="s">
        <v>18</v>
      </c>
      <c r="U5" s="16" t="s">
        <v>2</v>
      </c>
      <c r="V5" s="16" t="s">
        <v>19</v>
      </c>
      <c r="W5" s="17" t="s">
        <v>22</v>
      </c>
      <c r="X5" s="1"/>
      <c r="Y5" s="15" t="s">
        <v>40</v>
      </c>
      <c r="Z5" s="16" t="s">
        <v>1</v>
      </c>
      <c r="AA5" s="16" t="s">
        <v>42</v>
      </c>
      <c r="AB5" s="16" t="s">
        <v>18</v>
      </c>
      <c r="AC5" s="16" t="s">
        <v>2</v>
      </c>
      <c r="AD5" s="16" t="s">
        <v>19</v>
      </c>
      <c r="AE5" s="17" t="s">
        <v>26</v>
      </c>
    </row>
    <row r="6" spans="1:31" x14ac:dyDescent="0.2">
      <c r="A6">
        <v>20611</v>
      </c>
      <c r="B6" t="s">
        <v>12</v>
      </c>
      <c r="C6">
        <v>5.2999999999999999E-2</v>
      </c>
      <c r="D6">
        <v>1</v>
      </c>
      <c r="E6" t="s">
        <v>20</v>
      </c>
      <c r="F6">
        <v>16171</v>
      </c>
      <c r="G6" s="4">
        <f>C6*VLOOKUP(B6,refs[#All],2,FALSE)/100</f>
        <v>1.52905E-2</v>
      </c>
      <c r="I6">
        <v>20611</v>
      </c>
      <c r="J6" t="s">
        <v>12</v>
      </c>
      <c r="K6">
        <v>5.2999999999999999E-2</v>
      </c>
      <c r="L6">
        <v>2</v>
      </c>
      <c r="M6" t="s">
        <v>21</v>
      </c>
      <c r="N6">
        <v>80818</v>
      </c>
      <c r="O6" s="4">
        <f>K6*VLOOKUP(J6,refs[#All],4,FALSE)/100</f>
        <v>2.6224399999999995E-2</v>
      </c>
      <c r="Q6">
        <v>27808</v>
      </c>
      <c r="R6" t="s">
        <v>100</v>
      </c>
      <c r="S6">
        <v>1</v>
      </c>
      <c r="T6" t="s">
        <v>20</v>
      </c>
      <c r="V6">
        <v>47353</v>
      </c>
      <c r="W6" s="10">
        <f t="shared" ref="W6:W25" si="0">IF(NOT(ISBLANK(V6)),V6*$G$2,"")</f>
        <v>3.7797963402110932E-2</v>
      </c>
      <c r="X6" s="7"/>
      <c r="Y6">
        <v>27808</v>
      </c>
      <c r="Z6" t="s">
        <v>100</v>
      </c>
      <c r="AA6">
        <v>2</v>
      </c>
      <c r="AB6" t="s">
        <v>21</v>
      </c>
      <c r="AD6">
        <v>582997</v>
      </c>
      <c r="AE6" s="10">
        <f t="shared" ref="AE6:AE25" si="1">IF(NOT(ISBLANK(AD6)),AD6*$O$2,"")</f>
        <v>0.17760284982154895</v>
      </c>
    </row>
    <row r="7" spans="1:31" x14ac:dyDescent="0.2">
      <c r="A7">
        <v>20612</v>
      </c>
      <c r="B7" t="s">
        <v>12</v>
      </c>
      <c r="C7">
        <v>0.113</v>
      </c>
      <c r="D7">
        <v>1</v>
      </c>
      <c r="E7" t="s">
        <v>20</v>
      </c>
      <c r="F7">
        <v>37422</v>
      </c>
      <c r="G7" s="4">
        <f>C7*VLOOKUP(B7,refs[#All],2,FALSE)/100</f>
        <v>3.2600500000000004E-2</v>
      </c>
      <c r="I7">
        <v>20612</v>
      </c>
      <c r="J7" t="s">
        <v>12</v>
      </c>
      <c r="K7">
        <v>0.113</v>
      </c>
      <c r="L7">
        <v>2</v>
      </c>
      <c r="M7" t="s">
        <v>21</v>
      </c>
      <c r="N7">
        <v>181452</v>
      </c>
      <c r="O7" s="4">
        <f>K7*VLOOKUP(J7,refs[#All],4,FALSE)/100</f>
        <v>5.5912400000000001E-2</v>
      </c>
      <c r="Q7">
        <v>27809</v>
      </c>
      <c r="R7" t="s">
        <v>100</v>
      </c>
      <c r="S7">
        <v>1</v>
      </c>
      <c r="T7" t="s">
        <v>20</v>
      </c>
      <c r="V7">
        <v>42896</v>
      </c>
      <c r="W7" s="10">
        <f t="shared" si="0"/>
        <v>3.4240310816568122E-2</v>
      </c>
      <c r="X7" s="7"/>
      <c r="Y7">
        <v>27809</v>
      </c>
      <c r="Z7" t="s">
        <v>100</v>
      </c>
      <c r="AA7">
        <v>2</v>
      </c>
      <c r="AB7" t="s">
        <v>21</v>
      </c>
      <c r="AD7">
        <v>534483</v>
      </c>
      <c r="AE7" s="10">
        <f t="shared" si="1"/>
        <v>0.16282365772237412</v>
      </c>
    </row>
    <row r="8" spans="1:31" x14ac:dyDescent="0.2">
      <c r="A8">
        <v>20613</v>
      </c>
      <c r="B8" t="s">
        <v>12</v>
      </c>
      <c r="C8">
        <v>0.14299999999999999</v>
      </c>
      <c r="D8">
        <v>1</v>
      </c>
      <c r="E8" t="s">
        <v>20</v>
      </c>
      <c r="F8">
        <v>46585</v>
      </c>
      <c r="G8" s="4">
        <f>C8*VLOOKUP(B8,refs[#All],2,FALSE)/100</f>
        <v>4.1255499999999994E-2</v>
      </c>
      <c r="I8">
        <v>20613</v>
      </c>
      <c r="J8" t="s">
        <v>12</v>
      </c>
      <c r="K8">
        <v>0.14299999999999999</v>
      </c>
      <c r="L8">
        <v>2</v>
      </c>
      <c r="M8" t="s">
        <v>21</v>
      </c>
      <c r="N8">
        <v>226576</v>
      </c>
      <c r="O8" s="4">
        <f>K8*VLOOKUP(J8,refs[#All],4,FALSE)/100</f>
        <v>7.0756399999999997E-2</v>
      </c>
      <c r="Q8">
        <v>27810</v>
      </c>
      <c r="R8" t="s">
        <v>100</v>
      </c>
      <c r="S8">
        <v>1</v>
      </c>
      <c r="T8" t="s">
        <v>20</v>
      </c>
      <c r="V8">
        <v>34411</v>
      </c>
      <c r="W8" s="10">
        <f t="shared" si="0"/>
        <v>2.7467440682322961E-2</v>
      </c>
      <c r="X8" s="7"/>
      <c r="Y8">
        <v>27810</v>
      </c>
      <c r="Z8" t="s">
        <v>100</v>
      </c>
      <c r="AA8">
        <v>2</v>
      </c>
      <c r="AB8" t="s">
        <v>21</v>
      </c>
      <c r="AD8">
        <v>429625</v>
      </c>
      <c r="AE8" s="10">
        <f t="shared" si="1"/>
        <v>0.13087996053939038</v>
      </c>
    </row>
    <row r="9" spans="1:31" x14ac:dyDescent="0.2">
      <c r="A9">
        <v>20614</v>
      </c>
      <c r="B9" t="s">
        <v>12</v>
      </c>
      <c r="C9">
        <v>0.20799999999999999</v>
      </c>
      <c r="D9">
        <v>1</v>
      </c>
      <c r="E9" t="s">
        <v>20</v>
      </c>
      <c r="F9">
        <v>68608</v>
      </c>
      <c r="G9" s="4">
        <f>C9*VLOOKUP(B9,refs[#All],2,FALSE)/100</f>
        <v>6.0007999999999999E-2</v>
      </c>
      <c r="I9">
        <v>20614</v>
      </c>
      <c r="J9" t="s">
        <v>12</v>
      </c>
      <c r="K9">
        <v>0.20799999999999999</v>
      </c>
      <c r="L9">
        <v>2</v>
      </c>
      <c r="M9" t="s">
        <v>21</v>
      </c>
      <c r="N9">
        <v>328773</v>
      </c>
      <c r="O9" s="4">
        <f>K9*VLOOKUP(J9,refs[#All],4,FALSE)/100</f>
        <v>0.10291839999999999</v>
      </c>
      <c r="Q9">
        <v>27816</v>
      </c>
      <c r="R9" t="s">
        <v>102</v>
      </c>
      <c r="S9">
        <v>1</v>
      </c>
      <c r="T9" t="s">
        <v>20</v>
      </c>
      <c r="V9">
        <v>23423</v>
      </c>
      <c r="W9" s="10">
        <f t="shared" si="0"/>
        <v>1.8696633724740657E-2</v>
      </c>
      <c r="X9" s="7"/>
      <c r="Y9">
        <v>27816</v>
      </c>
      <c r="Z9" t="s">
        <v>102</v>
      </c>
      <c r="AA9">
        <v>2</v>
      </c>
      <c r="AB9" t="s">
        <v>21</v>
      </c>
      <c r="AD9">
        <v>987452</v>
      </c>
      <c r="AE9" s="10">
        <f t="shared" si="1"/>
        <v>0.30081508011531477</v>
      </c>
    </row>
    <row r="10" spans="1:31" x14ac:dyDescent="0.2">
      <c r="A10">
        <v>20615</v>
      </c>
      <c r="B10" t="s">
        <v>12</v>
      </c>
      <c r="C10">
        <v>0.31</v>
      </c>
      <c r="D10">
        <v>1</v>
      </c>
      <c r="E10" t="s">
        <v>20</v>
      </c>
      <c r="F10">
        <v>106771</v>
      </c>
      <c r="G10" s="4">
        <f>C10*VLOOKUP(B10,refs[#All],2,FALSE)/100</f>
        <v>8.9435000000000001E-2</v>
      </c>
      <c r="I10">
        <v>20615</v>
      </c>
      <c r="J10" t="s">
        <v>12</v>
      </c>
      <c r="K10">
        <v>0.31</v>
      </c>
      <c r="L10">
        <v>2</v>
      </c>
      <c r="M10" t="s">
        <v>21</v>
      </c>
      <c r="N10">
        <v>507290</v>
      </c>
      <c r="O10" s="4">
        <f>K10*VLOOKUP(J10,refs[#All],4,FALSE)/100</f>
        <v>0.153388</v>
      </c>
      <c r="Q10">
        <v>27817</v>
      </c>
      <c r="R10" t="s">
        <v>103</v>
      </c>
      <c r="S10">
        <v>1</v>
      </c>
      <c r="T10" t="s">
        <v>20</v>
      </c>
      <c r="U10">
        <v>5.4130000000000003</v>
      </c>
      <c r="V10">
        <v>30186</v>
      </c>
      <c r="W10" s="10">
        <f t="shared" si="0"/>
        <v>2.4094974410409489E-2</v>
      </c>
      <c r="X10" s="7"/>
      <c r="Y10">
        <v>27817</v>
      </c>
      <c r="Z10" t="s">
        <v>103</v>
      </c>
      <c r="AA10">
        <v>2</v>
      </c>
      <c r="AB10" t="s">
        <v>21</v>
      </c>
      <c r="AC10">
        <v>5.4130000000000003</v>
      </c>
      <c r="AD10">
        <v>1301153</v>
      </c>
      <c r="AE10" s="10">
        <f t="shared" si="1"/>
        <v>0.39638022297517461</v>
      </c>
    </row>
    <row r="11" spans="1:31" x14ac:dyDescent="0.2">
      <c r="A11">
        <v>20616</v>
      </c>
      <c r="B11" t="s">
        <v>12</v>
      </c>
      <c r="C11">
        <v>0.35599999999999998</v>
      </c>
      <c r="D11">
        <v>1</v>
      </c>
      <c r="E11" t="s">
        <v>20</v>
      </c>
      <c r="F11">
        <v>122063</v>
      </c>
      <c r="G11" s="4">
        <f>C11*VLOOKUP(B11,refs[#All],2,FALSE)/100</f>
        <v>0.10270600000000001</v>
      </c>
      <c r="I11">
        <v>20616</v>
      </c>
      <c r="J11" t="s">
        <v>12</v>
      </c>
      <c r="K11">
        <v>0.35599999999999998</v>
      </c>
      <c r="L11">
        <v>2</v>
      </c>
      <c r="M11" t="s">
        <v>21</v>
      </c>
      <c r="N11">
        <v>578857</v>
      </c>
      <c r="O11" s="4">
        <f>K11*VLOOKUP(J11,refs[#All],4,FALSE)/100</f>
        <v>0.17614879999999999</v>
      </c>
      <c r="Q11">
        <v>27818</v>
      </c>
      <c r="R11" t="s">
        <v>104</v>
      </c>
      <c r="S11">
        <v>1</v>
      </c>
      <c r="T11" t="s">
        <v>20</v>
      </c>
      <c r="U11">
        <v>6.4379999999999997</v>
      </c>
      <c r="V11">
        <v>29655</v>
      </c>
      <c r="W11" s="10">
        <f t="shared" si="0"/>
        <v>2.3671121252921666E-2</v>
      </c>
      <c r="X11" s="7"/>
      <c r="Y11">
        <v>27818</v>
      </c>
      <c r="Z11" t="s">
        <v>104</v>
      </c>
      <c r="AA11">
        <v>2</v>
      </c>
      <c r="AB11" t="s">
        <v>21</v>
      </c>
      <c r="AC11">
        <v>6.4379999999999997</v>
      </c>
      <c r="AD11">
        <v>980608</v>
      </c>
      <c r="AE11" s="10">
        <f t="shared" si="1"/>
        <v>0.29873013987689384</v>
      </c>
    </row>
    <row r="12" spans="1:31" x14ac:dyDescent="0.2">
      <c r="A12">
        <v>20625</v>
      </c>
      <c r="B12" t="s">
        <v>12</v>
      </c>
      <c r="C12">
        <v>2.9969999999999999</v>
      </c>
      <c r="D12">
        <v>1</v>
      </c>
      <c r="E12" t="s">
        <v>20</v>
      </c>
      <c r="F12">
        <v>1074716</v>
      </c>
      <c r="G12" s="4">
        <f>C12*VLOOKUP(B12,refs[#All],2,FALSE)/100</f>
        <v>0.86463449999999997</v>
      </c>
      <c r="I12">
        <v>20625</v>
      </c>
      <c r="J12" t="s">
        <v>12</v>
      </c>
      <c r="K12">
        <v>2.9969999999999999</v>
      </c>
      <c r="L12">
        <v>2</v>
      </c>
      <c r="M12" t="s">
        <v>21</v>
      </c>
      <c r="N12">
        <v>4868374</v>
      </c>
      <c r="O12" s="4">
        <f>K12*VLOOKUP(J12,refs[#All],4,FALSE)/100</f>
        <v>1.4829155999999997</v>
      </c>
      <c r="Q12">
        <v>27819</v>
      </c>
      <c r="R12" t="s">
        <v>105</v>
      </c>
      <c r="S12">
        <v>1</v>
      </c>
      <c r="T12" t="s">
        <v>20</v>
      </c>
      <c r="U12">
        <v>6.3029999999999999</v>
      </c>
      <c r="V12">
        <v>43519</v>
      </c>
      <c r="W12" s="10">
        <f t="shared" si="0"/>
        <v>3.4737599926012407E-2</v>
      </c>
      <c r="X12" s="7"/>
      <c r="Y12">
        <v>27819</v>
      </c>
      <c r="Z12" t="s">
        <v>105</v>
      </c>
      <c r="AA12">
        <v>2</v>
      </c>
      <c r="AB12" t="s">
        <v>21</v>
      </c>
      <c r="AC12">
        <v>6.3029999999999999</v>
      </c>
      <c r="AD12">
        <v>1608390</v>
      </c>
      <c r="AE12" s="10">
        <f t="shared" si="1"/>
        <v>0.48997618791259839</v>
      </c>
    </row>
    <row r="13" spans="1:31" x14ac:dyDescent="0.2">
      <c r="A13">
        <v>20626</v>
      </c>
      <c r="B13" t="s">
        <v>12</v>
      </c>
      <c r="C13">
        <v>4.0549999999999997</v>
      </c>
      <c r="D13">
        <v>1</v>
      </c>
      <c r="E13" t="s">
        <v>20</v>
      </c>
      <c r="F13">
        <v>1463595</v>
      </c>
      <c r="G13" s="4">
        <f>C13*VLOOKUP(B13,refs[#All],2,FALSE)/100</f>
        <v>1.1698675000000001</v>
      </c>
      <c r="I13">
        <v>20626</v>
      </c>
      <c r="J13" t="s">
        <v>12</v>
      </c>
      <c r="K13">
        <v>4.0549999999999997</v>
      </c>
      <c r="L13">
        <v>2</v>
      </c>
      <c r="M13" t="s">
        <v>21</v>
      </c>
      <c r="N13">
        <v>6571708</v>
      </c>
      <c r="O13" s="4">
        <f>K13*VLOOKUP(J13,refs[#All],4,FALSE)/100</f>
        <v>2.0064139999999999</v>
      </c>
      <c r="Q13">
        <v>27820</v>
      </c>
      <c r="R13" t="s">
        <v>106</v>
      </c>
      <c r="S13">
        <v>1</v>
      </c>
      <c r="T13" t="s">
        <v>20</v>
      </c>
      <c r="U13">
        <v>5.7480000000000002</v>
      </c>
      <c r="V13">
        <v>34411</v>
      </c>
      <c r="W13" s="10">
        <f t="shared" si="0"/>
        <v>2.7467440682322961E-2</v>
      </c>
      <c r="X13" s="7"/>
      <c r="Y13">
        <v>27820</v>
      </c>
      <c r="Z13" t="s">
        <v>106</v>
      </c>
      <c r="AA13">
        <v>2</v>
      </c>
      <c r="AB13" t="s">
        <v>21</v>
      </c>
      <c r="AC13">
        <v>5.7480000000000002</v>
      </c>
      <c r="AD13">
        <v>1400324</v>
      </c>
      <c r="AE13" s="10">
        <f t="shared" si="1"/>
        <v>0.42659144570814383</v>
      </c>
    </row>
    <row r="14" spans="1:31" x14ac:dyDescent="0.2">
      <c r="A14">
        <v>20627</v>
      </c>
      <c r="B14" t="s">
        <v>12</v>
      </c>
      <c r="C14">
        <v>5.056</v>
      </c>
      <c r="D14">
        <v>1</v>
      </c>
      <c r="E14" t="s">
        <v>20</v>
      </c>
      <c r="F14">
        <v>1835183</v>
      </c>
      <c r="G14" s="4">
        <f>C14*VLOOKUP(B14,refs[#All],2,FALSE)/100</f>
        <v>1.458656</v>
      </c>
      <c r="I14">
        <v>20627</v>
      </c>
      <c r="J14" t="s">
        <v>12</v>
      </c>
      <c r="K14">
        <v>5.056</v>
      </c>
      <c r="L14">
        <v>2</v>
      </c>
      <c r="M14" t="s">
        <v>21</v>
      </c>
      <c r="N14">
        <v>8172976</v>
      </c>
      <c r="O14" s="4">
        <f>K14*VLOOKUP(J14,refs[#All],4,FALSE)/100</f>
        <v>2.5017087999999998</v>
      </c>
      <c r="Q14">
        <v>27821</v>
      </c>
      <c r="R14" t="s">
        <v>107</v>
      </c>
      <c r="S14">
        <v>1</v>
      </c>
      <c r="T14" t="s">
        <v>20</v>
      </c>
      <c r="U14">
        <v>5.915</v>
      </c>
      <c r="V14">
        <v>22907</v>
      </c>
      <c r="W14" s="10">
        <f t="shared" si="0"/>
        <v>1.8284753820289212E-2</v>
      </c>
      <c r="X14" s="7"/>
      <c r="Y14">
        <v>27821</v>
      </c>
      <c r="Z14" t="s">
        <v>107</v>
      </c>
      <c r="AA14">
        <v>2</v>
      </c>
      <c r="AB14" t="s">
        <v>21</v>
      </c>
      <c r="AC14">
        <v>5.915</v>
      </c>
      <c r="AD14">
        <v>753951</v>
      </c>
      <c r="AE14" s="10">
        <f t="shared" si="1"/>
        <v>0.22968187868171991</v>
      </c>
    </row>
    <row r="15" spans="1:31" x14ac:dyDescent="0.2">
      <c r="G15" s="4"/>
      <c r="O15" s="4"/>
      <c r="Q15">
        <v>27822</v>
      </c>
      <c r="R15" t="s">
        <v>108</v>
      </c>
      <c r="S15">
        <v>1</v>
      </c>
      <c r="T15" t="s">
        <v>20</v>
      </c>
      <c r="U15">
        <v>5.6639999999999997</v>
      </c>
      <c r="V15">
        <v>43146</v>
      </c>
      <c r="W15" s="10">
        <f t="shared" si="0"/>
        <v>3.4439865033841111E-2</v>
      </c>
      <c r="X15" s="7"/>
      <c r="Y15">
        <v>27822</v>
      </c>
      <c r="Z15" t="s">
        <v>108</v>
      </c>
      <c r="AA15">
        <v>2</v>
      </c>
      <c r="AB15" t="s">
        <v>21</v>
      </c>
      <c r="AC15">
        <v>5.6639999999999997</v>
      </c>
      <c r="AD15">
        <v>1536111</v>
      </c>
      <c r="AE15" s="10">
        <f t="shared" si="1"/>
        <v>0.46795728149926907</v>
      </c>
    </row>
    <row r="16" spans="1:31" x14ac:dyDescent="0.2">
      <c r="Q16">
        <v>27824</v>
      </c>
      <c r="R16" t="s">
        <v>109</v>
      </c>
      <c r="S16">
        <v>1</v>
      </c>
      <c r="T16" t="s">
        <v>20</v>
      </c>
      <c r="U16">
        <v>5.9850000000000003</v>
      </c>
      <c r="V16">
        <v>39712</v>
      </c>
      <c r="W16" s="10">
        <f t="shared" si="0"/>
        <v>3.1698788305379366E-2</v>
      </c>
      <c r="X16" s="7"/>
      <c r="Y16">
        <v>27824</v>
      </c>
      <c r="Z16" t="s">
        <v>109</v>
      </c>
      <c r="AA16">
        <v>2</v>
      </c>
      <c r="AB16" t="s">
        <v>21</v>
      </c>
      <c r="AC16">
        <v>5.9850000000000003</v>
      </c>
      <c r="AD16">
        <v>1733889</v>
      </c>
      <c r="AE16" s="10">
        <f t="shared" si="1"/>
        <v>0.52820791131727207</v>
      </c>
    </row>
    <row r="17" spans="17:31" x14ac:dyDescent="0.2">
      <c r="Q17">
        <v>27825</v>
      </c>
      <c r="R17" t="s">
        <v>110</v>
      </c>
      <c r="S17">
        <v>1</v>
      </c>
      <c r="T17" t="s">
        <v>20</v>
      </c>
      <c r="U17">
        <v>6.0289999999999999</v>
      </c>
      <c r="V17">
        <v>58581</v>
      </c>
      <c r="W17" s="10">
        <f t="shared" si="0"/>
        <v>4.6760342408275299E-2</v>
      </c>
      <c r="X17" s="7"/>
      <c r="Y17">
        <v>27825</v>
      </c>
      <c r="Z17" t="s">
        <v>110</v>
      </c>
      <c r="AA17">
        <v>2</v>
      </c>
      <c r="AB17" t="s">
        <v>21</v>
      </c>
      <c r="AC17">
        <v>6.0289999999999999</v>
      </c>
      <c r="AD17">
        <v>2527990</v>
      </c>
      <c r="AE17" s="10">
        <f t="shared" si="1"/>
        <v>0.7701209925958068</v>
      </c>
    </row>
    <row r="18" spans="17:31" x14ac:dyDescent="0.2">
      <c r="Q18">
        <v>27826</v>
      </c>
      <c r="R18" t="s">
        <v>111</v>
      </c>
      <c r="S18">
        <v>1</v>
      </c>
      <c r="T18" t="s">
        <v>20</v>
      </c>
      <c r="U18">
        <v>5.8079999999999998</v>
      </c>
      <c r="V18">
        <v>28204</v>
      </c>
      <c r="W18" s="10">
        <f t="shared" si="0"/>
        <v>2.251290857586925E-2</v>
      </c>
      <c r="X18" s="7"/>
      <c r="Y18">
        <v>27826</v>
      </c>
      <c r="Z18" t="s">
        <v>111</v>
      </c>
      <c r="AA18">
        <v>2</v>
      </c>
      <c r="AB18" t="s">
        <v>21</v>
      </c>
      <c r="AC18">
        <v>5.8079999999999998</v>
      </c>
      <c r="AD18">
        <v>1120721</v>
      </c>
      <c r="AE18" s="10">
        <f t="shared" si="1"/>
        <v>0.34141383824420396</v>
      </c>
    </row>
    <row r="19" spans="17:31" x14ac:dyDescent="0.2">
      <c r="Q19">
        <v>27827</v>
      </c>
      <c r="R19" t="s">
        <v>112</v>
      </c>
      <c r="S19">
        <v>1</v>
      </c>
      <c r="T19" t="s">
        <v>20</v>
      </c>
      <c r="U19">
        <v>5.9530000000000003</v>
      </c>
      <c r="V19">
        <v>36481</v>
      </c>
      <c r="W19" s="10">
        <f t="shared" si="0"/>
        <v>2.9119749601343288E-2</v>
      </c>
      <c r="X19" s="7"/>
      <c r="Y19">
        <v>27827</v>
      </c>
      <c r="Z19" t="s">
        <v>112</v>
      </c>
      <c r="AA19">
        <v>2</v>
      </c>
      <c r="AB19" t="s">
        <v>21</v>
      </c>
      <c r="AC19">
        <v>5.9530000000000003</v>
      </c>
      <c r="AD19">
        <v>1628378</v>
      </c>
      <c r="AE19" s="10">
        <f t="shared" si="1"/>
        <v>0.4960652857333987</v>
      </c>
    </row>
    <row r="20" spans="17:31" x14ac:dyDescent="0.2">
      <c r="Q20">
        <v>27828</v>
      </c>
      <c r="R20" t="s">
        <v>113</v>
      </c>
      <c r="S20">
        <v>1</v>
      </c>
      <c r="T20" t="s">
        <v>20</v>
      </c>
      <c r="U20">
        <v>5.6909999999999998</v>
      </c>
      <c r="V20">
        <v>33987</v>
      </c>
      <c r="W20" s="10">
        <f t="shared" si="0"/>
        <v>2.7128996729827975E-2</v>
      </c>
      <c r="X20" s="7"/>
      <c r="Y20">
        <v>27828</v>
      </c>
      <c r="Z20" t="s">
        <v>113</v>
      </c>
      <c r="AA20">
        <v>2</v>
      </c>
      <c r="AB20" t="s">
        <v>21</v>
      </c>
      <c r="AC20">
        <v>5.6909999999999998</v>
      </c>
      <c r="AD20">
        <v>1630335</v>
      </c>
      <c r="AE20" s="10">
        <f t="shared" si="1"/>
        <v>0.49666146166072039</v>
      </c>
    </row>
    <row r="21" spans="17:31" x14ac:dyDescent="0.2">
      <c r="Q21">
        <v>27829</v>
      </c>
      <c r="R21" t="s">
        <v>114</v>
      </c>
      <c r="S21">
        <v>1</v>
      </c>
      <c r="T21" t="s">
        <v>20</v>
      </c>
      <c r="U21">
        <v>5.867</v>
      </c>
      <c r="V21">
        <v>28580</v>
      </c>
      <c r="W21" s="10">
        <f t="shared" si="0"/>
        <v>2.2813038118647821E-2</v>
      </c>
      <c r="X21" s="7"/>
      <c r="Y21">
        <v>27829</v>
      </c>
      <c r="Z21" t="s">
        <v>114</v>
      </c>
      <c r="AA21">
        <v>2</v>
      </c>
      <c r="AB21" t="s">
        <v>21</v>
      </c>
      <c r="AC21">
        <v>5.867</v>
      </c>
      <c r="AD21">
        <v>1177646</v>
      </c>
      <c r="AE21" s="10">
        <f t="shared" si="1"/>
        <v>0.35875533781640018</v>
      </c>
    </row>
    <row r="22" spans="17:31" x14ac:dyDescent="0.2">
      <c r="Q22">
        <v>27830</v>
      </c>
      <c r="R22" t="s">
        <v>115</v>
      </c>
      <c r="S22">
        <v>1</v>
      </c>
      <c r="T22" t="s">
        <v>20</v>
      </c>
      <c r="U22">
        <v>5.9059999999999997</v>
      </c>
      <c r="V22">
        <v>85032</v>
      </c>
      <c r="W22" s="10">
        <f t="shared" si="0"/>
        <v>6.7873976812626372E-2</v>
      </c>
      <c r="X22" s="7"/>
      <c r="Y22">
        <v>27830</v>
      </c>
      <c r="Z22" t="s">
        <v>115</v>
      </c>
      <c r="AA22">
        <v>2</v>
      </c>
      <c r="AB22" t="s">
        <v>21</v>
      </c>
      <c r="AC22">
        <v>5.9059999999999997</v>
      </c>
      <c r="AD22">
        <v>4187662</v>
      </c>
      <c r="AE22" s="10">
        <f t="shared" si="1"/>
        <v>1.2757196096882271</v>
      </c>
    </row>
    <row r="23" spans="17:31" x14ac:dyDescent="0.2">
      <c r="Q23">
        <v>27831</v>
      </c>
      <c r="R23" t="s">
        <v>116</v>
      </c>
      <c r="S23">
        <v>1</v>
      </c>
      <c r="T23" t="s">
        <v>20</v>
      </c>
      <c r="U23">
        <v>5.7560000000000002</v>
      </c>
      <c r="V23">
        <v>33146</v>
      </c>
      <c r="W23" s="10">
        <f t="shared" si="0"/>
        <v>2.6457696342921649E-2</v>
      </c>
      <c r="X23" s="7"/>
      <c r="Y23">
        <v>27831</v>
      </c>
      <c r="Z23" t="s">
        <v>116</v>
      </c>
      <c r="AA23">
        <v>2</v>
      </c>
      <c r="AB23" t="s">
        <v>21</v>
      </c>
      <c r="AC23">
        <v>5.7560000000000002</v>
      </c>
      <c r="AD23">
        <v>1406480</v>
      </c>
      <c r="AE23" s="10">
        <f t="shared" si="1"/>
        <v>0.42846679522709752</v>
      </c>
    </row>
    <row r="24" spans="17:31" x14ac:dyDescent="0.2">
      <c r="Q24">
        <v>27832</v>
      </c>
      <c r="R24" t="s">
        <v>117</v>
      </c>
      <c r="S24">
        <v>1</v>
      </c>
      <c r="T24" t="s">
        <v>20</v>
      </c>
      <c r="U24">
        <v>5.5410000000000004</v>
      </c>
      <c r="V24">
        <v>34992</v>
      </c>
      <c r="W24" s="10">
        <f t="shared" si="0"/>
        <v>2.7931204683265383E-2</v>
      </c>
      <c r="X24" s="7"/>
      <c r="Y24">
        <v>27832</v>
      </c>
      <c r="Z24" t="s">
        <v>117</v>
      </c>
      <c r="AA24">
        <v>2</v>
      </c>
      <c r="AB24" t="s">
        <v>21</v>
      </c>
      <c r="AC24">
        <v>5.5410000000000004</v>
      </c>
      <c r="AD24">
        <v>1674604</v>
      </c>
      <c r="AE24" s="10">
        <f t="shared" si="1"/>
        <v>0.51014746683527556</v>
      </c>
    </row>
    <row r="25" spans="17:31" x14ac:dyDescent="0.2">
      <c r="Q25">
        <v>27833</v>
      </c>
      <c r="R25" t="s">
        <v>118</v>
      </c>
      <c r="S25">
        <v>1</v>
      </c>
      <c r="T25" t="s">
        <v>20</v>
      </c>
      <c r="U25">
        <v>5.9279999999999999</v>
      </c>
      <c r="V25">
        <v>50560</v>
      </c>
      <c r="W25" s="10">
        <f t="shared" si="0"/>
        <v>4.0357844901288797E-2</v>
      </c>
      <c r="X25" s="7"/>
      <c r="Y25">
        <v>27833</v>
      </c>
      <c r="Z25" t="s">
        <v>118</v>
      </c>
      <c r="AA25">
        <v>2</v>
      </c>
      <c r="AB25" t="s">
        <v>21</v>
      </c>
      <c r="AC25">
        <v>5.9279999999999999</v>
      </c>
      <c r="AD25">
        <v>2155599</v>
      </c>
      <c r="AE25" s="10">
        <f t="shared" si="1"/>
        <v>0.65667666466976859</v>
      </c>
    </row>
    <row r="26" spans="17:31" x14ac:dyDescent="0.2">
      <c r="Q26">
        <v>27835</v>
      </c>
      <c r="R26" t="s">
        <v>119</v>
      </c>
      <c r="S26">
        <v>1</v>
      </c>
      <c r="T26" t="s">
        <v>20</v>
      </c>
      <c r="U26">
        <v>5.9210000000000003</v>
      </c>
      <c r="V26">
        <v>19108</v>
      </c>
      <c r="W26" s="10">
        <f t="shared" ref="W26:W69" si="2">IF(NOT(ISBLANK(V26)),V26*$G$2,"")</f>
        <v>1.5252327934608907E-2</v>
      </c>
      <c r="X26" s="7"/>
      <c r="Y26">
        <v>27835</v>
      </c>
      <c r="Z26" t="s">
        <v>119</v>
      </c>
      <c r="AA26">
        <v>2</v>
      </c>
      <c r="AB26" t="s">
        <v>21</v>
      </c>
      <c r="AC26">
        <v>5.9210000000000003</v>
      </c>
      <c r="AD26">
        <v>754950</v>
      </c>
      <c r="AE26" s="10">
        <f t="shared" ref="AE26:AE69" si="3">IF(NOT(ISBLANK(AD26)),AD26*$O$2,"")</f>
        <v>0.22998621171769046</v>
      </c>
    </row>
    <row r="27" spans="17:31" x14ac:dyDescent="0.2">
      <c r="Q27">
        <v>27836</v>
      </c>
      <c r="R27" t="s">
        <v>120</v>
      </c>
      <c r="S27">
        <v>1</v>
      </c>
      <c r="T27" t="s">
        <v>20</v>
      </c>
      <c r="U27">
        <v>5.9809999999999999</v>
      </c>
      <c r="V27">
        <v>17034</v>
      </c>
      <c r="W27" s="10">
        <f t="shared" si="2"/>
        <v>1.3596826148112211E-2</v>
      </c>
      <c r="X27" s="7"/>
      <c r="Y27">
        <v>27836</v>
      </c>
      <c r="Z27" t="s">
        <v>120</v>
      </c>
      <c r="AA27">
        <v>2</v>
      </c>
      <c r="AB27" t="s">
        <v>21</v>
      </c>
      <c r="AC27">
        <v>5.9809999999999999</v>
      </c>
      <c r="AD27">
        <v>826003</v>
      </c>
      <c r="AE27" s="10">
        <f t="shared" si="3"/>
        <v>0.25163163234313196</v>
      </c>
    </row>
    <row r="28" spans="17:31" x14ac:dyDescent="0.2">
      <c r="Q28">
        <v>27837</v>
      </c>
      <c r="R28" t="s">
        <v>121</v>
      </c>
      <c r="S28">
        <v>1</v>
      </c>
      <c r="T28" t="s">
        <v>20</v>
      </c>
      <c r="U28">
        <v>5.6360000000000001</v>
      </c>
      <c r="V28">
        <v>27203</v>
      </c>
      <c r="W28" s="10">
        <f t="shared" si="2"/>
        <v>2.1713893489908213E-2</v>
      </c>
      <c r="X28" s="7"/>
      <c r="Y28">
        <v>27837</v>
      </c>
      <c r="Z28" t="s">
        <v>121</v>
      </c>
      <c r="AA28">
        <v>2</v>
      </c>
      <c r="AB28" t="s">
        <v>21</v>
      </c>
      <c r="AC28">
        <v>5.6360000000000001</v>
      </c>
      <c r="AD28">
        <v>1035313</v>
      </c>
      <c r="AE28" s="10">
        <f t="shared" si="3"/>
        <v>0.3153953438135999</v>
      </c>
    </row>
    <row r="29" spans="17:31" x14ac:dyDescent="0.2">
      <c r="Q29">
        <v>27838</v>
      </c>
      <c r="R29" t="s">
        <v>122</v>
      </c>
      <c r="S29">
        <v>1</v>
      </c>
      <c r="T29" t="s">
        <v>20</v>
      </c>
      <c r="U29">
        <v>5.8460000000000001</v>
      </c>
      <c r="V29">
        <v>41921</v>
      </c>
      <c r="W29" s="10">
        <f t="shared" si="2"/>
        <v>3.3462049369203474E-2</v>
      </c>
      <c r="X29" s="7"/>
      <c r="Y29">
        <v>27838</v>
      </c>
      <c r="Z29" t="s">
        <v>122</v>
      </c>
      <c r="AA29">
        <v>2</v>
      </c>
      <c r="AB29" t="s">
        <v>21</v>
      </c>
      <c r="AC29">
        <v>5.8460000000000001</v>
      </c>
      <c r="AD29">
        <v>1783973</v>
      </c>
      <c r="AE29" s="10">
        <f t="shared" si="3"/>
        <v>0.54346538456406834</v>
      </c>
    </row>
    <row r="30" spans="17:31" x14ac:dyDescent="0.2">
      <c r="Q30">
        <v>27839</v>
      </c>
      <c r="R30" t="s">
        <v>123</v>
      </c>
      <c r="S30">
        <v>1</v>
      </c>
      <c r="T30" t="s">
        <v>20</v>
      </c>
      <c r="U30">
        <v>5.7869999999999999</v>
      </c>
      <c r="V30">
        <v>23872</v>
      </c>
      <c r="W30" s="10">
        <f t="shared" si="2"/>
        <v>1.9055033098962941E-2</v>
      </c>
      <c r="X30" s="7"/>
      <c r="Y30">
        <v>27839</v>
      </c>
      <c r="Z30" t="s">
        <v>123</v>
      </c>
      <c r="AA30">
        <v>2</v>
      </c>
      <c r="AB30" t="s">
        <v>21</v>
      </c>
      <c r="AC30">
        <v>5.7869999999999999</v>
      </c>
      <c r="AD30">
        <v>892594</v>
      </c>
      <c r="AE30" s="10">
        <f t="shared" si="3"/>
        <v>0.27191775966877302</v>
      </c>
    </row>
    <row r="31" spans="17:31" x14ac:dyDescent="0.2">
      <c r="Q31">
        <v>27840</v>
      </c>
      <c r="R31" t="s">
        <v>124</v>
      </c>
      <c r="S31">
        <v>1</v>
      </c>
      <c r="T31" t="s">
        <v>20</v>
      </c>
      <c r="U31">
        <v>5.8179999999999996</v>
      </c>
      <c r="V31">
        <v>18464</v>
      </c>
      <c r="W31" s="10">
        <f t="shared" si="2"/>
        <v>1.4738276270913694E-2</v>
      </c>
      <c r="X31" s="7"/>
      <c r="Y31">
        <v>27840</v>
      </c>
      <c r="Z31" t="s">
        <v>124</v>
      </c>
      <c r="AA31">
        <v>2</v>
      </c>
      <c r="AB31" t="s">
        <v>21</v>
      </c>
      <c r="AC31">
        <v>5.8179999999999996</v>
      </c>
      <c r="AD31">
        <v>719658</v>
      </c>
      <c r="AE31" s="10">
        <f t="shared" si="3"/>
        <v>0.21923493893943927</v>
      </c>
    </row>
    <row r="32" spans="17:31" x14ac:dyDescent="0.2">
      <c r="Q32">
        <v>27841</v>
      </c>
      <c r="R32" t="s">
        <v>125</v>
      </c>
      <c r="S32">
        <v>1</v>
      </c>
      <c r="T32" t="s">
        <v>20</v>
      </c>
      <c r="U32">
        <v>5.8090000000000002</v>
      </c>
      <c r="V32">
        <v>34030</v>
      </c>
      <c r="W32" s="10">
        <f t="shared" si="2"/>
        <v>2.716332005519893E-2</v>
      </c>
      <c r="X32" s="7"/>
      <c r="Y32">
        <v>27841</v>
      </c>
      <c r="Z32" t="s">
        <v>125</v>
      </c>
      <c r="AA32">
        <v>2</v>
      </c>
      <c r="AB32" t="s">
        <v>21</v>
      </c>
      <c r="AC32">
        <v>5.8090000000000002</v>
      </c>
      <c r="AD32">
        <v>1522119</v>
      </c>
      <c r="AE32" s="10">
        <f t="shared" si="3"/>
        <v>0.46369479116963941</v>
      </c>
    </row>
    <row r="33" spans="17:31" x14ac:dyDescent="0.2">
      <c r="Q33">
        <v>27842</v>
      </c>
      <c r="R33" t="s">
        <v>126</v>
      </c>
      <c r="S33">
        <v>1</v>
      </c>
      <c r="T33" t="s">
        <v>20</v>
      </c>
      <c r="U33">
        <v>5.9210000000000003</v>
      </c>
      <c r="V33">
        <v>19446</v>
      </c>
      <c r="W33" s="10">
        <f t="shared" si="2"/>
        <v>1.5522125236361985E-2</v>
      </c>
      <c r="X33" s="7"/>
      <c r="Y33">
        <v>27842</v>
      </c>
      <c r="Z33" t="s">
        <v>126</v>
      </c>
      <c r="AA33">
        <v>2</v>
      </c>
      <c r="AB33" t="s">
        <v>21</v>
      </c>
      <c r="AC33">
        <v>5.9210000000000003</v>
      </c>
      <c r="AD33">
        <v>786701</v>
      </c>
      <c r="AE33" s="10">
        <f t="shared" si="3"/>
        <v>0.23965876249356752</v>
      </c>
    </row>
    <row r="34" spans="17:31" x14ac:dyDescent="0.2">
      <c r="Q34">
        <v>27843</v>
      </c>
      <c r="R34" t="s">
        <v>127</v>
      </c>
      <c r="S34">
        <v>1</v>
      </c>
      <c r="T34" t="s">
        <v>20</v>
      </c>
      <c r="U34">
        <v>5.8360000000000003</v>
      </c>
      <c r="V34">
        <v>36024</v>
      </c>
      <c r="W34" s="10">
        <f t="shared" si="2"/>
        <v>2.8754964492168269E-2</v>
      </c>
      <c r="X34" s="7"/>
      <c r="Y34">
        <v>27843</v>
      </c>
      <c r="Z34" t="s">
        <v>127</v>
      </c>
      <c r="AA34">
        <v>2</v>
      </c>
      <c r="AB34" t="s">
        <v>21</v>
      </c>
      <c r="AC34">
        <v>5.8360000000000003</v>
      </c>
      <c r="AD34">
        <v>1533598</v>
      </c>
      <c r="AE34" s="10">
        <f t="shared" si="3"/>
        <v>0.46719172702540124</v>
      </c>
    </row>
    <row r="35" spans="17:31" x14ac:dyDescent="0.2">
      <c r="Q35">
        <v>27844</v>
      </c>
      <c r="R35" t="s">
        <v>128</v>
      </c>
      <c r="S35">
        <v>1</v>
      </c>
      <c r="T35" t="s">
        <v>20</v>
      </c>
      <c r="U35">
        <v>5.6589999999999998</v>
      </c>
      <c r="V35">
        <v>42136</v>
      </c>
      <c r="W35" s="10">
        <f t="shared" si="2"/>
        <v>3.3633665996058243E-2</v>
      </c>
      <c r="X35" s="7"/>
      <c r="Y35">
        <v>27844</v>
      </c>
      <c r="Z35" t="s">
        <v>128</v>
      </c>
      <c r="AA35">
        <v>2</v>
      </c>
      <c r="AB35" t="s">
        <v>21</v>
      </c>
      <c r="AC35">
        <v>5.6589999999999998</v>
      </c>
      <c r="AD35">
        <v>1794868</v>
      </c>
      <c r="AE35" s="10">
        <f t="shared" si="3"/>
        <v>0.54678441201842198</v>
      </c>
    </row>
    <row r="36" spans="17:31" x14ac:dyDescent="0.2">
      <c r="Q36">
        <v>27846</v>
      </c>
      <c r="R36" t="s">
        <v>129</v>
      </c>
      <c r="S36">
        <v>1</v>
      </c>
      <c r="T36" t="s">
        <v>20</v>
      </c>
      <c r="U36">
        <v>5.8029999999999999</v>
      </c>
      <c r="V36">
        <v>64985</v>
      </c>
      <c r="W36" s="10">
        <f t="shared" si="2"/>
        <v>5.1872123237940125E-2</v>
      </c>
      <c r="X36" s="7"/>
      <c r="Y36">
        <v>27846</v>
      </c>
      <c r="Z36" t="s">
        <v>129</v>
      </c>
      <c r="AA36">
        <v>2</v>
      </c>
      <c r="AB36" t="s">
        <v>21</v>
      </c>
      <c r="AC36">
        <v>5.8029999999999999</v>
      </c>
      <c r="AD36">
        <v>3594926</v>
      </c>
      <c r="AE36" s="10">
        <f t="shared" si="3"/>
        <v>1.0951498935630573</v>
      </c>
    </row>
    <row r="37" spans="17:31" x14ac:dyDescent="0.2">
      <c r="Q37">
        <v>27847</v>
      </c>
      <c r="R37" t="s">
        <v>130</v>
      </c>
      <c r="S37">
        <v>1</v>
      </c>
      <c r="T37" t="s">
        <v>20</v>
      </c>
      <c r="U37">
        <v>5.742</v>
      </c>
      <c r="V37">
        <v>17816</v>
      </c>
      <c r="W37" s="10">
        <f t="shared" si="2"/>
        <v>1.4221031739742113E-2</v>
      </c>
      <c r="X37" s="7"/>
      <c r="Y37">
        <v>27847</v>
      </c>
      <c r="Z37" t="s">
        <v>130</v>
      </c>
      <c r="AA37">
        <v>2</v>
      </c>
      <c r="AB37" t="s">
        <v>21</v>
      </c>
      <c r="AC37">
        <v>5.742</v>
      </c>
      <c r="AD37">
        <v>693512</v>
      </c>
      <c r="AE37" s="10">
        <f t="shared" si="3"/>
        <v>0.21126988232433797</v>
      </c>
    </row>
    <row r="38" spans="17:31" x14ac:dyDescent="0.2">
      <c r="Q38">
        <v>27848</v>
      </c>
      <c r="R38" t="s">
        <v>131</v>
      </c>
      <c r="S38">
        <v>1</v>
      </c>
      <c r="T38" t="s">
        <v>20</v>
      </c>
      <c r="U38">
        <v>5.6749999999999998</v>
      </c>
      <c r="V38">
        <v>76189</v>
      </c>
      <c r="W38" s="10">
        <f t="shared" si="2"/>
        <v>6.0815345039246287E-2</v>
      </c>
      <c r="X38" s="7"/>
      <c r="Y38">
        <v>27848</v>
      </c>
      <c r="Z38" t="s">
        <v>131</v>
      </c>
      <c r="AA38">
        <v>2</v>
      </c>
      <c r="AB38" t="s">
        <v>21</v>
      </c>
      <c r="AC38">
        <v>5.6749999999999998</v>
      </c>
      <c r="AD38">
        <v>3299409</v>
      </c>
      <c r="AE38" s="10">
        <f t="shared" si="3"/>
        <v>1.0051242821607436</v>
      </c>
    </row>
    <row r="39" spans="17:31" x14ac:dyDescent="0.2">
      <c r="Q39">
        <v>27849</v>
      </c>
      <c r="R39" t="s">
        <v>132</v>
      </c>
      <c r="S39">
        <v>1</v>
      </c>
      <c r="T39" t="s">
        <v>20</v>
      </c>
      <c r="U39">
        <v>5.7279999999999998</v>
      </c>
      <c r="V39">
        <v>63893</v>
      </c>
      <c r="W39" s="10">
        <f t="shared" si="2"/>
        <v>5.1000470416891722E-2</v>
      </c>
      <c r="Y39">
        <v>27849</v>
      </c>
      <c r="Z39" t="s">
        <v>132</v>
      </c>
      <c r="AA39">
        <v>2</v>
      </c>
      <c r="AB39" t="s">
        <v>21</v>
      </c>
      <c r="AC39">
        <v>5.7279999999999998</v>
      </c>
      <c r="AD39">
        <v>2995487</v>
      </c>
      <c r="AE39" s="10">
        <f t="shared" si="3"/>
        <v>0.91253819111145029</v>
      </c>
    </row>
    <row r="40" spans="17:31" x14ac:dyDescent="0.2">
      <c r="Q40">
        <v>27850</v>
      </c>
      <c r="R40" t="s">
        <v>133</v>
      </c>
      <c r="S40">
        <v>1</v>
      </c>
      <c r="T40" t="s">
        <v>20</v>
      </c>
      <c r="U40">
        <v>5.8879999999999999</v>
      </c>
      <c r="V40">
        <v>32473</v>
      </c>
      <c r="W40" s="10">
        <f t="shared" si="2"/>
        <v>2.5920496390022769E-2</v>
      </c>
      <c r="Y40">
        <v>27850</v>
      </c>
      <c r="Z40" t="s">
        <v>133</v>
      </c>
      <c r="AA40">
        <v>2</v>
      </c>
      <c r="AB40" t="s">
        <v>21</v>
      </c>
      <c r="AC40">
        <v>5.8879999999999999</v>
      </c>
      <c r="AD40">
        <v>1501231</v>
      </c>
      <c r="AE40" s="10">
        <f t="shared" si="3"/>
        <v>0.45733151944255934</v>
      </c>
    </row>
    <row r="41" spans="17:31" x14ac:dyDescent="0.2">
      <c r="Q41">
        <v>27851</v>
      </c>
      <c r="R41" t="s">
        <v>134</v>
      </c>
      <c r="S41">
        <v>1</v>
      </c>
      <c r="T41" t="s">
        <v>20</v>
      </c>
      <c r="U41">
        <v>5.9550000000000001</v>
      </c>
      <c r="V41">
        <v>27990</v>
      </c>
      <c r="W41" s="10">
        <f t="shared" si="2"/>
        <v>2.2342090165883573E-2</v>
      </c>
      <c r="Y41">
        <v>27851</v>
      </c>
      <c r="Z41" t="s">
        <v>134</v>
      </c>
      <c r="AA41">
        <v>2</v>
      </c>
      <c r="AB41" t="s">
        <v>21</v>
      </c>
      <c r="AC41">
        <v>5.9550000000000001</v>
      </c>
      <c r="AD41">
        <v>1094147</v>
      </c>
      <c r="AE41" s="10">
        <f t="shared" si="3"/>
        <v>0.33331839670478292</v>
      </c>
    </row>
    <row r="42" spans="17:31" x14ac:dyDescent="0.2">
      <c r="Q42">
        <v>27852</v>
      </c>
      <c r="R42" t="s">
        <v>135</v>
      </c>
      <c r="S42">
        <v>1</v>
      </c>
      <c r="T42" t="s">
        <v>20</v>
      </c>
      <c r="U42">
        <v>5.6189999999999998</v>
      </c>
      <c r="V42">
        <v>40283</v>
      </c>
      <c r="W42" s="10">
        <f t="shared" si="2"/>
        <v>3.2154570137630865E-2</v>
      </c>
      <c r="Y42">
        <v>27852</v>
      </c>
      <c r="Z42" t="s">
        <v>135</v>
      </c>
      <c r="AA42">
        <v>2</v>
      </c>
      <c r="AB42" t="s">
        <v>21</v>
      </c>
      <c r="AC42">
        <v>5.6189999999999998</v>
      </c>
      <c r="AD42">
        <v>1802369</v>
      </c>
      <c r="AE42" s="10">
        <f t="shared" si="3"/>
        <v>0.54906949920842707</v>
      </c>
    </row>
    <row r="43" spans="17:31" x14ac:dyDescent="0.2">
      <c r="Q43">
        <v>27853</v>
      </c>
      <c r="R43" t="s">
        <v>136</v>
      </c>
      <c r="S43">
        <v>1</v>
      </c>
      <c r="T43" t="s">
        <v>20</v>
      </c>
      <c r="U43">
        <v>5.79</v>
      </c>
      <c r="V43">
        <v>24421</v>
      </c>
      <c r="W43" s="10">
        <f t="shared" si="2"/>
        <v>1.9493254160094418E-2</v>
      </c>
      <c r="Y43">
        <v>27853</v>
      </c>
      <c r="Z43" t="s">
        <v>136</v>
      </c>
      <c r="AA43">
        <v>2</v>
      </c>
      <c r="AB43" t="s">
        <v>21</v>
      </c>
      <c r="AC43">
        <v>5.79</v>
      </c>
      <c r="AD43">
        <v>807742</v>
      </c>
      <c r="AE43" s="10">
        <f t="shared" si="3"/>
        <v>0.24606864378471519</v>
      </c>
    </row>
    <row r="44" spans="17:31" x14ac:dyDescent="0.2">
      <c r="Q44">
        <v>27854</v>
      </c>
      <c r="R44" t="s">
        <v>137</v>
      </c>
      <c r="S44">
        <v>1</v>
      </c>
      <c r="T44" t="s">
        <v>20</v>
      </c>
      <c r="U44">
        <v>5.827</v>
      </c>
      <c r="V44">
        <v>36677</v>
      </c>
      <c r="W44" s="10">
        <f t="shared" si="2"/>
        <v>2.9276200107685311E-2</v>
      </c>
      <c r="Y44">
        <v>27854</v>
      </c>
      <c r="Z44" t="s">
        <v>137</v>
      </c>
      <c r="AA44">
        <v>2</v>
      </c>
      <c r="AB44" t="s">
        <v>21</v>
      </c>
      <c r="AC44">
        <v>5.827</v>
      </c>
      <c r="AD44">
        <v>1680733</v>
      </c>
      <c r="AE44" s="10">
        <f t="shared" si="3"/>
        <v>0.51201459113704095</v>
      </c>
    </row>
    <row r="45" spans="17:31" x14ac:dyDescent="0.2">
      <c r="Q45">
        <v>27855</v>
      </c>
      <c r="R45" t="s">
        <v>138</v>
      </c>
      <c r="S45">
        <v>1</v>
      </c>
      <c r="T45" t="s">
        <v>20</v>
      </c>
      <c r="U45">
        <v>5.8220000000000001</v>
      </c>
      <c r="V45">
        <v>56666</v>
      </c>
      <c r="W45" s="10">
        <f t="shared" si="2"/>
        <v>4.5231757103964224E-2</v>
      </c>
      <c r="Y45">
        <v>27855</v>
      </c>
      <c r="Z45" t="s">
        <v>138</v>
      </c>
      <c r="AA45">
        <v>2</v>
      </c>
      <c r="AB45" t="s">
        <v>21</v>
      </c>
      <c r="AC45">
        <v>5.8220000000000001</v>
      </c>
      <c r="AD45">
        <v>2058475</v>
      </c>
      <c r="AE45" s="10">
        <f t="shared" si="3"/>
        <v>0.62708903525474913</v>
      </c>
    </row>
    <row r="46" spans="17:31" x14ac:dyDescent="0.2">
      <c r="Q46">
        <v>27857</v>
      </c>
      <c r="R46" t="s">
        <v>139</v>
      </c>
      <c r="S46">
        <v>1</v>
      </c>
      <c r="T46" t="s">
        <v>20</v>
      </c>
      <c r="U46">
        <v>5.8179999999999996</v>
      </c>
      <c r="V46">
        <v>20580</v>
      </c>
      <c r="W46" s="10">
        <f t="shared" si="2"/>
        <v>1.6427303165912253E-2</v>
      </c>
      <c r="Y46">
        <v>27857</v>
      </c>
      <c r="Z46" t="s">
        <v>139</v>
      </c>
      <c r="AA46">
        <v>2</v>
      </c>
      <c r="AB46" t="s">
        <v>21</v>
      </c>
      <c r="AC46">
        <v>5.8179999999999996</v>
      </c>
      <c r="AD46">
        <v>712998</v>
      </c>
      <c r="AE46" s="10">
        <f t="shared" si="3"/>
        <v>0.21720605203296889</v>
      </c>
    </row>
    <row r="47" spans="17:31" x14ac:dyDescent="0.2">
      <c r="Q47">
        <v>27858</v>
      </c>
      <c r="R47" t="s">
        <v>140</v>
      </c>
      <c r="S47">
        <v>1</v>
      </c>
      <c r="T47" t="s">
        <v>20</v>
      </c>
      <c r="U47">
        <v>5.77</v>
      </c>
      <c r="V47">
        <v>25076</v>
      </c>
      <c r="W47" s="10">
        <f t="shared" si="2"/>
        <v>2.0016086209349644E-2</v>
      </c>
      <c r="Y47">
        <v>27858</v>
      </c>
      <c r="Z47" t="s">
        <v>140</v>
      </c>
      <c r="AA47">
        <v>2</v>
      </c>
      <c r="AB47" t="s">
        <v>21</v>
      </c>
      <c r="AC47">
        <v>5.77</v>
      </c>
      <c r="AD47">
        <v>1010463</v>
      </c>
      <c r="AE47" s="10">
        <f t="shared" si="3"/>
        <v>0.30782509762354149</v>
      </c>
    </row>
    <row r="48" spans="17:31" x14ac:dyDescent="0.2">
      <c r="Q48">
        <v>27859</v>
      </c>
      <c r="R48" t="s">
        <v>141</v>
      </c>
      <c r="S48">
        <v>1</v>
      </c>
      <c r="T48" t="s">
        <v>20</v>
      </c>
      <c r="U48">
        <v>5.9779999999999998</v>
      </c>
      <c r="V48">
        <v>16449</v>
      </c>
      <c r="W48" s="10">
        <f t="shared" si="2"/>
        <v>1.3129869279693424E-2</v>
      </c>
      <c r="Y48">
        <v>27859</v>
      </c>
      <c r="Z48" t="s">
        <v>141</v>
      </c>
      <c r="AA48">
        <v>2</v>
      </c>
      <c r="AB48" t="s">
        <v>21</v>
      </c>
      <c r="AC48">
        <v>5.9779999999999998</v>
      </c>
      <c r="AD48">
        <v>847696</v>
      </c>
      <c r="AE48" s="10">
        <f t="shared" si="3"/>
        <v>0.25824013739749563</v>
      </c>
    </row>
    <row r="49" spans="17:31" x14ac:dyDescent="0.2">
      <c r="Q49">
        <v>27860</v>
      </c>
      <c r="R49" t="s">
        <v>142</v>
      </c>
      <c r="S49">
        <v>1</v>
      </c>
      <c r="T49" t="s">
        <v>20</v>
      </c>
      <c r="U49">
        <v>5.75</v>
      </c>
      <c r="V49">
        <v>64603</v>
      </c>
      <c r="W49" s="10">
        <f t="shared" si="2"/>
        <v>5.1567204393946998E-2</v>
      </c>
      <c r="Y49">
        <v>27860</v>
      </c>
      <c r="Z49" t="s">
        <v>142</v>
      </c>
      <c r="AA49">
        <v>2</v>
      </c>
      <c r="AB49" t="s">
        <v>21</v>
      </c>
      <c r="AC49">
        <v>5.75</v>
      </c>
      <c r="AD49">
        <v>2949056</v>
      </c>
      <c r="AE49" s="10">
        <f t="shared" si="3"/>
        <v>0.89839355928647635</v>
      </c>
    </row>
    <row r="50" spans="17:31" x14ac:dyDescent="0.2">
      <c r="Q50">
        <v>27861</v>
      </c>
      <c r="R50" t="s">
        <v>143</v>
      </c>
      <c r="S50">
        <v>1</v>
      </c>
      <c r="T50" t="s">
        <v>20</v>
      </c>
      <c r="U50">
        <v>5.6180000000000003</v>
      </c>
      <c r="V50">
        <v>50445</v>
      </c>
      <c r="W50" s="10">
        <f t="shared" si="2"/>
        <v>4.0266049961343225E-2</v>
      </c>
      <c r="Y50">
        <v>27861</v>
      </c>
      <c r="Z50" t="s">
        <v>143</v>
      </c>
      <c r="AA50">
        <v>2</v>
      </c>
      <c r="AB50" t="s">
        <v>21</v>
      </c>
      <c r="AC50">
        <v>5.6180000000000003</v>
      </c>
      <c r="AD50">
        <v>1922401</v>
      </c>
      <c r="AE50" s="10">
        <f t="shared" si="3"/>
        <v>0.58563576845128795</v>
      </c>
    </row>
    <row r="51" spans="17:31" x14ac:dyDescent="0.2">
      <c r="Q51">
        <v>27862</v>
      </c>
      <c r="R51" t="s">
        <v>144</v>
      </c>
      <c r="S51">
        <v>1</v>
      </c>
      <c r="T51" t="s">
        <v>20</v>
      </c>
      <c r="U51">
        <v>5.5990000000000002</v>
      </c>
      <c r="V51">
        <v>29447</v>
      </c>
      <c r="W51" s="10">
        <f t="shared" si="2"/>
        <v>2.350509214415054E-2</v>
      </c>
      <c r="Y51">
        <v>27862</v>
      </c>
      <c r="Z51" t="s">
        <v>144</v>
      </c>
      <c r="AA51">
        <v>2</v>
      </c>
      <c r="AB51" t="s">
        <v>21</v>
      </c>
      <c r="AC51">
        <v>5.5990000000000002</v>
      </c>
      <c r="AD51">
        <v>1193864</v>
      </c>
      <c r="AE51" s="10">
        <f t="shared" si="3"/>
        <v>0.36369595160756185</v>
      </c>
    </row>
    <row r="52" spans="17:31" x14ac:dyDescent="0.2">
      <c r="Q52">
        <v>27863</v>
      </c>
      <c r="R52" t="s">
        <v>145</v>
      </c>
      <c r="S52">
        <v>1</v>
      </c>
      <c r="T52" t="s">
        <v>20</v>
      </c>
      <c r="U52">
        <v>5.8639999999999999</v>
      </c>
      <c r="V52">
        <v>47975</v>
      </c>
      <c r="W52" s="10">
        <f t="shared" si="2"/>
        <v>3.8294454294686121E-2</v>
      </c>
      <c r="Y52">
        <v>27863</v>
      </c>
      <c r="Z52" t="s">
        <v>145</v>
      </c>
      <c r="AA52">
        <v>2</v>
      </c>
      <c r="AB52" t="s">
        <v>21</v>
      </c>
      <c r="AC52">
        <v>5.8639999999999999</v>
      </c>
      <c r="AD52">
        <v>1947208</v>
      </c>
      <c r="AE52" s="10">
        <f t="shared" si="3"/>
        <v>0.59319291522137974</v>
      </c>
    </row>
    <row r="53" spans="17:31" x14ac:dyDescent="0.2">
      <c r="Q53">
        <v>27864</v>
      </c>
      <c r="R53" t="s">
        <v>146</v>
      </c>
      <c r="S53">
        <v>1</v>
      </c>
      <c r="T53" t="s">
        <v>20</v>
      </c>
      <c r="U53">
        <v>5.7729999999999997</v>
      </c>
      <c r="V53">
        <v>27398</v>
      </c>
      <c r="W53" s="10">
        <f t="shared" si="2"/>
        <v>2.1869545779381144E-2</v>
      </c>
      <c r="Y53">
        <v>27864</v>
      </c>
      <c r="Z53" t="s">
        <v>146</v>
      </c>
      <c r="AA53">
        <v>2</v>
      </c>
      <c r="AB53" t="s">
        <v>21</v>
      </c>
      <c r="AC53">
        <v>5.7729999999999997</v>
      </c>
      <c r="AD53">
        <v>1182196</v>
      </c>
      <c r="AE53" s="10">
        <f t="shared" si="3"/>
        <v>0.36014143923148129</v>
      </c>
    </row>
    <row r="54" spans="17:31" x14ac:dyDescent="0.2">
      <c r="Q54">
        <v>27865</v>
      </c>
      <c r="R54" t="s">
        <v>147</v>
      </c>
      <c r="S54">
        <v>1</v>
      </c>
      <c r="T54" t="s">
        <v>20</v>
      </c>
      <c r="U54">
        <v>5.7290000000000001</v>
      </c>
      <c r="V54">
        <v>20007</v>
      </c>
      <c r="W54" s="10">
        <f t="shared" si="2"/>
        <v>1.5969924899922567E-2</v>
      </c>
      <c r="Y54">
        <v>27865</v>
      </c>
      <c r="Z54" t="s">
        <v>147</v>
      </c>
      <c r="AA54">
        <v>2</v>
      </c>
      <c r="AB54" t="s">
        <v>21</v>
      </c>
      <c r="AC54">
        <v>5.7290000000000001</v>
      </c>
      <c r="AD54">
        <v>774532</v>
      </c>
      <c r="AE54" s="10">
        <f t="shared" si="3"/>
        <v>0.23595162664299121</v>
      </c>
    </row>
    <row r="55" spans="17:31" x14ac:dyDescent="0.2">
      <c r="Q55">
        <v>27866</v>
      </c>
      <c r="R55" t="s">
        <v>148</v>
      </c>
      <c r="S55">
        <v>1</v>
      </c>
      <c r="T55" t="s">
        <v>20</v>
      </c>
      <c r="U55">
        <v>5.91</v>
      </c>
      <c r="V55">
        <v>45862</v>
      </c>
      <c r="W55" s="10">
        <f t="shared" si="2"/>
        <v>3.6607822050294836E-2</v>
      </c>
      <c r="Y55">
        <v>27866</v>
      </c>
      <c r="Z55" t="s">
        <v>148</v>
      </c>
      <c r="AA55">
        <v>2</v>
      </c>
      <c r="AB55" t="s">
        <v>21</v>
      </c>
      <c r="AC55">
        <v>5.91</v>
      </c>
      <c r="AD55">
        <v>1904501</v>
      </c>
      <c r="AE55" s="10">
        <f t="shared" si="3"/>
        <v>0.58018275409305675</v>
      </c>
    </row>
    <row r="56" spans="17:31" x14ac:dyDescent="0.2">
      <c r="Q56">
        <v>27868</v>
      </c>
      <c r="R56" t="s">
        <v>102</v>
      </c>
      <c r="S56">
        <v>1</v>
      </c>
      <c r="T56" t="s">
        <v>20</v>
      </c>
      <c r="V56">
        <v>23890</v>
      </c>
      <c r="W56" s="10">
        <f t="shared" si="2"/>
        <v>1.9069401002606595E-2</v>
      </c>
      <c r="Y56">
        <v>27868</v>
      </c>
      <c r="Z56" t="s">
        <v>102</v>
      </c>
      <c r="AA56">
        <v>2</v>
      </c>
      <c r="AB56" t="s">
        <v>21</v>
      </c>
      <c r="AD56">
        <v>1003685</v>
      </c>
      <c r="AE56" s="10">
        <f t="shared" si="3"/>
        <v>0.30576026347158108</v>
      </c>
    </row>
    <row r="57" spans="17:31" x14ac:dyDescent="0.2">
      <c r="Q57">
        <v>27872</v>
      </c>
      <c r="R57" t="s">
        <v>149</v>
      </c>
      <c r="S57">
        <v>1</v>
      </c>
      <c r="T57" t="s">
        <v>20</v>
      </c>
      <c r="U57">
        <v>5.9589999999999996</v>
      </c>
      <c r="V57">
        <v>12873</v>
      </c>
      <c r="W57" s="10">
        <f t="shared" si="2"/>
        <v>1.0275445755820624E-2</v>
      </c>
      <c r="Y57">
        <v>27872</v>
      </c>
      <c r="Z57" t="s">
        <v>149</v>
      </c>
      <c r="AA57">
        <v>2</v>
      </c>
      <c r="AB57" t="s">
        <v>21</v>
      </c>
      <c r="AC57">
        <v>5.9589999999999996</v>
      </c>
      <c r="AD57">
        <v>474658</v>
      </c>
      <c r="AE57" s="10">
        <f t="shared" si="3"/>
        <v>0.14459870889660972</v>
      </c>
    </row>
    <row r="58" spans="17:31" x14ac:dyDescent="0.2">
      <c r="Q58">
        <v>27873</v>
      </c>
      <c r="R58" t="s">
        <v>150</v>
      </c>
      <c r="S58">
        <v>1</v>
      </c>
      <c r="T58" t="s">
        <v>20</v>
      </c>
      <c r="U58">
        <v>5.6740000000000004</v>
      </c>
      <c r="V58">
        <v>30603</v>
      </c>
      <c r="W58" s="10">
        <f t="shared" si="2"/>
        <v>2.4427830844820829E-2</v>
      </c>
      <c r="Y58">
        <v>27873</v>
      </c>
      <c r="Z58" t="s">
        <v>150</v>
      </c>
      <c r="AA58">
        <v>2</v>
      </c>
      <c r="AB58" t="s">
        <v>21</v>
      </c>
      <c r="AC58">
        <v>5.6740000000000004</v>
      </c>
      <c r="AD58">
        <v>1124473</v>
      </c>
      <c r="AE58" s="10">
        <f t="shared" si="3"/>
        <v>0.34255683879571697</v>
      </c>
    </row>
    <row r="59" spans="17:31" x14ac:dyDescent="0.2">
      <c r="Q59">
        <v>27874</v>
      </c>
      <c r="R59" t="s">
        <v>151</v>
      </c>
      <c r="S59">
        <v>1</v>
      </c>
      <c r="T59" t="s">
        <v>20</v>
      </c>
      <c r="U59">
        <v>5.8410000000000002</v>
      </c>
      <c r="V59">
        <v>19147</v>
      </c>
      <c r="W59" s="10">
        <f t="shared" si="2"/>
        <v>1.5283458392503495E-2</v>
      </c>
      <c r="Y59">
        <v>27874</v>
      </c>
      <c r="Z59" t="s">
        <v>151</v>
      </c>
      <c r="AA59">
        <v>2</v>
      </c>
      <c r="AB59" t="s">
        <v>21</v>
      </c>
      <c r="AC59">
        <v>5.8410000000000002</v>
      </c>
      <c r="AD59">
        <v>827668</v>
      </c>
      <c r="AE59" s="10">
        <f t="shared" si="3"/>
        <v>0.25213885406974956</v>
      </c>
    </row>
    <row r="60" spans="17:31" x14ac:dyDescent="0.2">
      <c r="Q60">
        <v>27875</v>
      </c>
      <c r="R60" t="s">
        <v>152</v>
      </c>
      <c r="S60">
        <v>1</v>
      </c>
      <c r="T60" t="s">
        <v>20</v>
      </c>
      <c r="U60">
        <v>5.7350000000000003</v>
      </c>
      <c r="V60">
        <v>26341</v>
      </c>
      <c r="W60" s="10">
        <f t="shared" si="2"/>
        <v>2.1025830548750953E-2</v>
      </c>
      <c r="Y60">
        <v>27875</v>
      </c>
      <c r="Z60" t="s">
        <v>152</v>
      </c>
      <c r="AA60">
        <v>2</v>
      </c>
      <c r="AB60" t="s">
        <v>21</v>
      </c>
      <c r="AC60">
        <v>5.7350000000000003</v>
      </c>
      <c r="AD60">
        <v>1050816</v>
      </c>
      <c r="AE60" s="10">
        <f t="shared" si="3"/>
        <v>0.32011814166810598</v>
      </c>
    </row>
    <row r="61" spans="17:31" x14ac:dyDescent="0.2">
      <c r="Q61">
        <v>27876</v>
      </c>
      <c r="R61" t="s">
        <v>153</v>
      </c>
      <c r="S61">
        <v>1</v>
      </c>
      <c r="T61" t="s">
        <v>20</v>
      </c>
      <c r="U61">
        <v>5.6230000000000002</v>
      </c>
      <c r="V61">
        <v>37544</v>
      </c>
      <c r="W61" s="10">
        <f t="shared" si="2"/>
        <v>2.996825413318803E-2</v>
      </c>
      <c r="Y61">
        <v>27876</v>
      </c>
      <c r="Z61" t="s">
        <v>153</v>
      </c>
      <c r="AA61">
        <v>2</v>
      </c>
      <c r="AB61" t="s">
        <v>21</v>
      </c>
      <c r="AC61">
        <v>5.6230000000000002</v>
      </c>
      <c r="AD61">
        <v>1377345</v>
      </c>
      <c r="AE61" s="10">
        <f t="shared" si="3"/>
        <v>0.41959117660547368</v>
      </c>
    </row>
    <row r="62" spans="17:31" x14ac:dyDescent="0.2">
      <c r="Q62">
        <v>27877</v>
      </c>
      <c r="R62" t="s">
        <v>154</v>
      </c>
      <c r="S62">
        <v>1</v>
      </c>
      <c r="T62" t="s">
        <v>20</v>
      </c>
      <c r="U62">
        <v>5.8280000000000003</v>
      </c>
      <c r="V62">
        <v>40465</v>
      </c>
      <c r="W62" s="10">
        <f t="shared" si="2"/>
        <v>3.2299845607805605E-2</v>
      </c>
      <c r="Y62">
        <v>27877</v>
      </c>
      <c r="Z62" t="s">
        <v>154</v>
      </c>
      <c r="AA62">
        <v>2</v>
      </c>
      <c r="AB62" t="s">
        <v>21</v>
      </c>
      <c r="AC62">
        <v>5.8280000000000003</v>
      </c>
      <c r="AD62">
        <v>1897715</v>
      </c>
      <c r="AE62" s="10">
        <f t="shared" si="3"/>
        <v>0.57811548283970715</v>
      </c>
    </row>
    <row r="63" spans="17:31" x14ac:dyDescent="0.2">
      <c r="Q63">
        <v>27879</v>
      </c>
      <c r="R63" t="s">
        <v>155</v>
      </c>
      <c r="S63">
        <v>1</v>
      </c>
      <c r="T63" t="s">
        <v>20</v>
      </c>
      <c r="U63">
        <v>5.8150000000000004</v>
      </c>
      <c r="V63">
        <v>29596</v>
      </c>
      <c r="W63" s="10">
        <f t="shared" si="2"/>
        <v>2.3624026457645241E-2</v>
      </c>
      <c r="Y63">
        <v>27879</v>
      </c>
      <c r="Z63" t="s">
        <v>155</v>
      </c>
      <c r="AA63">
        <v>2</v>
      </c>
      <c r="AB63" t="s">
        <v>21</v>
      </c>
      <c r="AC63">
        <v>5.8150000000000004</v>
      </c>
      <c r="AD63">
        <v>1032993</v>
      </c>
      <c r="AE63" s="10">
        <f t="shared" si="3"/>
        <v>0.31468858441074538</v>
      </c>
    </row>
    <row r="64" spans="17:31" x14ac:dyDescent="0.2">
      <c r="Q64">
        <v>27880</v>
      </c>
      <c r="R64" t="s">
        <v>156</v>
      </c>
      <c r="S64">
        <v>1</v>
      </c>
      <c r="T64" t="s">
        <v>20</v>
      </c>
      <c r="U64">
        <v>5.718</v>
      </c>
      <c r="V64">
        <v>18484</v>
      </c>
      <c r="W64" s="10">
        <f t="shared" si="2"/>
        <v>1.4754240608295534E-2</v>
      </c>
      <c r="Y64">
        <v>27880</v>
      </c>
      <c r="Z64" t="s">
        <v>156</v>
      </c>
      <c r="AA64">
        <v>2</v>
      </c>
      <c r="AB64" t="s">
        <v>21</v>
      </c>
      <c r="AC64">
        <v>5.718</v>
      </c>
      <c r="AD64">
        <v>660912</v>
      </c>
      <c r="AE64" s="10">
        <f t="shared" si="3"/>
        <v>0.20133869416353697</v>
      </c>
    </row>
    <row r="65" spans="17:31" x14ac:dyDescent="0.2">
      <c r="Q65">
        <v>27881</v>
      </c>
      <c r="R65" t="s">
        <v>157</v>
      </c>
      <c r="S65">
        <v>1</v>
      </c>
      <c r="T65" t="s">
        <v>20</v>
      </c>
      <c r="U65">
        <v>5.7359999999999998</v>
      </c>
      <c r="V65">
        <v>67254</v>
      </c>
      <c r="W65" s="10">
        <f t="shared" si="2"/>
        <v>5.3683277313909747E-2</v>
      </c>
      <c r="Y65">
        <v>27881</v>
      </c>
      <c r="Z65" t="s">
        <v>157</v>
      </c>
      <c r="AA65">
        <v>2</v>
      </c>
      <c r="AB65" t="s">
        <v>21</v>
      </c>
      <c r="AC65">
        <v>5.7359999999999998</v>
      </c>
      <c r="AD65">
        <v>2761726</v>
      </c>
      <c r="AE65" s="10">
        <f t="shared" si="3"/>
        <v>0.84132578388270796</v>
      </c>
    </row>
    <row r="66" spans="17:31" x14ac:dyDescent="0.2">
      <c r="Q66">
        <v>27882</v>
      </c>
      <c r="R66" t="s">
        <v>158</v>
      </c>
      <c r="S66">
        <v>1</v>
      </c>
      <c r="T66" t="s">
        <v>20</v>
      </c>
      <c r="U66">
        <v>5.8380000000000001</v>
      </c>
      <c r="V66">
        <v>25123</v>
      </c>
      <c r="W66" s="10">
        <f t="shared" si="2"/>
        <v>2.0053602402196963E-2</v>
      </c>
      <c r="Y66">
        <v>27882</v>
      </c>
      <c r="Z66" t="s">
        <v>158</v>
      </c>
      <c r="AA66">
        <v>2</v>
      </c>
      <c r="AB66" t="s">
        <v>21</v>
      </c>
      <c r="AC66">
        <v>5.8380000000000001</v>
      </c>
      <c r="AD66">
        <v>999837</v>
      </c>
      <c r="AE66" s="10">
        <f t="shared" si="3"/>
        <v>0.30458801770339822</v>
      </c>
    </row>
    <row r="67" spans="17:31" x14ac:dyDescent="0.2">
      <c r="Q67">
        <v>27883</v>
      </c>
      <c r="R67" t="s">
        <v>159</v>
      </c>
      <c r="S67">
        <v>1</v>
      </c>
      <c r="T67" t="s">
        <v>20</v>
      </c>
      <c r="U67">
        <v>5.6669999999999998</v>
      </c>
      <c r="V67">
        <v>47998</v>
      </c>
      <c r="W67" s="10">
        <f t="shared" si="2"/>
        <v>3.8312813282675232E-2</v>
      </c>
      <c r="Y67">
        <v>27883</v>
      </c>
      <c r="Z67" t="s">
        <v>159</v>
      </c>
      <c r="AA67">
        <v>2</v>
      </c>
      <c r="AB67" t="s">
        <v>21</v>
      </c>
      <c r="AC67">
        <v>5.6669999999999998</v>
      </c>
      <c r="AD67">
        <v>1813269</v>
      </c>
      <c r="AE67" s="10">
        <f t="shared" si="3"/>
        <v>0.55239004985114892</v>
      </c>
    </row>
    <row r="68" spans="17:31" x14ac:dyDescent="0.2">
      <c r="Q68">
        <v>27884</v>
      </c>
      <c r="R68" t="s">
        <v>160</v>
      </c>
      <c r="S68">
        <v>1</v>
      </c>
      <c r="T68" t="s">
        <v>20</v>
      </c>
      <c r="U68">
        <v>5.72</v>
      </c>
      <c r="V68">
        <v>57953</v>
      </c>
      <c r="W68" s="10">
        <f t="shared" si="2"/>
        <v>4.6259062214485558E-2</v>
      </c>
      <c r="Y68">
        <v>27884</v>
      </c>
      <c r="Z68" t="s">
        <v>160</v>
      </c>
      <c r="AA68">
        <v>2</v>
      </c>
      <c r="AB68" t="s">
        <v>21</v>
      </c>
      <c r="AC68">
        <v>5.72</v>
      </c>
      <c r="AD68">
        <v>2657473</v>
      </c>
      <c r="AE68" s="10">
        <f t="shared" si="3"/>
        <v>0.80956639249227902</v>
      </c>
    </row>
    <row r="69" spans="17:31" x14ac:dyDescent="0.2">
      <c r="Q69">
        <v>27885</v>
      </c>
      <c r="R69" t="s">
        <v>161</v>
      </c>
      <c r="S69">
        <v>1</v>
      </c>
      <c r="T69" t="s">
        <v>20</v>
      </c>
      <c r="U69">
        <v>5.827</v>
      </c>
      <c r="V69">
        <v>18939</v>
      </c>
      <c r="W69" s="10">
        <f t="shared" si="2"/>
        <v>1.5117429283732369E-2</v>
      </c>
      <c r="Y69">
        <v>27885</v>
      </c>
      <c r="Z69" t="s">
        <v>161</v>
      </c>
      <c r="AA69">
        <v>2</v>
      </c>
      <c r="AB69" t="s">
        <v>21</v>
      </c>
      <c r="AC69">
        <v>5.827</v>
      </c>
      <c r="AD69">
        <v>641439</v>
      </c>
      <c r="AE69" s="10">
        <f t="shared" si="3"/>
        <v>0.19540648474466343</v>
      </c>
    </row>
    <row r="70" spans="17:31" x14ac:dyDescent="0.2">
      <c r="Q70">
        <v>27886</v>
      </c>
      <c r="R70" t="s">
        <v>162</v>
      </c>
      <c r="S70">
        <v>1</v>
      </c>
      <c r="T70" t="s">
        <v>20</v>
      </c>
      <c r="U70">
        <v>5.681</v>
      </c>
      <c r="V70">
        <v>23212</v>
      </c>
      <c r="W70" s="10">
        <f t="shared" ref="W70:W133" si="4">IF(NOT(ISBLANK(V70)),V70*$G$2,"")</f>
        <v>1.8528209965362256E-2</v>
      </c>
      <c r="Y70">
        <v>27886</v>
      </c>
      <c r="Z70" t="s">
        <v>162</v>
      </c>
      <c r="AA70">
        <v>2</v>
      </c>
      <c r="AB70" t="s">
        <v>21</v>
      </c>
      <c r="AC70">
        <v>5.681</v>
      </c>
      <c r="AD70">
        <v>954819</v>
      </c>
      <c r="AE70" s="10">
        <f t="shared" ref="AE70:AE133" si="5">IF(NOT(ISBLANK(AD70)),AD70*$O$2,"")</f>
        <v>0.29087383891128349</v>
      </c>
    </row>
    <row r="71" spans="17:31" x14ac:dyDescent="0.2">
      <c r="Q71">
        <v>27887</v>
      </c>
      <c r="R71" t="s">
        <v>163</v>
      </c>
      <c r="S71">
        <v>1</v>
      </c>
      <c r="T71" t="s">
        <v>20</v>
      </c>
      <c r="U71">
        <v>5.6369999999999996</v>
      </c>
      <c r="V71">
        <v>40626</v>
      </c>
      <c r="W71" s="10">
        <f t="shared" si="4"/>
        <v>3.2428358523729404E-2</v>
      </c>
      <c r="Y71">
        <v>27887</v>
      </c>
      <c r="Z71" t="s">
        <v>163</v>
      </c>
      <c r="AA71">
        <v>2</v>
      </c>
      <c r="AB71" t="s">
        <v>21</v>
      </c>
      <c r="AC71">
        <v>5.6369999999999996</v>
      </c>
      <c r="AD71">
        <v>1663232</v>
      </c>
      <c r="AE71" s="10">
        <f t="shared" si="5"/>
        <v>0.50668312721059372</v>
      </c>
    </row>
    <row r="72" spans="17:31" x14ac:dyDescent="0.2">
      <c r="Q72">
        <v>27888</v>
      </c>
      <c r="R72" t="s">
        <v>164</v>
      </c>
      <c r="S72">
        <v>1</v>
      </c>
      <c r="T72" t="s">
        <v>20</v>
      </c>
      <c r="U72">
        <v>5.8179999999999996</v>
      </c>
      <c r="V72">
        <v>21620</v>
      </c>
      <c r="W72" s="10">
        <f t="shared" si="4"/>
        <v>1.7257448709767878E-2</v>
      </c>
      <c r="Y72">
        <v>27888</v>
      </c>
      <c r="Z72" t="s">
        <v>164</v>
      </c>
      <c r="AA72">
        <v>2</v>
      </c>
      <c r="AB72" t="s">
        <v>21</v>
      </c>
      <c r="AC72">
        <v>5.8179999999999996</v>
      </c>
      <c r="AD72">
        <v>743555</v>
      </c>
      <c r="AE72" s="10">
        <f t="shared" si="5"/>
        <v>0.22651486542651478</v>
      </c>
    </row>
    <row r="73" spans="17:31" x14ac:dyDescent="0.2">
      <c r="Q73">
        <v>27890</v>
      </c>
      <c r="R73" t="s">
        <v>165</v>
      </c>
      <c r="S73">
        <v>1</v>
      </c>
      <c r="T73" t="s">
        <v>20</v>
      </c>
      <c r="U73">
        <v>5.694</v>
      </c>
      <c r="V73">
        <v>21779</v>
      </c>
      <c r="W73" s="10">
        <f t="shared" si="4"/>
        <v>1.7384365191953497E-2</v>
      </c>
      <c r="Y73">
        <v>27890</v>
      </c>
      <c r="Z73" t="s">
        <v>165</v>
      </c>
      <c r="AA73">
        <v>2</v>
      </c>
      <c r="AB73" t="s">
        <v>21</v>
      </c>
      <c r="AC73">
        <v>5.694</v>
      </c>
      <c r="AD73">
        <v>892818</v>
      </c>
      <c r="AE73" s="10">
        <f t="shared" si="5"/>
        <v>0.2719859985076693</v>
      </c>
    </row>
    <row r="74" spans="17:31" x14ac:dyDescent="0.2">
      <c r="Q74">
        <v>27891</v>
      </c>
      <c r="R74" t="s">
        <v>166</v>
      </c>
      <c r="S74">
        <v>1</v>
      </c>
      <c r="T74" t="s">
        <v>20</v>
      </c>
      <c r="U74">
        <v>5.7140000000000004</v>
      </c>
      <c r="V74">
        <v>32114</v>
      </c>
      <c r="W74" s="10">
        <f t="shared" si="4"/>
        <v>2.5633936534018759E-2</v>
      </c>
      <c r="Y74">
        <v>27891</v>
      </c>
      <c r="Z74" t="s">
        <v>166</v>
      </c>
      <c r="AA74">
        <v>2</v>
      </c>
      <c r="AB74" t="s">
        <v>21</v>
      </c>
      <c r="AC74">
        <v>5.7140000000000004</v>
      </c>
      <c r="AD74">
        <v>1375888</v>
      </c>
      <c r="AE74" s="10">
        <f t="shared" si="5"/>
        <v>0.41914731951497408</v>
      </c>
    </row>
    <row r="75" spans="17:31" x14ac:dyDescent="0.2">
      <c r="Q75">
        <v>27892</v>
      </c>
      <c r="R75" t="s">
        <v>167</v>
      </c>
      <c r="S75">
        <v>1</v>
      </c>
      <c r="T75" t="s">
        <v>20</v>
      </c>
      <c r="U75">
        <v>5.64</v>
      </c>
      <c r="V75">
        <v>26181</v>
      </c>
      <c r="W75" s="10">
        <f t="shared" si="4"/>
        <v>2.0898115849696242E-2</v>
      </c>
      <c r="Y75">
        <v>27892</v>
      </c>
      <c r="Z75" t="s">
        <v>167</v>
      </c>
      <c r="AA75">
        <v>2</v>
      </c>
      <c r="AB75" t="s">
        <v>21</v>
      </c>
      <c r="AC75">
        <v>5.64</v>
      </c>
      <c r="AD75">
        <v>1020447</v>
      </c>
      <c r="AE75" s="10">
        <f t="shared" si="5"/>
        <v>0.31086660015720519</v>
      </c>
    </row>
    <row r="76" spans="17:31" x14ac:dyDescent="0.2">
      <c r="Q76">
        <v>27893</v>
      </c>
      <c r="R76" t="s">
        <v>168</v>
      </c>
      <c r="S76">
        <v>1</v>
      </c>
      <c r="T76" t="s">
        <v>20</v>
      </c>
      <c r="U76">
        <v>5.851</v>
      </c>
      <c r="V76">
        <v>46583</v>
      </c>
      <c r="W76" s="10">
        <f t="shared" si="4"/>
        <v>3.7183336412910127E-2</v>
      </c>
      <c r="Y76">
        <v>27893</v>
      </c>
      <c r="Z76" t="s">
        <v>168</v>
      </c>
      <c r="AA76">
        <v>2</v>
      </c>
      <c r="AB76" t="s">
        <v>21</v>
      </c>
      <c r="AC76">
        <v>5.851</v>
      </c>
      <c r="AD76">
        <v>2005388</v>
      </c>
      <c r="AE76" s="10">
        <f t="shared" si="5"/>
        <v>0.61091673507399935</v>
      </c>
    </row>
    <row r="77" spans="17:31" x14ac:dyDescent="0.2">
      <c r="Q77">
        <v>27894</v>
      </c>
      <c r="R77" t="s">
        <v>169</v>
      </c>
      <c r="S77">
        <v>1</v>
      </c>
      <c r="T77" t="s">
        <v>20</v>
      </c>
      <c r="U77">
        <v>5.8979999999999997</v>
      </c>
      <c r="V77">
        <v>17081</v>
      </c>
      <c r="W77" s="10">
        <f t="shared" si="4"/>
        <v>1.3634342340959534E-2</v>
      </c>
      <c r="Y77">
        <v>27894</v>
      </c>
      <c r="Z77" t="s">
        <v>169</v>
      </c>
      <c r="AA77">
        <v>2</v>
      </c>
      <c r="AB77" t="s">
        <v>21</v>
      </c>
      <c r="AC77">
        <v>5.8979999999999997</v>
      </c>
      <c r="AD77">
        <v>676820</v>
      </c>
      <c r="AE77" s="10">
        <f t="shared" si="5"/>
        <v>0.20618487027586893</v>
      </c>
    </row>
    <row r="78" spans="17:31" x14ac:dyDescent="0.2">
      <c r="Q78">
        <v>27895</v>
      </c>
      <c r="R78" t="s">
        <v>170</v>
      </c>
      <c r="S78">
        <v>1</v>
      </c>
      <c r="T78" t="s">
        <v>20</v>
      </c>
      <c r="U78">
        <v>5.8230000000000004</v>
      </c>
      <c r="V78">
        <v>46135</v>
      </c>
      <c r="W78" s="10">
        <f t="shared" si="4"/>
        <v>3.6825735255556935E-2</v>
      </c>
      <c r="Y78">
        <v>27895</v>
      </c>
      <c r="Z78" t="s">
        <v>170</v>
      </c>
      <c r="AA78">
        <v>2</v>
      </c>
      <c r="AB78" t="s">
        <v>21</v>
      </c>
      <c r="AC78">
        <v>5.8230000000000004</v>
      </c>
      <c r="AD78">
        <v>1856023</v>
      </c>
      <c r="AE78" s="10">
        <f t="shared" si="5"/>
        <v>0.56541452895013311</v>
      </c>
    </row>
    <row r="79" spans="17:31" x14ac:dyDescent="0.2">
      <c r="Q79">
        <v>27896</v>
      </c>
      <c r="R79" t="s">
        <v>171</v>
      </c>
      <c r="S79">
        <v>1</v>
      </c>
      <c r="T79" t="s">
        <v>20</v>
      </c>
      <c r="U79">
        <v>5.6360000000000001</v>
      </c>
      <c r="V79">
        <v>12501</v>
      </c>
      <c r="W79" s="10">
        <f t="shared" si="4"/>
        <v>9.97850908051842E-3</v>
      </c>
      <c r="Y79">
        <v>27896</v>
      </c>
      <c r="Z79" t="s">
        <v>171</v>
      </c>
      <c r="AA79">
        <v>2</v>
      </c>
      <c r="AB79" t="s">
        <v>21</v>
      </c>
      <c r="AC79">
        <v>5.6360000000000001</v>
      </c>
      <c r="AD79">
        <v>441784</v>
      </c>
      <c r="AE79" s="10">
        <f t="shared" si="5"/>
        <v>0.13458405001323023</v>
      </c>
    </row>
    <row r="80" spans="17:31" x14ac:dyDescent="0.2">
      <c r="Q80">
        <v>27897</v>
      </c>
      <c r="R80" t="s">
        <v>172</v>
      </c>
      <c r="S80">
        <v>1</v>
      </c>
      <c r="T80" t="s">
        <v>20</v>
      </c>
      <c r="U80">
        <v>5.6130000000000004</v>
      </c>
      <c r="V80">
        <v>27696</v>
      </c>
      <c r="W80" s="10">
        <f t="shared" si="4"/>
        <v>2.2107414406370544E-2</v>
      </c>
      <c r="Y80">
        <v>27897</v>
      </c>
      <c r="Z80" t="s">
        <v>172</v>
      </c>
      <c r="AA80">
        <v>2</v>
      </c>
      <c r="AB80" t="s">
        <v>21</v>
      </c>
      <c r="AC80">
        <v>5.6130000000000004</v>
      </c>
      <c r="AD80">
        <v>1259033</v>
      </c>
      <c r="AE80" s="10">
        <f t="shared" si="5"/>
        <v>0.38354888416128086</v>
      </c>
    </row>
    <row r="81" spans="17:31" x14ac:dyDescent="0.2">
      <c r="Q81">
        <v>27898</v>
      </c>
      <c r="R81" t="s">
        <v>173</v>
      </c>
      <c r="S81">
        <v>1</v>
      </c>
      <c r="T81" t="s">
        <v>20</v>
      </c>
      <c r="U81">
        <v>5.7460000000000004</v>
      </c>
      <c r="V81">
        <v>44244</v>
      </c>
      <c r="W81" s="10">
        <f t="shared" si="4"/>
        <v>3.5316307156104065E-2</v>
      </c>
      <c r="Y81">
        <v>27898</v>
      </c>
      <c r="Z81" t="s">
        <v>173</v>
      </c>
      <c r="AA81">
        <v>2</v>
      </c>
      <c r="AB81" t="s">
        <v>21</v>
      </c>
      <c r="AC81">
        <v>5.7460000000000004</v>
      </c>
      <c r="AD81">
        <v>1708266</v>
      </c>
      <c r="AE81" s="10">
        <f t="shared" si="5"/>
        <v>0.52040218020548668</v>
      </c>
    </row>
    <row r="82" spans="17:31" x14ac:dyDescent="0.2">
      <c r="Q82">
        <v>27899</v>
      </c>
      <c r="R82" t="s">
        <v>174</v>
      </c>
      <c r="S82">
        <v>1</v>
      </c>
      <c r="T82" t="s">
        <v>20</v>
      </c>
      <c r="U82">
        <v>5.92</v>
      </c>
      <c r="V82">
        <v>46223</v>
      </c>
      <c r="W82" s="10">
        <f t="shared" si="4"/>
        <v>3.6895978340037029E-2</v>
      </c>
      <c r="Y82">
        <v>27899</v>
      </c>
      <c r="Z82" t="s">
        <v>174</v>
      </c>
      <c r="AA82">
        <v>2</v>
      </c>
      <c r="AB82" t="s">
        <v>21</v>
      </c>
      <c r="AC82">
        <v>5.92</v>
      </c>
      <c r="AD82">
        <v>1928608</v>
      </c>
      <c r="AE82" s="10">
        <f t="shared" si="5"/>
        <v>0.58752665449159758</v>
      </c>
    </row>
    <row r="83" spans="17:31" x14ac:dyDescent="0.2">
      <c r="Q83">
        <v>27901</v>
      </c>
      <c r="R83" t="s">
        <v>175</v>
      </c>
      <c r="S83">
        <v>1</v>
      </c>
      <c r="T83" t="s">
        <v>20</v>
      </c>
      <c r="U83">
        <v>5.8079999999999998</v>
      </c>
      <c r="V83">
        <v>20119</v>
      </c>
      <c r="W83" s="10">
        <f t="shared" si="4"/>
        <v>1.6059325189260867E-2</v>
      </c>
      <c r="Y83">
        <v>27901</v>
      </c>
      <c r="Z83" t="s">
        <v>175</v>
      </c>
      <c r="AA83">
        <v>2</v>
      </c>
      <c r="AB83" t="s">
        <v>21</v>
      </c>
      <c r="AC83">
        <v>5.8079999999999998</v>
      </c>
      <c r="AD83">
        <v>768754</v>
      </c>
      <c r="AE83" s="10">
        <f t="shared" si="5"/>
        <v>0.23419143016467503</v>
      </c>
    </row>
    <row r="84" spans="17:31" x14ac:dyDescent="0.2">
      <c r="Q84">
        <v>27902</v>
      </c>
      <c r="R84" t="s">
        <v>176</v>
      </c>
      <c r="S84">
        <v>1</v>
      </c>
      <c r="T84" t="s">
        <v>20</v>
      </c>
      <c r="U84">
        <v>5.6349999999999998</v>
      </c>
      <c r="V84">
        <v>51639</v>
      </c>
      <c r="W84" s="10">
        <f t="shared" si="4"/>
        <v>4.121912090303901E-2</v>
      </c>
      <c r="Y84">
        <v>27902</v>
      </c>
      <c r="Z84" t="s">
        <v>176</v>
      </c>
      <c r="AA84">
        <v>2</v>
      </c>
      <c r="AB84" t="s">
        <v>21</v>
      </c>
      <c r="AC84">
        <v>5.6349999999999998</v>
      </c>
      <c r="AD84">
        <v>2211471</v>
      </c>
      <c r="AE84" s="10">
        <f t="shared" si="5"/>
        <v>0.67369738077161745</v>
      </c>
    </row>
    <row r="85" spans="17:31" x14ac:dyDescent="0.2">
      <c r="Q85">
        <v>27903</v>
      </c>
      <c r="R85" t="s">
        <v>177</v>
      </c>
      <c r="S85">
        <v>1</v>
      </c>
      <c r="T85" t="s">
        <v>20</v>
      </c>
      <c r="U85">
        <v>5.6280000000000001</v>
      </c>
      <c r="V85">
        <v>32373</v>
      </c>
      <c r="W85" s="10">
        <f t="shared" si="4"/>
        <v>2.5840674703113575E-2</v>
      </c>
      <c r="Y85">
        <v>27903</v>
      </c>
      <c r="Z85" t="s">
        <v>177</v>
      </c>
      <c r="AA85">
        <v>2</v>
      </c>
      <c r="AB85" t="s">
        <v>21</v>
      </c>
      <c r="AC85">
        <v>5.6280000000000001</v>
      </c>
      <c r="AD85">
        <v>1121215</v>
      </c>
      <c r="AE85" s="10">
        <f t="shared" si="5"/>
        <v>0.3415643292549842</v>
      </c>
    </row>
    <row r="86" spans="17:31" x14ac:dyDescent="0.2">
      <c r="Q86">
        <v>27904</v>
      </c>
      <c r="R86" t="s">
        <v>178</v>
      </c>
      <c r="S86">
        <v>1</v>
      </c>
      <c r="T86" t="s">
        <v>20</v>
      </c>
      <c r="U86">
        <v>5.806</v>
      </c>
      <c r="V86">
        <v>65869</v>
      </c>
      <c r="W86" s="10">
        <f t="shared" si="4"/>
        <v>5.2577746950217406E-2</v>
      </c>
      <c r="Y86">
        <v>27904</v>
      </c>
      <c r="Z86" t="s">
        <v>178</v>
      </c>
      <c r="AA86">
        <v>2</v>
      </c>
      <c r="AB86" t="s">
        <v>21</v>
      </c>
      <c r="AC86">
        <v>5.806</v>
      </c>
      <c r="AD86">
        <v>2641195</v>
      </c>
      <c r="AE86" s="10">
        <f t="shared" si="5"/>
        <v>0.80460750044069862</v>
      </c>
    </row>
    <row r="87" spans="17:31" x14ac:dyDescent="0.2">
      <c r="Q87">
        <v>27905</v>
      </c>
      <c r="R87" t="s">
        <v>179</v>
      </c>
      <c r="S87">
        <v>1</v>
      </c>
      <c r="T87" t="s">
        <v>20</v>
      </c>
      <c r="U87">
        <v>5.8339999999999996</v>
      </c>
      <c r="V87">
        <v>13107</v>
      </c>
      <c r="W87" s="10">
        <f t="shared" si="4"/>
        <v>1.0462228503188139E-2</v>
      </c>
      <c r="Y87">
        <v>27905</v>
      </c>
      <c r="Z87" t="s">
        <v>179</v>
      </c>
      <c r="AA87">
        <v>2</v>
      </c>
      <c r="AB87" t="s">
        <v>21</v>
      </c>
      <c r="AC87">
        <v>5.8339999999999996</v>
      </c>
      <c r="AD87">
        <v>472582</v>
      </c>
      <c r="AE87" s="10">
        <f t="shared" si="5"/>
        <v>0.14396628108612436</v>
      </c>
    </row>
    <row r="88" spans="17:31" x14ac:dyDescent="0.2">
      <c r="Q88">
        <v>27906</v>
      </c>
      <c r="R88" t="s">
        <v>180</v>
      </c>
      <c r="S88">
        <v>1</v>
      </c>
      <c r="T88" t="s">
        <v>20</v>
      </c>
      <c r="U88">
        <v>5.9420000000000002</v>
      </c>
      <c r="V88">
        <v>25798</v>
      </c>
      <c r="W88" s="10">
        <f t="shared" si="4"/>
        <v>2.0592398788834027E-2</v>
      </c>
      <c r="Y88">
        <v>27906</v>
      </c>
      <c r="Z88" t="s">
        <v>180</v>
      </c>
      <c r="AA88">
        <v>2</v>
      </c>
      <c r="AB88" t="s">
        <v>21</v>
      </c>
      <c r="AC88">
        <v>5.9420000000000002</v>
      </c>
      <c r="AD88">
        <v>1036783</v>
      </c>
      <c r="AE88" s="10">
        <f t="shared" si="5"/>
        <v>0.31584316119385691</v>
      </c>
    </row>
    <row r="89" spans="17:31" x14ac:dyDescent="0.2">
      <c r="Q89">
        <v>27907</v>
      </c>
      <c r="R89" t="s">
        <v>181</v>
      </c>
      <c r="S89">
        <v>1</v>
      </c>
      <c r="T89" t="s">
        <v>20</v>
      </c>
      <c r="U89">
        <v>5.6849999999999996</v>
      </c>
      <c r="V89">
        <v>55362</v>
      </c>
      <c r="W89" s="10">
        <f t="shared" si="4"/>
        <v>4.4190882306668323E-2</v>
      </c>
      <c r="Y89">
        <v>27907</v>
      </c>
      <c r="Z89" t="s">
        <v>181</v>
      </c>
      <c r="AA89">
        <v>2</v>
      </c>
      <c r="AB89" t="s">
        <v>21</v>
      </c>
      <c r="AC89">
        <v>5.6849999999999996</v>
      </c>
      <c r="AD89">
        <v>2186299</v>
      </c>
      <c r="AE89" s="10">
        <f t="shared" si="5"/>
        <v>0.66602904125064566</v>
      </c>
    </row>
    <row r="90" spans="17:31" x14ac:dyDescent="0.2">
      <c r="Q90">
        <v>27908</v>
      </c>
      <c r="R90" t="s">
        <v>182</v>
      </c>
      <c r="S90">
        <v>1</v>
      </c>
      <c r="T90" t="s">
        <v>20</v>
      </c>
      <c r="U90">
        <v>5.76</v>
      </c>
      <c r="V90">
        <v>48751</v>
      </c>
      <c r="W90" s="10">
        <f t="shared" si="4"/>
        <v>3.891387058510147E-2</v>
      </c>
      <c r="Y90">
        <v>27908</v>
      </c>
      <c r="Z90" t="s">
        <v>182</v>
      </c>
      <c r="AA90">
        <v>2</v>
      </c>
      <c r="AB90" t="s">
        <v>21</v>
      </c>
      <c r="AC90">
        <v>5.76</v>
      </c>
      <c r="AD90">
        <v>1975512</v>
      </c>
      <c r="AE90" s="10">
        <f t="shared" si="5"/>
        <v>0.60181537993620515</v>
      </c>
    </row>
    <row r="91" spans="17:31" x14ac:dyDescent="0.2">
      <c r="Q91">
        <v>27909</v>
      </c>
      <c r="R91" t="s">
        <v>183</v>
      </c>
      <c r="S91">
        <v>1</v>
      </c>
      <c r="T91" t="s">
        <v>20</v>
      </c>
      <c r="U91">
        <v>5.6769999999999996</v>
      </c>
      <c r="V91">
        <v>29401</v>
      </c>
      <c r="W91" s="10">
        <f t="shared" si="4"/>
        <v>2.346837416817231E-2</v>
      </c>
      <c r="Y91">
        <v>27909</v>
      </c>
      <c r="Z91" t="s">
        <v>183</v>
      </c>
      <c r="AA91">
        <v>2</v>
      </c>
      <c r="AB91" t="s">
        <v>21</v>
      </c>
      <c r="AC91">
        <v>5.6769999999999996</v>
      </c>
      <c r="AD91">
        <v>1239640</v>
      </c>
      <c r="AE91" s="10">
        <f t="shared" si="5"/>
        <v>0.37764104575629881</v>
      </c>
    </row>
    <row r="92" spans="17:31" x14ac:dyDescent="0.2">
      <c r="Q92">
        <v>27910</v>
      </c>
      <c r="R92" t="s">
        <v>184</v>
      </c>
      <c r="S92">
        <v>1</v>
      </c>
      <c r="T92" t="s">
        <v>20</v>
      </c>
      <c r="U92">
        <v>5.774</v>
      </c>
      <c r="V92">
        <v>23248</v>
      </c>
      <c r="W92" s="10">
        <f t="shared" si="4"/>
        <v>1.8556945772649564E-2</v>
      </c>
      <c r="Y92">
        <v>27910</v>
      </c>
      <c r="Z92" t="s">
        <v>184</v>
      </c>
      <c r="AA92">
        <v>2</v>
      </c>
      <c r="AB92" t="s">
        <v>21</v>
      </c>
      <c r="AC92">
        <v>5.774</v>
      </c>
      <c r="AD92">
        <v>925655</v>
      </c>
      <c r="AE92" s="10">
        <f t="shared" si="5"/>
        <v>0.28198938579712401</v>
      </c>
    </row>
    <row r="93" spans="17:31" x14ac:dyDescent="0.2">
      <c r="Q93">
        <v>27912</v>
      </c>
      <c r="R93" t="s">
        <v>185</v>
      </c>
      <c r="S93">
        <v>1</v>
      </c>
      <c r="T93" t="s">
        <v>20</v>
      </c>
      <c r="U93">
        <v>5.7320000000000002</v>
      </c>
      <c r="V93">
        <v>19556</v>
      </c>
      <c r="W93" s="10">
        <f t="shared" si="4"/>
        <v>1.5609929091962099E-2</v>
      </c>
      <c r="Y93">
        <v>27912</v>
      </c>
      <c r="Z93" t="s">
        <v>185</v>
      </c>
      <c r="AA93">
        <v>2</v>
      </c>
      <c r="AB93" t="s">
        <v>21</v>
      </c>
      <c r="AC93">
        <v>5.7320000000000002</v>
      </c>
      <c r="AD93">
        <v>699889</v>
      </c>
      <c r="AE93" s="10">
        <f t="shared" si="5"/>
        <v>0.21321255676916703</v>
      </c>
    </row>
    <row r="94" spans="17:31" x14ac:dyDescent="0.2">
      <c r="Q94">
        <v>27913</v>
      </c>
      <c r="R94" t="s">
        <v>186</v>
      </c>
      <c r="S94">
        <v>1</v>
      </c>
      <c r="T94" t="s">
        <v>20</v>
      </c>
      <c r="U94">
        <v>5.6559999999999997</v>
      </c>
      <c r="V94">
        <v>40629</v>
      </c>
      <c r="W94" s="10">
        <f t="shared" si="4"/>
        <v>3.2430753174336684E-2</v>
      </c>
      <c r="Y94">
        <v>27913</v>
      </c>
      <c r="Z94" t="s">
        <v>186</v>
      </c>
      <c r="AA94">
        <v>2</v>
      </c>
      <c r="AB94" t="s">
        <v>21</v>
      </c>
      <c r="AC94">
        <v>5.6559999999999997</v>
      </c>
      <c r="AD94">
        <v>1613845</v>
      </c>
      <c r="AE94" s="10">
        <f t="shared" si="5"/>
        <v>0.49163798642232753</v>
      </c>
    </row>
    <row r="95" spans="17:31" x14ac:dyDescent="0.2">
      <c r="Q95">
        <v>27914</v>
      </c>
      <c r="R95" t="s">
        <v>187</v>
      </c>
      <c r="S95">
        <v>1</v>
      </c>
      <c r="T95" t="s">
        <v>20</v>
      </c>
      <c r="U95">
        <v>5.5949999999999998</v>
      </c>
      <c r="V95">
        <v>25176</v>
      </c>
      <c r="W95" s="10">
        <f t="shared" si="4"/>
        <v>2.0095907896258838E-2</v>
      </c>
      <c r="Y95">
        <v>27914</v>
      </c>
      <c r="Z95" t="s">
        <v>187</v>
      </c>
      <c r="AA95">
        <v>2</v>
      </c>
      <c r="AB95" t="s">
        <v>21</v>
      </c>
      <c r="AC95">
        <v>5.5949999999999998</v>
      </c>
      <c r="AD95">
        <v>846303</v>
      </c>
      <c r="AE95" s="10">
        <f t="shared" si="5"/>
        <v>0.25781577711810927</v>
      </c>
    </row>
    <row r="96" spans="17:31" x14ac:dyDescent="0.2">
      <c r="Q96">
        <v>27915</v>
      </c>
      <c r="R96" t="s">
        <v>188</v>
      </c>
      <c r="S96">
        <v>1</v>
      </c>
      <c r="T96" t="s">
        <v>20</v>
      </c>
      <c r="U96">
        <v>5.8550000000000004</v>
      </c>
      <c r="V96">
        <v>29594</v>
      </c>
      <c r="W96" s="10">
        <f t="shared" si="4"/>
        <v>2.3622430023907057E-2</v>
      </c>
      <c r="Y96">
        <v>27915</v>
      </c>
      <c r="Z96" t="s">
        <v>188</v>
      </c>
      <c r="AA96">
        <v>2</v>
      </c>
      <c r="AB96" t="s">
        <v>21</v>
      </c>
      <c r="AC96">
        <v>5.8550000000000004</v>
      </c>
      <c r="AD96">
        <v>1138206</v>
      </c>
      <c r="AE96" s="10">
        <f t="shared" si="5"/>
        <v>0.3467404279678728</v>
      </c>
    </row>
    <row r="97" spans="17:31" x14ac:dyDescent="0.2">
      <c r="Q97">
        <v>27916</v>
      </c>
      <c r="R97" t="s">
        <v>189</v>
      </c>
      <c r="S97">
        <v>1</v>
      </c>
      <c r="T97" t="s">
        <v>20</v>
      </c>
      <c r="U97">
        <v>5.77</v>
      </c>
      <c r="V97">
        <v>21959</v>
      </c>
      <c r="W97" s="10">
        <f t="shared" si="4"/>
        <v>1.7528044228390046E-2</v>
      </c>
      <c r="Y97">
        <v>27916</v>
      </c>
      <c r="Z97" t="s">
        <v>189</v>
      </c>
      <c r="AA97">
        <v>2</v>
      </c>
      <c r="AB97" t="s">
        <v>21</v>
      </c>
      <c r="AC97">
        <v>5.77</v>
      </c>
      <c r="AD97">
        <v>801523</v>
      </c>
      <c r="AE97" s="10">
        <f t="shared" si="5"/>
        <v>0.24417410209232188</v>
      </c>
    </row>
    <row r="98" spans="17:31" x14ac:dyDescent="0.2">
      <c r="Q98">
        <v>27917</v>
      </c>
      <c r="R98" t="s">
        <v>190</v>
      </c>
      <c r="S98">
        <v>1</v>
      </c>
      <c r="T98" t="s">
        <v>20</v>
      </c>
      <c r="U98">
        <v>5.9550000000000001</v>
      </c>
      <c r="V98">
        <v>45782</v>
      </c>
      <c r="W98" s="10">
        <f t="shared" si="4"/>
        <v>3.6543964700767484E-2</v>
      </c>
      <c r="Y98">
        <v>27917</v>
      </c>
      <c r="Z98" t="s">
        <v>190</v>
      </c>
      <c r="AA98">
        <v>2</v>
      </c>
      <c r="AB98" t="s">
        <v>21</v>
      </c>
      <c r="AC98">
        <v>5.9550000000000001</v>
      </c>
      <c r="AD98">
        <v>1965580</v>
      </c>
      <c r="AE98" s="10">
        <f t="shared" si="5"/>
        <v>0.59878971856157093</v>
      </c>
    </row>
    <row r="99" spans="17:31" x14ac:dyDescent="0.2">
      <c r="Q99">
        <v>27918</v>
      </c>
      <c r="R99" t="s">
        <v>191</v>
      </c>
      <c r="S99">
        <v>1</v>
      </c>
      <c r="T99" t="s">
        <v>20</v>
      </c>
      <c r="U99">
        <v>5.6680000000000001</v>
      </c>
      <c r="V99">
        <v>54231</v>
      </c>
      <c r="W99" s="10">
        <f t="shared" si="4"/>
        <v>4.3288099027725332E-2</v>
      </c>
      <c r="Y99">
        <v>27918</v>
      </c>
      <c r="Z99" t="s">
        <v>191</v>
      </c>
      <c r="AA99">
        <v>2</v>
      </c>
      <c r="AB99" t="s">
        <v>21</v>
      </c>
      <c r="AC99">
        <v>5.6680000000000001</v>
      </c>
      <c r="AD99">
        <v>2462091</v>
      </c>
      <c r="AE99" s="10">
        <f t="shared" si="5"/>
        <v>0.75004567454032745</v>
      </c>
    </row>
    <row r="100" spans="17:31" x14ac:dyDescent="0.2">
      <c r="Q100">
        <v>27919</v>
      </c>
      <c r="R100" t="s">
        <v>192</v>
      </c>
      <c r="S100">
        <v>1</v>
      </c>
      <c r="T100" t="s">
        <v>20</v>
      </c>
      <c r="U100">
        <v>5.6050000000000004</v>
      </c>
      <c r="V100">
        <v>25573</v>
      </c>
      <c r="W100" s="10">
        <f t="shared" si="4"/>
        <v>2.0412799993288339E-2</v>
      </c>
      <c r="Y100">
        <v>27919</v>
      </c>
      <c r="Z100" t="s">
        <v>192</v>
      </c>
      <c r="AA100">
        <v>2</v>
      </c>
      <c r="AB100" t="s">
        <v>21</v>
      </c>
      <c r="AC100">
        <v>5.6050000000000004</v>
      </c>
      <c r="AD100">
        <v>1049770</v>
      </c>
      <c r="AE100" s="10">
        <f t="shared" si="5"/>
        <v>0.31979949066147417</v>
      </c>
    </row>
    <row r="101" spans="17:31" x14ac:dyDescent="0.2">
      <c r="Q101">
        <v>27920</v>
      </c>
      <c r="R101" t="s">
        <v>193</v>
      </c>
      <c r="S101">
        <v>1</v>
      </c>
      <c r="T101" t="s">
        <v>20</v>
      </c>
      <c r="U101">
        <v>5.827</v>
      </c>
      <c r="V101">
        <v>32548</v>
      </c>
      <c r="W101" s="10">
        <f t="shared" si="4"/>
        <v>2.5980362655204665E-2</v>
      </c>
      <c r="Y101">
        <v>27920</v>
      </c>
      <c r="Z101" t="s">
        <v>193</v>
      </c>
      <c r="AA101">
        <v>2</v>
      </c>
      <c r="AB101" t="s">
        <v>21</v>
      </c>
      <c r="AC101">
        <v>5.827</v>
      </c>
      <c r="AD101">
        <v>1263437</v>
      </c>
      <c r="AE101" s="10">
        <f t="shared" si="5"/>
        <v>0.38489050847600992</v>
      </c>
    </row>
    <row r="102" spans="17:31" x14ac:dyDescent="0.2">
      <c r="Q102">
        <v>27921</v>
      </c>
      <c r="R102" t="s">
        <v>194</v>
      </c>
      <c r="S102">
        <v>1</v>
      </c>
      <c r="T102" t="s">
        <v>20</v>
      </c>
      <c r="U102">
        <v>5.7709999999999999</v>
      </c>
      <c r="V102">
        <v>38307</v>
      </c>
      <c r="W102" s="10">
        <f t="shared" si="4"/>
        <v>3.0577293604305184E-2</v>
      </c>
      <c r="Y102">
        <v>27921</v>
      </c>
      <c r="Z102" t="s">
        <v>194</v>
      </c>
      <c r="AA102">
        <v>2</v>
      </c>
      <c r="AB102" t="s">
        <v>21</v>
      </c>
      <c r="AC102">
        <v>5.7709999999999999</v>
      </c>
      <c r="AD102">
        <v>1464431</v>
      </c>
      <c r="AE102" s="10">
        <f t="shared" si="5"/>
        <v>0.44612085305245269</v>
      </c>
    </row>
    <row r="103" spans="17:31" x14ac:dyDescent="0.2">
      <c r="Q103">
        <v>27923</v>
      </c>
      <c r="R103" t="s">
        <v>195</v>
      </c>
      <c r="S103">
        <v>1</v>
      </c>
      <c r="T103" t="s">
        <v>20</v>
      </c>
      <c r="U103">
        <v>5.8040000000000003</v>
      </c>
      <c r="V103">
        <v>19770</v>
      </c>
      <c r="W103" s="10">
        <f t="shared" si="4"/>
        <v>1.5780747501947776E-2</v>
      </c>
      <c r="Y103">
        <v>27923</v>
      </c>
      <c r="Z103" t="s">
        <v>195</v>
      </c>
      <c r="AA103">
        <v>2</v>
      </c>
      <c r="AB103" t="s">
        <v>21</v>
      </c>
      <c r="AC103">
        <v>5.8040000000000003</v>
      </c>
      <c r="AD103">
        <v>730223</v>
      </c>
      <c r="AE103" s="10">
        <f t="shared" si="5"/>
        <v>0.22245343596149028</v>
      </c>
    </row>
    <row r="104" spans="17:31" x14ac:dyDescent="0.2">
      <c r="Q104">
        <v>27924</v>
      </c>
      <c r="R104" t="s">
        <v>196</v>
      </c>
      <c r="S104">
        <v>1</v>
      </c>
      <c r="T104" t="s">
        <v>20</v>
      </c>
      <c r="U104">
        <v>5.6890000000000001</v>
      </c>
      <c r="V104">
        <v>58756</v>
      </c>
      <c r="W104" s="10">
        <f t="shared" si="4"/>
        <v>4.6900030360366392E-2</v>
      </c>
      <c r="Y104">
        <v>27924</v>
      </c>
      <c r="Z104" t="s">
        <v>196</v>
      </c>
      <c r="AA104">
        <v>2</v>
      </c>
      <c r="AB104" t="s">
        <v>21</v>
      </c>
      <c r="AC104">
        <v>5.6890000000000001</v>
      </c>
      <c r="AD104">
        <v>2370735</v>
      </c>
      <c r="AE104" s="10">
        <f t="shared" si="5"/>
        <v>0.72221519522688771</v>
      </c>
    </row>
    <row r="105" spans="17:31" x14ac:dyDescent="0.2">
      <c r="Q105">
        <v>27925</v>
      </c>
      <c r="R105" t="s">
        <v>197</v>
      </c>
      <c r="S105">
        <v>1</v>
      </c>
      <c r="T105" t="s">
        <v>20</v>
      </c>
      <c r="U105">
        <v>5.6379999999999999</v>
      </c>
      <c r="V105">
        <v>17461</v>
      </c>
      <c r="W105" s="10">
        <f t="shared" si="4"/>
        <v>1.3937664751214473E-2</v>
      </c>
      <c r="Y105">
        <v>27925</v>
      </c>
      <c r="Z105" t="s">
        <v>197</v>
      </c>
      <c r="AA105">
        <v>2</v>
      </c>
      <c r="AB105" t="s">
        <v>21</v>
      </c>
      <c r="AC105">
        <v>5.6379999999999999</v>
      </c>
      <c r="AD105">
        <v>637665</v>
      </c>
      <c r="AE105" s="10">
        <f t="shared" si="5"/>
        <v>0.19425678216433021</v>
      </c>
    </row>
    <row r="106" spans="17:31" x14ac:dyDescent="0.2">
      <c r="Q106">
        <v>27926</v>
      </c>
      <c r="R106" t="s">
        <v>198</v>
      </c>
      <c r="S106">
        <v>1</v>
      </c>
      <c r="T106" t="s">
        <v>20</v>
      </c>
      <c r="U106">
        <v>5.7649999999999997</v>
      </c>
      <c r="V106">
        <v>22929</v>
      </c>
      <c r="W106" s="10">
        <f t="shared" si="4"/>
        <v>1.8302314591409234E-2</v>
      </c>
      <c r="Y106">
        <v>27926</v>
      </c>
      <c r="Z106" t="s">
        <v>198</v>
      </c>
      <c r="AA106">
        <v>2</v>
      </c>
      <c r="AB106" t="s">
        <v>21</v>
      </c>
      <c r="AC106">
        <v>5.7649999999999997</v>
      </c>
      <c r="AD106">
        <v>884371</v>
      </c>
      <c r="AE106" s="10">
        <f t="shared" si="5"/>
        <v>0.26941272407839673</v>
      </c>
    </row>
    <row r="107" spans="17:31" x14ac:dyDescent="0.2">
      <c r="Q107">
        <v>27927</v>
      </c>
      <c r="R107" t="s">
        <v>102</v>
      </c>
      <c r="S107">
        <v>1</v>
      </c>
      <c r="T107" t="s">
        <v>20</v>
      </c>
      <c r="V107">
        <v>25550</v>
      </c>
      <c r="W107" s="10">
        <f t="shared" si="4"/>
        <v>2.0394441005299226E-2</v>
      </c>
      <c r="Y107">
        <v>27927</v>
      </c>
      <c r="Z107" t="s">
        <v>102</v>
      </c>
      <c r="AA107">
        <v>2</v>
      </c>
      <c r="AB107" t="s">
        <v>21</v>
      </c>
      <c r="AD107">
        <v>1055720</v>
      </c>
      <c r="AE107" s="10">
        <f t="shared" si="5"/>
        <v>0.32161208481965714</v>
      </c>
    </row>
    <row r="108" spans="17:31" x14ac:dyDescent="0.2">
      <c r="W108" s="10" t="str">
        <f t="shared" si="4"/>
        <v/>
      </c>
      <c r="AE108" s="10" t="str">
        <f t="shared" si="5"/>
        <v/>
      </c>
    </row>
    <row r="109" spans="17:31" x14ac:dyDescent="0.2">
      <c r="W109" s="10" t="str">
        <f t="shared" si="4"/>
        <v/>
      </c>
      <c r="AE109" s="10" t="str">
        <f t="shared" si="5"/>
        <v/>
      </c>
    </row>
    <row r="110" spans="17:31" x14ac:dyDescent="0.2">
      <c r="W110" s="10" t="str">
        <f t="shared" si="4"/>
        <v/>
      </c>
      <c r="AE110" s="10" t="str">
        <f t="shared" si="5"/>
        <v/>
      </c>
    </row>
    <row r="111" spans="17:31" x14ac:dyDescent="0.2">
      <c r="W111" s="10" t="str">
        <f t="shared" si="4"/>
        <v/>
      </c>
      <c r="AE111" s="10" t="str">
        <f t="shared" si="5"/>
        <v/>
      </c>
    </row>
    <row r="112" spans="17:31" x14ac:dyDescent="0.2">
      <c r="W112" s="10" t="str">
        <f t="shared" si="4"/>
        <v/>
      </c>
      <c r="AE112" s="10" t="str">
        <f t="shared" si="5"/>
        <v/>
      </c>
    </row>
    <row r="113" spans="23:31" x14ac:dyDescent="0.2">
      <c r="W113" s="10" t="str">
        <f t="shared" si="4"/>
        <v/>
      </c>
      <c r="AE113" s="10" t="str">
        <f t="shared" si="5"/>
        <v/>
      </c>
    </row>
    <row r="114" spans="23:31" x14ac:dyDescent="0.2">
      <c r="W114" s="10" t="str">
        <f t="shared" si="4"/>
        <v/>
      </c>
      <c r="AE114" s="10" t="str">
        <f t="shared" si="5"/>
        <v/>
      </c>
    </row>
    <row r="115" spans="23:31" x14ac:dyDescent="0.2">
      <c r="W115" s="10" t="str">
        <f t="shared" si="4"/>
        <v/>
      </c>
      <c r="AE115" s="10" t="str">
        <f t="shared" si="5"/>
        <v/>
      </c>
    </row>
    <row r="116" spans="23:31" x14ac:dyDescent="0.2">
      <c r="W116" s="10" t="str">
        <f t="shared" si="4"/>
        <v/>
      </c>
      <c r="AE116" s="10" t="str">
        <f t="shared" si="5"/>
        <v/>
      </c>
    </row>
    <row r="117" spans="23:31" x14ac:dyDescent="0.2">
      <c r="W117" s="10" t="str">
        <f t="shared" si="4"/>
        <v/>
      </c>
      <c r="AE117" s="10" t="str">
        <f t="shared" si="5"/>
        <v/>
      </c>
    </row>
    <row r="118" spans="23:31" x14ac:dyDescent="0.2">
      <c r="W118" s="10" t="str">
        <f t="shared" si="4"/>
        <v/>
      </c>
      <c r="AE118" s="10" t="str">
        <f t="shared" si="5"/>
        <v/>
      </c>
    </row>
    <row r="119" spans="23:31" x14ac:dyDescent="0.2">
      <c r="W119" s="10" t="str">
        <f t="shared" si="4"/>
        <v/>
      </c>
      <c r="AE119" s="10" t="str">
        <f t="shared" si="5"/>
        <v/>
      </c>
    </row>
    <row r="120" spans="23:31" x14ac:dyDescent="0.2">
      <c r="W120" s="10" t="str">
        <f t="shared" si="4"/>
        <v/>
      </c>
      <c r="AE120" s="10" t="str">
        <f t="shared" si="5"/>
        <v/>
      </c>
    </row>
    <row r="121" spans="23:31" x14ac:dyDescent="0.2">
      <c r="W121" s="10" t="str">
        <f t="shared" si="4"/>
        <v/>
      </c>
      <c r="AE121" s="10" t="str">
        <f t="shared" si="5"/>
        <v/>
      </c>
    </row>
    <row r="122" spans="23:31" x14ac:dyDescent="0.2">
      <c r="W122" s="10" t="str">
        <f t="shared" si="4"/>
        <v/>
      </c>
      <c r="AE122" s="10" t="str">
        <f t="shared" si="5"/>
        <v/>
      </c>
    </row>
    <row r="123" spans="23:31" x14ac:dyDescent="0.2">
      <c r="W123" s="10" t="str">
        <f t="shared" si="4"/>
        <v/>
      </c>
      <c r="AE123" s="10" t="str">
        <f t="shared" si="5"/>
        <v/>
      </c>
    </row>
    <row r="124" spans="23:31" x14ac:dyDescent="0.2">
      <c r="W124" s="10" t="str">
        <f t="shared" si="4"/>
        <v/>
      </c>
      <c r="AE124" s="10" t="str">
        <f t="shared" si="5"/>
        <v/>
      </c>
    </row>
    <row r="125" spans="23:31" x14ac:dyDescent="0.2">
      <c r="W125" s="10" t="str">
        <f t="shared" si="4"/>
        <v/>
      </c>
      <c r="AE125" s="10" t="str">
        <f t="shared" si="5"/>
        <v/>
      </c>
    </row>
    <row r="126" spans="23:31" x14ac:dyDescent="0.2">
      <c r="W126" s="10" t="str">
        <f t="shared" si="4"/>
        <v/>
      </c>
      <c r="AE126" s="10" t="str">
        <f t="shared" si="5"/>
        <v/>
      </c>
    </row>
    <row r="127" spans="23:31" x14ac:dyDescent="0.2">
      <c r="W127" s="10" t="str">
        <f t="shared" si="4"/>
        <v/>
      </c>
      <c r="AE127" s="10" t="str">
        <f t="shared" si="5"/>
        <v/>
      </c>
    </row>
    <row r="128" spans="23:31" x14ac:dyDescent="0.2">
      <c r="W128" s="10" t="str">
        <f t="shared" si="4"/>
        <v/>
      </c>
      <c r="AE128" s="10" t="str">
        <f t="shared" si="5"/>
        <v/>
      </c>
    </row>
    <row r="129" spans="23:31" x14ac:dyDescent="0.2">
      <c r="W129" s="10" t="str">
        <f t="shared" si="4"/>
        <v/>
      </c>
      <c r="AE129" s="10" t="str">
        <f t="shared" si="5"/>
        <v/>
      </c>
    </row>
    <row r="130" spans="23:31" x14ac:dyDescent="0.2">
      <c r="W130" s="10" t="str">
        <f t="shared" si="4"/>
        <v/>
      </c>
      <c r="AE130" s="10" t="str">
        <f t="shared" si="5"/>
        <v/>
      </c>
    </row>
    <row r="131" spans="23:31" x14ac:dyDescent="0.2">
      <c r="W131" s="10" t="str">
        <f t="shared" si="4"/>
        <v/>
      </c>
      <c r="AE131" s="10" t="str">
        <f t="shared" si="5"/>
        <v/>
      </c>
    </row>
    <row r="132" spans="23:31" x14ac:dyDescent="0.2">
      <c r="W132" s="10" t="str">
        <f t="shared" si="4"/>
        <v/>
      </c>
      <c r="AE132" s="10" t="str">
        <f t="shared" si="5"/>
        <v/>
      </c>
    </row>
    <row r="133" spans="23:31" x14ac:dyDescent="0.2">
      <c r="W133" s="10" t="str">
        <f t="shared" si="4"/>
        <v/>
      </c>
      <c r="AE133" s="10" t="str">
        <f t="shared" si="5"/>
        <v/>
      </c>
    </row>
    <row r="134" spans="23:31" x14ac:dyDescent="0.2">
      <c r="W134" s="10" t="str">
        <f t="shared" ref="W134:W140" si="6">IF(NOT(ISBLANK(V134)),V134*$G$2,"")</f>
        <v/>
      </c>
      <c r="AE134" s="10" t="str">
        <f t="shared" ref="AE134:AE140" si="7">IF(NOT(ISBLANK(AD134)),AD134*$O$2,"")</f>
        <v/>
      </c>
    </row>
    <row r="135" spans="23:31" x14ac:dyDescent="0.2">
      <c r="W135" s="10" t="str">
        <f t="shared" si="6"/>
        <v/>
      </c>
      <c r="AE135" s="10" t="str">
        <f t="shared" si="7"/>
        <v/>
      </c>
    </row>
    <row r="136" spans="23:31" x14ac:dyDescent="0.2">
      <c r="W136" s="10" t="str">
        <f t="shared" si="6"/>
        <v/>
      </c>
      <c r="AE136" s="10" t="str">
        <f t="shared" si="7"/>
        <v/>
      </c>
    </row>
    <row r="137" spans="23:31" x14ac:dyDescent="0.2">
      <c r="W137" s="10" t="str">
        <f t="shared" si="6"/>
        <v/>
      </c>
      <c r="AE137" s="10" t="str">
        <f t="shared" si="7"/>
        <v/>
      </c>
    </row>
    <row r="138" spans="23:31" x14ac:dyDescent="0.2">
      <c r="W138" s="10" t="str">
        <f t="shared" si="6"/>
        <v/>
      </c>
      <c r="AE138" s="10" t="str">
        <f t="shared" si="7"/>
        <v/>
      </c>
    </row>
    <row r="139" spans="23:31" x14ac:dyDescent="0.2">
      <c r="W139" s="10" t="str">
        <f t="shared" si="6"/>
        <v/>
      </c>
      <c r="AE139" s="10" t="str">
        <f t="shared" si="7"/>
        <v/>
      </c>
    </row>
    <row r="140" spans="23:31" x14ac:dyDescent="0.2">
      <c r="W140" s="10" t="str">
        <f t="shared" si="6"/>
        <v/>
      </c>
      <c r="AE140" s="10" t="str">
        <f t="shared" si="7"/>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autoFill="0" autoPict="0" macro="[0]!mgN_calib">
                <anchor moveWithCells="1" sizeWithCells="1">
                  <from>
                    <xdr:col>0</xdr:col>
                    <xdr:colOff>12700</xdr:colOff>
                    <xdr:row>0</xdr:row>
                    <xdr:rowOff>25400</xdr:rowOff>
                  </from>
                  <to>
                    <xdr:col>0</xdr:col>
                    <xdr:colOff>1168400</xdr:colOff>
                    <xdr:row>3</xdr:row>
                    <xdr:rowOff>190500</xdr:rowOff>
                  </to>
                </anchor>
              </controlPr>
            </control>
          </mc:Choice>
        </mc:AlternateContent>
        <mc:AlternateContent xmlns:mc="http://schemas.openxmlformats.org/markup-compatibility/2006">
          <mc:Choice Requires="x14">
            <control shapeId="2057" r:id="rId5" name="Button 9">
              <controlPr defaultSize="0" autoFill="0" autoPict="0" macro="[0]!mgN_samples">
                <anchor moveWithCells="1" sizeWithCells="1">
                  <from>
                    <xdr:col>17</xdr:col>
                    <xdr:colOff>12700</xdr:colOff>
                    <xdr:row>0</xdr:row>
                    <xdr:rowOff>190500</xdr:rowOff>
                  </from>
                  <to>
                    <xdr:col>18</xdr:col>
                    <xdr:colOff>863600</xdr:colOff>
                    <xdr:row>3</xdr:row>
                    <xdr:rowOff>38100</xdr:rowOff>
                  </to>
                </anchor>
              </controlPr>
            </control>
          </mc:Choice>
        </mc:AlternateContent>
        <mc:AlternateContent xmlns:mc="http://schemas.openxmlformats.org/markup-compatibility/2006">
          <mc:Choice Requires="x14">
            <control shapeId="2058" r:id="rId6" name="Button 10">
              <controlPr defaultSize="0" autoFill="0" autoPict="0" macro="[0]!mgC_calib">
                <anchor moveWithCells="1" sizeWithCells="1">
                  <from>
                    <xdr:col>7</xdr:col>
                    <xdr:colOff>25400</xdr:colOff>
                    <xdr:row>0</xdr:row>
                    <xdr:rowOff>12700</xdr:rowOff>
                  </from>
                  <to>
                    <xdr:col>7</xdr:col>
                    <xdr:colOff>1054100</xdr:colOff>
                    <xdr:row>3</xdr:row>
                    <xdr:rowOff>177800</xdr:rowOff>
                  </to>
                </anchor>
              </controlPr>
            </control>
          </mc:Choice>
        </mc:AlternateContent>
        <mc:AlternateContent xmlns:mc="http://schemas.openxmlformats.org/markup-compatibility/2006">
          <mc:Choice Requires="x14">
            <control shapeId="2059" r:id="rId7" name="Button 11">
              <controlPr defaultSize="0" autoFill="0" autoPict="0" macro="[0]!mgC_samples">
                <anchor moveWithCells="1" sizeWithCells="1">
                  <from>
                    <xdr:col>25</xdr:col>
                    <xdr:colOff>12700</xdr:colOff>
                    <xdr:row>1</xdr:row>
                    <xdr:rowOff>0</xdr:rowOff>
                  </from>
                  <to>
                    <xdr:col>26</xdr:col>
                    <xdr:colOff>711200</xdr:colOff>
                    <xdr:row>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errorStyle="warning" showInputMessage="1" showErrorMessage="1" errorTitle="You must choose a standard" promptTitle="Reference" prompt="Select" xr:uid="{00000000-0002-0000-0300-000000000000}">
          <x14:formula1>
            <xm:f>References!$A$2:$A$6</xm:f>
          </x14:formula1>
          <xm:sqref>B3 J3</xm:sqref>
        </x14:dataValidation>
        <x14:dataValidation type="list" errorStyle="warning" showInputMessage="1" showErrorMessage="1" errorTitle="You must choose a standard" promptTitle="Reference" prompt="Select" xr:uid="{00000000-0002-0000-0300-000001000000}">
          <x14:formula1>
            <xm:f>'/Users/nelson/Google Drive/Lab/User Sample Lists/Bulk - d18O/LDH_microbialDNA/C:\Users\LABMAN\Google Drive\Lab\Data processing\Bulk 13C &amp; 15N\2018\181123-CN-Alnus2\[181123-CN-EH-Alnus2.xlsm]References'!#REF!</xm:f>
          </x14:formula1>
          <xm:sqref>J6:J15 B6:B15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A311"/>
  <sheetViews>
    <sheetView topLeftCell="BF1" zoomScale="60" zoomScaleNormal="60" workbookViewId="0">
      <pane ySplit="1" topLeftCell="A2" activePane="bottomLeft" state="frozen"/>
      <selection activeCell="W1" sqref="W1"/>
      <selection pane="bottomLeft" activeCell="BJ14" sqref="BJ14"/>
    </sheetView>
  </sheetViews>
  <sheetFormatPr baseColWidth="10" defaultColWidth="11" defaultRowHeight="16" x14ac:dyDescent="0.2"/>
  <cols>
    <col min="1" max="1" width="19.6640625" bestFit="1" customWidth="1"/>
    <col min="2" max="2" width="11.33203125" bestFit="1" customWidth="1"/>
    <col min="3" max="3" width="6.6640625" bestFit="1" customWidth="1"/>
    <col min="4" max="4" width="14.33203125" customWidth="1"/>
    <col min="5" max="5" width="14.1640625" bestFit="1" customWidth="1"/>
    <col min="6" max="6" width="10.5" bestFit="1" customWidth="1"/>
    <col min="7" max="7" width="11.6640625" bestFit="1" customWidth="1"/>
    <col min="8" max="8" width="7.6640625" bestFit="1" customWidth="1"/>
    <col min="9" max="9" width="19.83203125" bestFit="1" customWidth="1"/>
    <col min="10" max="11" width="10.5" bestFit="1" customWidth="1"/>
    <col min="12" max="14" width="11.6640625" bestFit="1" customWidth="1"/>
    <col min="15" max="18" width="10.6640625" bestFit="1" customWidth="1"/>
    <col min="19" max="19" width="8.1640625" bestFit="1" customWidth="1"/>
    <col min="20" max="20" width="17" bestFit="1" customWidth="1"/>
    <col min="21" max="21" width="13" bestFit="1" customWidth="1"/>
    <col min="22" max="22" width="10" bestFit="1" customWidth="1"/>
    <col min="23" max="23" width="21" bestFit="1" customWidth="1"/>
    <col min="24" max="24" width="30.5" style="3" bestFit="1" customWidth="1"/>
    <col min="25" max="25" width="28.5" style="3" bestFit="1" customWidth="1"/>
    <col min="27" max="27" width="12.6640625" bestFit="1" customWidth="1"/>
    <col min="28" max="29" width="7.6640625" bestFit="1" customWidth="1"/>
    <col min="30" max="31" width="10" bestFit="1" customWidth="1"/>
    <col min="32" max="32" width="13.1640625" bestFit="1" customWidth="1"/>
    <col min="33" max="33" width="6.1640625" bestFit="1" customWidth="1"/>
    <col min="34" max="35" width="12.6640625" bestFit="1" customWidth="1"/>
    <col min="36" max="36" width="12.6640625" customWidth="1"/>
    <col min="37" max="40" width="11.6640625" customWidth="1"/>
    <col min="41" max="41" width="10" bestFit="1" customWidth="1"/>
    <col min="42" max="42" width="18.33203125" bestFit="1" customWidth="1"/>
    <col min="43" max="43" width="13.1640625" bestFit="1" customWidth="1"/>
    <col min="44" max="44" width="12.1640625" bestFit="1" customWidth="1"/>
    <col min="45" max="45" width="14.1640625" bestFit="1" customWidth="1"/>
    <col min="46" max="47" width="12.1640625" bestFit="1" customWidth="1"/>
    <col min="49" max="53" width="12" customWidth="1"/>
    <col min="54" max="54" width="22" customWidth="1"/>
    <col min="55" max="55" width="23.1640625" bestFit="1" customWidth="1"/>
    <col min="57" max="57" width="16.1640625" bestFit="1" customWidth="1"/>
    <col min="62" max="62" width="10.5" bestFit="1" customWidth="1"/>
    <col min="63" max="63" width="9.1640625" bestFit="1" customWidth="1"/>
    <col min="64" max="64" width="19.6640625" bestFit="1" customWidth="1"/>
    <col min="65" max="65" width="9.1640625" bestFit="1" customWidth="1"/>
    <col min="66" max="66" width="10.1640625" bestFit="1" customWidth="1"/>
    <col min="67" max="67" width="7.6640625" bestFit="1" customWidth="1"/>
    <col min="68" max="68" width="10.1640625" bestFit="1" customWidth="1"/>
    <col min="69" max="69" width="18.6640625" bestFit="1" customWidth="1"/>
    <col min="70" max="70" width="20.5" customWidth="1"/>
    <col min="71" max="72" width="17.1640625" customWidth="1"/>
    <col min="73" max="73" width="14.33203125" bestFit="1" customWidth="1"/>
    <col min="74" max="74" width="14.33203125" customWidth="1"/>
    <col min="75" max="75" width="13.83203125" bestFit="1" customWidth="1"/>
    <col min="76" max="76" width="15.5" bestFit="1" customWidth="1"/>
    <col min="77" max="77" width="24.1640625" bestFit="1" customWidth="1"/>
    <col min="78" max="78" width="21.83203125" customWidth="1"/>
    <col min="79" max="79" width="20.6640625" bestFit="1" customWidth="1"/>
    <col min="80" max="80" width="11" customWidth="1"/>
  </cols>
  <sheetData>
    <row r="1" spans="1:79" s="9" customFormat="1" ht="31.5" customHeight="1" x14ac:dyDescent="0.2">
      <c r="A1" s="54" t="s">
        <v>39</v>
      </c>
      <c r="B1" s="54" t="s">
        <v>40</v>
      </c>
      <c r="C1" s="54" t="s">
        <v>0</v>
      </c>
      <c r="D1" s="54" t="s">
        <v>1</v>
      </c>
      <c r="E1" s="54" t="s">
        <v>41</v>
      </c>
      <c r="F1" s="54" t="s">
        <v>2</v>
      </c>
      <c r="G1" s="54" t="s">
        <v>47</v>
      </c>
      <c r="H1" s="54" t="s">
        <v>3</v>
      </c>
      <c r="I1" s="54" t="s">
        <v>4</v>
      </c>
      <c r="J1" s="54" t="s">
        <v>93</v>
      </c>
      <c r="K1" s="54" t="s">
        <v>94</v>
      </c>
      <c r="L1" s="54" t="s">
        <v>48</v>
      </c>
      <c r="M1" s="54" t="s">
        <v>49</v>
      </c>
      <c r="N1" s="54" t="s">
        <v>50</v>
      </c>
      <c r="O1" s="54" t="s">
        <v>5</v>
      </c>
      <c r="P1" s="54" t="s">
        <v>30</v>
      </c>
      <c r="Q1" s="54" t="s">
        <v>31</v>
      </c>
      <c r="R1" s="54" t="s">
        <v>36</v>
      </c>
      <c r="S1" s="54" t="s">
        <v>9</v>
      </c>
      <c r="T1" s="54" t="s">
        <v>37</v>
      </c>
      <c r="U1" s="54" t="s">
        <v>32</v>
      </c>
      <c r="V1" s="40"/>
      <c r="W1" s="41" t="s">
        <v>35</v>
      </c>
      <c r="X1" s="38" t="s">
        <v>79</v>
      </c>
      <c r="Y1" s="39" t="s">
        <v>77</v>
      </c>
      <c r="AA1" s="40" t="s">
        <v>1</v>
      </c>
      <c r="AB1" s="9" t="s">
        <v>40</v>
      </c>
      <c r="AC1" s="9" t="s">
        <v>40</v>
      </c>
      <c r="AD1" s="9" t="s">
        <v>1</v>
      </c>
      <c r="AE1" s="40" t="s">
        <v>32</v>
      </c>
      <c r="AF1" s="40"/>
      <c r="AG1" s="42"/>
      <c r="AH1" s="42"/>
      <c r="AK1" s="40" t="s">
        <v>1</v>
      </c>
      <c r="AL1" s="9" t="s">
        <v>40</v>
      </c>
      <c r="AM1" s="9" t="s">
        <v>40</v>
      </c>
      <c r="AN1" s="40" t="s">
        <v>1</v>
      </c>
      <c r="AO1" s="9" t="s">
        <v>32</v>
      </c>
      <c r="AP1" s="42" t="s">
        <v>35</v>
      </c>
      <c r="AQ1" s="42" t="s">
        <v>33</v>
      </c>
      <c r="AR1" s="42" t="s">
        <v>28</v>
      </c>
      <c r="AS1" s="42" t="s">
        <v>54</v>
      </c>
      <c r="AT1" s="9">
        <f>SLOPE(AR2:AR19,AO2:AO19)</f>
        <v>3.8998223647467353E-3</v>
      </c>
      <c r="AU1" s="9">
        <f>INTERCEPT(AR2:AR19,AO2:AO19)</f>
        <v>0.56018198344124293</v>
      </c>
      <c r="AW1" s="40" t="s">
        <v>1</v>
      </c>
      <c r="AX1" s="40" t="s">
        <v>41</v>
      </c>
      <c r="AY1" s="9" t="s">
        <v>40</v>
      </c>
      <c r="AZ1" s="9" t="s">
        <v>40</v>
      </c>
      <c r="BA1" s="40" t="s">
        <v>1</v>
      </c>
      <c r="BB1" s="38" t="s">
        <v>79</v>
      </c>
      <c r="BC1" s="39" t="s">
        <v>77</v>
      </c>
      <c r="BE1" s="43" t="s">
        <v>86</v>
      </c>
      <c r="BF1" s="44">
        <f>_xlfn.STDEV.S(BB2:BB4)</f>
        <v>9.4620198817420061E-3</v>
      </c>
      <c r="BJ1" s="40" t="s">
        <v>1</v>
      </c>
      <c r="BK1" s="9" t="s">
        <v>40</v>
      </c>
      <c r="BL1" s="9" t="s">
        <v>18</v>
      </c>
      <c r="BM1" s="9" t="s">
        <v>40</v>
      </c>
      <c r="BN1" s="40" t="s">
        <v>1</v>
      </c>
      <c r="BO1" s="9" t="s">
        <v>5</v>
      </c>
      <c r="BP1" s="9" t="s">
        <v>32</v>
      </c>
      <c r="BQ1" s="9" t="s">
        <v>35</v>
      </c>
      <c r="BR1" s="38" t="s">
        <v>79</v>
      </c>
      <c r="BS1" s="39" t="s">
        <v>77</v>
      </c>
      <c r="BT1" s="9" t="s">
        <v>40</v>
      </c>
      <c r="BU1" s="9" t="s">
        <v>19</v>
      </c>
      <c r="BV1" s="9" t="s">
        <v>95</v>
      </c>
      <c r="BW1" s="42" t="s">
        <v>33</v>
      </c>
      <c r="BX1" s="9" t="s">
        <v>70</v>
      </c>
      <c r="BY1" s="9" t="s">
        <v>71</v>
      </c>
      <c r="BZ1" s="9" t="s">
        <v>87</v>
      </c>
      <c r="CA1" s="9" t="s">
        <v>88</v>
      </c>
    </row>
    <row r="2" spans="1:79" x14ac:dyDescent="0.2">
      <c r="A2" s="13">
        <v>44251.747349537036</v>
      </c>
      <c r="B2">
        <v>27808</v>
      </c>
      <c r="C2">
        <v>1</v>
      </c>
      <c r="D2" t="s">
        <v>100</v>
      </c>
      <c r="G2">
        <v>4</v>
      </c>
      <c r="H2">
        <v>231.2</v>
      </c>
      <c r="I2">
        <v>0</v>
      </c>
      <c r="J2">
        <v>25.6</v>
      </c>
      <c r="K2">
        <v>20.8</v>
      </c>
      <c r="L2">
        <v>1918</v>
      </c>
      <c r="M2">
        <v>1433</v>
      </c>
      <c r="N2">
        <v>218</v>
      </c>
      <c r="O2">
        <v>43.767000000000003</v>
      </c>
      <c r="P2">
        <v>43.442999999999998</v>
      </c>
      <c r="Q2">
        <v>0.32400000000000001</v>
      </c>
      <c r="R2">
        <v>1.9E-2</v>
      </c>
      <c r="T2">
        <v>0.36981900000000001</v>
      </c>
      <c r="U2">
        <v>9.1660000000000004</v>
      </c>
      <c r="V2" s="6" t="str">
        <f>IF(NOT(ISBLANK(S2)),S2-(A2*$AH$1+$AI$1),"")</f>
        <v/>
      </c>
      <c r="W2" s="5">
        <f>IF(NOT(ISBLANK(U2)),U2-C2*$AA$3,"")</f>
        <v>9.1659868575230004</v>
      </c>
      <c r="X2" s="11">
        <f>IF(ISNUMBER(U2),(U2+1000)/((U2*$AT$1+$AU$1)/1000+1)-1000,"")</f>
        <v>8.5649681425246627</v>
      </c>
      <c r="Y2" s="11">
        <f>IF(ISNUMBER(W2),(W2+1000)/((W2*$AT$2+$AU$2)/1000+1)-1000,"")</f>
        <v>8.565825422807734</v>
      </c>
      <c r="AA2" t="s">
        <v>12</v>
      </c>
      <c r="AB2" t="str">
        <f>"&gt;=0"</f>
        <v>&gt;=0</v>
      </c>
      <c r="AC2">
        <v>27812</v>
      </c>
      <c r="AD2" t="s">
        <v>12</v>
      </c>
      <c r="AE2">
        <v>-1.294</v>
      </c>
      <c r="AK2" t="s">
        <v>14</v>
      </c>
      <c r="AL2" t="str">
        <f t="shared" ref="AL2:AL3" si="0">"&gt;=0"</f>
        <v>&gt;=0</v>
      </c>
      <c r="AM2">
        <v>27812</v>
      </c>
      <c r="AN2" t="s">
        <v>12</v>
      </c>
      <c r="AO2">
        <v>-1.294</v>
      </c>
      <c r="AP2" s="5">
        <v>-1.2940657123849986</v>
      </c>
      <c r="AQ2" s="2">
        <f>IF(ISBLANK(AN2),"",VLOOKUP(AN2,refs[#All],3,FALSE))</f>
        <v>-1.8</v>
      </c>
      <c r="AR2" s="2">
        <f>IF(ISBLANK(AN2),"",((AO2+1000)/(AQ2+1000)-1)*1000)</f>
        <v>0.50691244239620126</v>
      </c>
      <c r="AS2" s="2">
        <f>IF(ISBLANK(AN2),"",((AP2+1000)/(AQ2+1000)-1)*1000)</f>
        <v>0.50684661151567667</v>
      </c>
      <c r="AT2">
        <f>SLOPE(AS2:AS19,AP2:AP19)</f>
        <v>3.9045377260790051E-3</v>
      </c>
      <c r="AU2">
        <f>INTERCEPT(AS2:AS19,AP2:AP19)</f>
        <v>0.55927527702217883</v>
      </c>
      <c r="AW2" t="s">
        <v>11</v>
      </c>
      <c r="AX2" t="s">
        <v>57</v>
      </c>
      <c r="AY2" t="str">
        <f>"&gt;"&amp;MAX('Elemental analysis'!A6:A9)-100</f>
        <v>&gt;20514</v>
      </c>
      <c r="AZ2">
        <v>27813</v>
      </c>
      <c r="BA2" t="s">
        <v>11</v>
      </c>
      <c r="BB2" s="11">
        <v>-0.2900760333669723</v>
      </c>
      <c r="BC2" s="11">
        <v>-0.28924987743596375</v>
      </c>
      <c r="BE2" s="36" t="s">
        <v>29</v>
      </c>
      <c r="BF2" s="45">
        <f>_xlfn.STDEV.S(BC2:BC4)</f>
        <v>9.1195229426539546E-3</v>
      </c>
      <c r="BJ2" t="s">
        <v>12</v>
      </c>
      <c r="BK2" t="str">
        <f>"&gt;=0"</f>
        <v>&gt;=0</v>
      </c>
      <c r="BL2" t="s">
        <v>20</v>
      </c>
      <c r="BM2">
        <v>27812</v>
      </c>
      <c r="BN2" t="s">
        <v>12</v>
      </c>
      <c r="BO2">
        <v>74.903000000000006</v>
      </c>
      <c r="BP2">
        <v>-1.294</v>
      </c>
      <c r="BQ2" s="5">
        <v>-1.2940657123849986</v>
      </c>
      <c r="BR2" s="11">
        <v>-1.8481096618107813</v>
      </c>
      <c r="BS2" s="11">
        <v>-1.8472644653930956</v>
      </c>
      <c r="BT2">
        <v>27812</v>
      </c>
      <c r="BU2">
        <v>272488</v>
      </c>
      <c r="BV2" t="b">
        <f>BM2=BT2</f>
        <v>1</v>
      </c>
      <c r="BW2" s="2">
        <f>IF(ISBLANK(BN2),"",VLOOKUP(BN2,refs[#All],3,FALSE))</f>
        <v>-1.8</v>
      </c>
      <c r="BX2" s="2">
        <f>IF(ISBLANK($BN2),"",((BP2+1000)/($BW2+1000)-1)*1000)</f>
        <v>0.50691244239620126</v>
      </c>
      <c r="BY2" s="2">
        <f>IF(ISBLANK($BN2),"",((BQ2+1000)/($BW2+1000)-1)*1000)</f>
        <v>0.50684661151567667</v>
      </c>
      <c r="BZ2" s="2">
        <f>IF(ISBLANK($BN2),"",((BR2+1000)/($BW2+1000)-1)*1000)</f>
        <v>-4.819641535847019E-2</v>
      </c>
      <c r="CA2" s="2">
        <f>IF(ISBLANK($BN2),"",((BS2+1000)/($BW2+1000)-1)*1000)</f>
        <v>-4.7349694843878964E-2</v>
      </c>
    </row>
    <row r="3" spans="1:79" x14ac:dyDescent="0.2">
      <c r="A3" s="13">
        <v>44251.754675925928</v>
      </c>
      <c r="B3">
        <v>27809</v>
      </c>
      <c r="C3">
        <v>2</v>
      </c>
      <c r="D3" t="s">
        <v>100</v>
      </c>
      <c r="G3">
        <v>4</v>
      </c>
      <c r="H3">
        <v>231.2</v>
      </c>
      <c r="I3">
        <v>0</v>
      </c>
      <c r="J3">
        <v>26.4</v>
      </c>
      <c r="K3">
        <v>21.6</v>
      </c>
      <c r="L3">
        <v>1751</v>
      </c>
      <c r="M3">
        <v>1308</v>
      </c>
      <c r="N3">
        <v>199</v>
      </c>
      <c r="O3">
        <v>40.049999999999997</v>
      </c>
      <c r="P3">
        <v>39.753</v>
      </c>
      <c r="Q3">
        <v>0.29699999999999999</v>
      </c>
      <c r="R3">
        <v>1.7000000000000001E-2</v>
      </c>
      <c r="T3">
        <v>0.36974600000000002</v>
      </c>
      <c r="U3">
        <v>8.968</v>
      </c>
      <c r="V3" s="6" t="str">
        <f t="shared" ref="V3:V66" si="1">IF(NOT(ISBLANK(S3)),S3-(A3*$AH$1+$AI$1),"")</f>
        <v/>
      </c>
      <c r="W3" s="5">
        <f t="shared" ref="W3:W66" si="2">IF(NOT(ISBLANK(U3)),U3-C3*$AA$3,"")</f>
        <v>8.9679737150459999</v>
      </c>
      <c r="X3" s="11">
        <f t="shared" ref="X3:X66" si="3">IF(ISNUMBER(U3),(U3+1000)/((U3*$AT$1+$AU$1)/1000+1)-1000,"")</f>
        <v>8.3678642284163516</v>
      </c>
      <c r="Y3" s="11">
        <f t="shared" ref="Y3:Y66" si="4">IF(ISNUMBER(W3),(W3+1000)/((W3*$AT$2+$AU$2)/1000+1)-1000,"")</f>
        <v>8.3687091971943346</v>
      </c>
      <c r="AA3">
        <f>SLOPE(AE2:AE18,AC2:AC18)</f>
        <v>1.3142476999720661E-5</v>
      </c>
      <c r="AB3" s="1"/>
      <c r="AC3">
        <v>27823</v>
      </c>
      <c r="AD3" t="s">
        <v>12</v>
      </c>
      <c r="AE3">
        <v>-1.222</v>
      </c>
      <c r="AK3" t="s">
        <v>12</v>
      </c>
      <c r="AL3" t="str">
        <f t="shared" si="0"/>
        <v>&gt;=0</v>
      </c>
      <c r="AM3">
        <v>27815</v>
      </c>
      <c r="AN3" t="s">
        <v>14</v>
      </c>
      <c r="AO3">
        <v>9.2010000000000005</v>
      </c>
      <c r="AP3" s="5">
        <v>9.2008948601840022</v>
      </c>
      <c r="AQ3" s="2">
        <f>IF(ISBLANK(AN3),"",VLOOKUP(AN3,refs[#All],3,FALSE))</f>
        <v>8.6999999999999993</v>
      </c>
      <c r="AR3" s="2">
        <f t="shared" ref="AR3:AR21" si="5">IF(ISBLANK(AN3),"",((AO3+1000)/(AQ3+1000)-1)*1000)</f>
        <v>0.49667889362536854</v>
      </c>
      <c r="AS3" s="2">
        <f t="shared" ref="AS3:AS21" si="6">IF(ISBLANK(AN3),"",((AP3+1000)/(AQ3+1000)-1)*1000)</f>
        <v>0.49657466063646183</v>
      </c>
      <c r="AZ3">
        <v>27869</v>
      </c>
      <c r="BA3" t="s">
        <v>11</v>
      </c>
      <c r="BB3" s="11">
        <v>-0.30003145947227949</v>
      </c>
      <c r="BC3" s="11">
        <v>-0.29993796080020729</v>
      </c>
      <c r="BJ3" t="s">
        <v>14</v>
      </c>
      <c r="BK3" t="str">
        <f>"&gt;=0"</f>
        <v>&gt;=0</v>
      </c>
      <c r="BL3" t="s">
        <v>20</v>
      </c>
      <c r="BM3">
        <v>27813</v>
      </c>
      <c r="BN3" t="s">
        <v>11</v>
      </c>
      <c r="BO3">
        <v>69.239000000000004</v>
      </c>
      <c r="BP3">
        <v>0.27100000000000002</v>
      </c>
      <c r="BQ3" s="5">
        <v>0.2709211451380017</v>
      </c>
      <c r="BR3" s="11">
        <v>-0.2900760333669723</v>
      </c>
      <c r="BS3" s="11">
        <v>-0.28924987743596375</v>
      </c>
      <c r="BT3">
        <v>27813</v>
      </c>
      <c r="BU3">
        <v>129019</v>
      </c>
      <c r="BV3" t="b">
        <f t="shared" ref="BV3:BV25" si="7">BM3=BT3</f>
        <v>1</v>
      </c>
      <c r="BW3" s="2">
        <f>IF(ISBLANK(BN3),"",VLOOKUP(BN3,refs[#All],3,FALSE))</f>
        <v>-0.4</v>
      </c>
      <c r="BX3" s="2">
        <f t="shared" ref="BX3:BX5" si="8">IF(ISBLANK($BN3),"",((BP3+1000)/($BW3+1000)-1)*1000)</f>
        <v>0.67126850740284461</v>
      </c>
      <c r="BY3" s="2">
        <f t="shared" ref="BY3:CA4" si="9">IF(ISBLANK($BN3),"",((BQ3+1000)/($BW3+1000)-1)*1000)</f>
        <v>0.67118962098633439</v>
      </c>
      <c r="BZ3" s="2">
        <f t="shared" si="9"/>
        <v>0.10996795381457147</v>
      </c>
      <c r="CA3" s="2">
        <f t="shared" si="9"/>
        <v>0.11079444034023389</v>
      </c>
    </row>
    <row r="4" spans="1:79" x14ac:dyDescent="0.2">
      <c r="A4" s="13">
        <v>44251.762002314812</v>
      </c>
      <c r="B4">
        <v>27810</v>
      </c>
      <c r="C4">
        <v>3</v>
      </c>
      <c r="D4" t="s">
        <v>100</v>
      </c>
      <c r="G4">
        <v>4</v>
      </c>
      <c r="H4">
        <v>230.9</v>
      </c>
      <c r="I4">
        <v>0</v>
      </c>
      <c r="J4">
        <v>26.6</v>
      </c>
      <c r="K4">
        <v>21.8</v>
      </c>
      <c r="L4">
        <v>1398</v>
      </c>
      <c r="M4">
        <v>1044</v>
      </c>
      <c r="N4">
        <v>159</v>
      </c>
      <c r="O4">
        <v>32</v>
      </c>
      <c r="P4">
        <v>31.763000000000002</v>
      </c>
      <c r="Q4">
        <v>0.23699999999999999</v>
      </c>
      <c r="R4">
        <v>1.2999999999999999E-2</v>
      </c>
      <c r="T4">
        <v>0.36998399999999998</v>
      </c>
      <c r="U4">
        <v>9.6180000000000003</v>
      </c>
      <c r="V4" s="6" t="str">
        <f t="shared" si="1"/>
        <v/>
      </c>
      <c r="W4" s="5">
        <f t="shared" si="2"/>
        <v>9.6179605725690003</v>
      </c>
      <c r="X4" s="11">
        <f t="shared" si="3"/>
        <v>9.014921392405995</v>
      </c>
      <c r="Y4" s="11">
        <f t="shared" si="4"/>
        <v>9.0157507444403109</v>
      </c>
      <c r="AB4" s="1"/>
      <c r="AC4">
        <v>27834</v>
      </c>
      <c r="AD4" t="s">
        <v>12</v>
      </c>
      <c r="AE4">
        <v>-1.288</v>
      </c>
      <c r="AL4" s="1"/>
      <c r="AM4">
        <v>27823</v>
      </c>
      <c r="AN4" t="s">
        <v>12</v>
      </c>
      <c r="AO4">
        <v>-1.222</v>
      </c>
      <c r="AP4" s="5">
        <v>-1.2222102796319956</v>
      </c>
      <c r="AQ4" s="2">
        <f>IF(ISBLANK(AN4),"",VLOOKUP(AN4,refs[#All],3,FALSE))</f>
        <v>-1.8</v>
      </c>
      <c r="AR4" s="2">
        <f t="shared" si="5"/>
        <v>0.57904227609695269</v>
      </c>
      <c r="AS4" s="2">
        <f t="shared" si="6"/>
        <v>0.57883161727900756</v>
      </c>
      <c r="AZ4">
        <v>27928</v>
      </c>
      <c r="BA4" t="s">
        <v>11</v>
      </c>
      <c r="BB4" s="11">
        <v>-0.28111615053569494</v>
      </c>
      <c r="BC4" s="11">
        <v>-0.28179467103063871</v>
      </c>
      <c r="BJ4" t="s">
        <v>13</v>
      </c>
      <c r="BK4" t="str">
        <f>"&gt;=0"</f>
        <v>&gt;=0</v>
      </c>
      <c r="BL4" t="s">
        <v>20</v>
      </c>
      <c r="BM4">
        <v>27815</v>
      </c>
      <c r="BN4" t="s">
        <v>14</v>
      </c>
      <c r="BO4">
        <v>49.631</v>
      </c>
      <c r="BP4">
        <v>9.2010000000000005</v>
      </c>
      <c r="BQ4" s="5">
        <v>9.2008948601840022</v>
      </c>
      <c r="BR4" s="11">
        <v>8.5998097118631449</v>
      </c>
      <c r="BS4" s="11">
        <v>8.6005752752067792</v>
      </c>
      <c r="BT4">
        <v>27815</v>
      </c>
      <c r="BU4">
        <v>53637</v>
      </c>
      <c r="BV4" t="b">
        <f t="shared" si="7"/>
        <v>1</v>
      </c>
      <c r="BW4" s="2">
        <f>IF(ISBLANK(BN4),"",VLOOKUP(BN4,refs[#All],3,FALSE))</f>
        <v>8.6999999999999993</v>
      </c>
      <c r="BX4" s="2">
        <f t="shared" si="8"/>
        <v>0.49667889362536854</v>
      </c>
      <c r="BY4" s="2">
        <f t="shared" si="9"/>
        <v>0.49657466063646183</v>
      </c>
      <c r="BZ4" s="2">
        <f t="shared" si="9"/>
        <v>-9.9326150626466436E-2</v>
      </c>
      <c r="CA4" s="2">
        <f t="shared" si="9"/>
        <v>-9.8567190238152413E-2</v>
      </c>
    </row>
    <row r="5" spans="1:79" x14ac:dyDescent="0.2">
      <c r="A5" s="13">
        <v>44251.776666666665</v>
      </c>
      <c r="B5">
        <v>27812</v>
      </c>
      <c r="C5">
        <v>5</v>
      </c>
      <c r="D5" t="s">
        <v>12</v>
      </c>
      <c r="G5">
        <v>4</v>
      </c>
      <c r="H5">
        <v>232.8</v>
      </c>
      <c r="I5">
        <v>57</v>
      </c>
      <c r="J5">
        <v>11.3</v>
      </c>
      <c r="K5">
        <v>10.3</v>
      </c>
      <c r="L5">
        <v>3280</v>
      </c>
      <c r="M5">
        <v>2423</v>
      </c>
      <c r="N5">
        <v>371</v>
      </c>
      <c r="O5">
        <v>74.903000000000006</v>
      </c>
      <c r="P5">
        <v>74.353999999999999</v>
      </c>
      <c r="Q5">
        <v>0.54900000000000004</v>
      </c>
      <c r="R5">
        <v>3.2000000000000001E-2</v>
      </c>
      <c r="T5">
        <v>0.36599999999999999</v>
      </c>
      <c r="U5">
        <v>-1.294</v>
      </c>
      <c r="V5" s="6" t="str">
        <f t="shared" si="1"/>
        <v/>
      </c>
      <c r="W5" s="5">
        <f t="shared" si="2"/>
        <v>-1.2940657123849986</v>
      </c>
      <c r="X5" s="11">
        <f t="shared" si="3"/>
        <v>-1.8481096618107813</v>
      </c>
      <c r="Y5" s="11">
        <f t="shared" si="4"/>
        <v>-1.8472644653930956</v>
      </c>
      <c r="AB5" s="1"/>
      <c r="AC5">
        <v>27845</v>
      </c>
      <c r="AD5" t="s">
        <v>12</v>
      </c>
      <c r="AE5">
        <v>-1.2010000000000001</v>
      </c>
      <c r="AL5" s="1"/>
      <c r="AM5">
        <v>27834</v>
      </c>
      <c r="AN5" t="s">
        <v>12</v>
      </c>
      <c r="AO5">
        <v>-1.288</v>
      </c>
      <c r="AP5" s="5">
        <v>-1.2883548468789925</v>
      </c>
      <c r="AQ5" s="2">
        <f>IF(ISBLANK(AN5),"",VLOOKUP(AN5,refs[#All],3,FALSE))</f>
        <v>-1.8</v>
      </c>
      <c r="AR5" s="2">
        <f t="shared" si="5"/>
        <v>0.51292326187124537</v>
      </c>
      <c r="AS5" s="2">
        <f t="shared" si="6"/>
        <v>0.51256777511610174</v>
      </c>
      <c r="BB5" s="11"/>
      <c r="BC5" s="11"/>
      <c r="BJ5" t="s">
        <v>11</v>
      </c>
      <c r="BK5" t="str">
        <f>"&gt;=0"</f>
        <v>&gt;=0</v>
      </c>
      <c r="BL5" t="s">
        <v>20</v>
      </c>
      <c r="BM5">
        <v>27823</v>
      </c>
      <c r="BN5" t="s">
        <v>12</v>
      </c>
      <c r="BO5">
        <v>73.512</v>
      </c>
      <c r="BP5">
        <v>-1.222</v>
      </c>
      <c r="BQ5" s="5">
        <v>-1.2222102796319956</v>
      </c>
      <c r="BR5" s="11">
        <v>-1.7764297422982054</v>
      </c>
      <c r="BS5" s="11">
        <v>-1.7757287433959164</v>
      </c>
      <c r="BT5">
        <v>27823</v>
      </c>
      <c r="BU5">
        <v>267093</v>
      </c>
      <c r="BV5" t="b">
        <f t="shared" si="7"/>
        <v>1</v>
      </c>
      <c r="BW5" s="2">
        <f>IF(ISBLANK(BN5),"",VLOOKUP(BN5,refs[#All],3,FALSE))</f>
        <v>-1.8</v>
      </c>
      <c r="BX5" s="2">
        <f t="shared" si="8"/>
        <v>0.57904227609695269</v>
      </c>
      <c r="BY5" s="2">
        <f t="shared" ref="BY5:BY25" si="10">IF(ISBLANK($BN5),"",((BQ5+1000)/($BW5+1000)-1)*1000)</f>
        <v>0.57883161727900756</v>
      </c>
      <c r="BZ5" s="2">
        <f t="shared" ref="BZ5:BZ25" si="11">IF(ISBLANK($BN5),"",((BR5+1000)/($BW5+1000)-1)*1000)</f>
        <v>2.361276067097684E-2</v>
      </c>
      <c r="CA5" s="2">
        <f t="shared" ref="CA5:CA25" si="12">IF(ISBLANK($BN5),"",((BS5+1000)/($BW5+1000)-1)*1000)</f>
        <v>2.4315023646526157E-2</v>
      </c>
    </row>
    <row r="6" spans="1:79" x14ac:dyDescent="0.2">
      <c r="A6" s="13">
        <v>44251.784004629626</v>
      </c>
      <c r="B6">
        <v>27813</v>
      </c>
      <c r="C6">
        <v>6</v>
      </c>
      <c r="D6" t="s">
        <v>11</v>
      </c>
      <c r="E6" t="s">
        <v>57</v>
      </c>
      <c r="G6">
        <v>4</v>
      </c>
      <c r="H6">
        <v>231.4</v>
      </c>
      <c r="I6">
        <v>33</v>
      </c>
      <c r="J6">
        <v>18.600000000000001</v>
      </c>
      <c r="K6">
        <v>15.9</v>
      </c>
      <c r="L6">
        <v>3021</v>
      </c>
      <c r="M6">
        <v>2237</v>
      </c>
      <c r="N6">
        <v>343</v>
      </c>
      <c r="O6">
        <v>69.239000000000004</v>
      </c>
      <c r="P6">
        <v>68.730999999999995</v>
      </c>
      <c r="Q6">
        <v>0.50800000000000001</v>
      </c>
      <c r="R6">
        <v>0.03</v>
      </c>
      <c r="T6">
        <v>0.36657099999999998</v>
      </c>
      <c r="U6">
        <v>0.27100000000000002</v>
      </c>
      <c r="V6" s="6" t="str">
        <f t="shared" si="1"/>
        <v/>
      </c>
      <c r="W6" s="5">
        <f t="shared" si="2"/>
        <v>0.2709211451380017</v>
      </c>
      <c r="X6" s="11">
        <f t="shared" si="3"/>
        <v>-0.2900760333669723</v>
      </c>
      <c r="Y6" s="11">
        <f t="shared" si="4"/>
        <v>-0.28924987743596375</v>
      </c>
      <c r="AB6" s="1"/>
      <c r="AC6">
        <v>27856</v>
      </c>
      <c r="AD6" t="s">
        <v>12</v>
      </c>
      <c r="AE6">
        <v>-1.2350000000000001</v>
      </c>
      <c r="AL6" s="1"/>
      <c r="AM6">
        <v>27845</v>
      </c>
      <c r="AN6" t="s">
        <v>12</v>
      </c>
      <c r="AO6">
        <v>-1.2010000000000001</v>
      </c>
      <c r="AP6" s="5">
        <v>-1.2014994141259894</v>
      </c>
      <c r="AQ6" s="2">
        <f>IF(ISBLANK(AN6),"",VLOOKUP(AN6,refs[#All],3,FALSE))</f>
        <v>-1.8</v>
      </c>
      <c r="AR6" s="2">
        <f t="shared" si="5"/>
        <v>0.6000801442596071</v>
      </c>
      <c r="AS6" s="2">
        <f t="shared" si="6"/>
        <v>0.59957982956704292</v>
      </c>
      <c r="BB6" s="11"/>
      <c r="BC6" s="11"/>
      <c r="BM6">
        <v>27834</v>
      </c>
      <c r="BN6" t="s">
        <v>12</v>
      </c>
      <c r="BO6">
        <v>72.108000000000004</v>
      </c>
      <c r="BP6">
        <v>-1.288</v>
      </c>
      <c r="BQ6" s="5">
        <v>-1.2883548468789925</v>
      </c>
      <c r="BR6" s="11">
        <v>-1.8421363336481136</v>
      </c>
      <c r="BS6" s="11">
        <v>-1.8415790081215846</v>
      </c>
      <c r="BT6">
        <v>27834</v>
      </c>
      <c r="BU6">
        <v>262550</v>
      </c>
      <c r="BV6" t="b">
        <f t="shared" si="7"/>
        <v>1</v>
      </c>
      <c r="BW6" s="2">
        <f>IF(ISBLANK(BN6),"",VLOOKUP(BN6,refs[#All],3,FALSE))</f>
        <v>-1.8</v>
      </c>
      <c r="BX6" s="2">
        <f t="shared" ref="BX6:BX25" si="13">IF(ISBLANK($BN6),"",((BP6+1000)/($BW6+1000)-1)*1000)</f>
        <v>0.51292326187124537</v>
      </c>
      <c r="BY6" s="2">
        <f t="shared" si="10"/>
        <v>0.51256777511610174</v>
      </c>
      <c r="BZ6" s="2">
        <f t="shared" si="11"/>
        <v>-4.2212315816581025E-2</v>
      </c>
      <c r="CA6" s="2">
        <f t="shared" si="12"/>
        <v>-4.1653985295209139E-2</v>
      </c>
    </row>
    <row r="7" spans="1:79" x14ac:dyDescent="0.2">
      <c r="A7" s="13">
        <v>44251.798668981479</v>
      </c>
      <c r="B7">
        <v>27815</v>
      </c>
      <c r="C7">
        <v>8</v>
      </c>
      <c r="D7" t="s">
        <v>14</v>
      </c>
      <c r="G7">
        <v>4</v>
      </c>
      <c r="H7">
        <v>231.2</v>
      </c>
      <c r="I7">
        <v>0</v>
      </c>
      <c r="J7">
        <v>27.2</v>
      </c>
      <c r="K7">
        <v>22.4</v>
      </c>
      <c r="L7">
        <v>2197</v>
      </c>
      <c r="M7">
        <v>1642</v>
      </c>
      <c r="N7">
        <v>253</v>
      </c>
      <c r="O7">
        <v>49.631</v>
      </c>
      <c r="P7">
        <v>49.264000000000003</v>
      </c>
      <c r="Q7">
        <v>0.36799999999999999</v>
      </c>
      <c r="R7">
        <v>2.1000000000000001E-2</v>
      </c>
      <c r="T7">
        <v>0.36983199999999999</v>
      </c>
      <c r="U7">
        <v>9.2010000000000005</v>
      </c>
      <c r="V7" s="6" t="str">
        <f t="shared" si="1"/>
        <v/>
      </c>
      <c r="W7" s="5">
        <f t="shared" si="2"/>
        <v>9.2008948601840022</v>
      </c>
      <c r="X7" s="11">
        <f t="shared" si="3"/>
        <v>8.5998097118631449</v>
      </c>
      <c r="Y7" s="11">
        <f t="shared" si="4"/>
        <v>8.6005752752067792</v>
      </c>
      <c r="AB7" s="1"/>
      <c r="AC7">
        <v>27867</v>
      </c>
      <c r="AD7" t="s">
        <v>12</v>
      </c>
      <c r="AE7">
        <v>-1.2150000000000001</v>
      </c>
      <c r="AL7" s="1"/>
      <c r="AM7">
        <v>27856</v>
      </c>
      <c r="AN7" t="s">
        <v>12</v>
      </c>
      <c r="AO7">
        <v>-1.2350000000000001</v>
      </c>
      <c r="AP7" s="5">
        <v>-1.2356439813729865</v>
      </c>
      <c r="AQ7" s="2">
        <f>IF(ISBLANK(AN7),"",VLOOKUP(AN7,refs[#All],3,FALSE))</f>
        <v>-1.8</v>
      </c>
      <c r="AR7" s="2">
        <f t="shared" si="5"/>
        <v>0.56601883390094976</v>
      </c>
      <c r="AS7" s="2">
        <f t="shared" si="6"/>
        <v>0.56537369127118708</v>
      </c>
      <c r="BB7" s="11"/>
      <c r="BC7" s="11"/>
      <c r="BM7">
        <v>27845</v>
      </c>
      <c r="BN7" t="s">
        <v>12</v>
      </c>
      <c r="BO7">
        <v>75.454999999999998</v>
      </c>
      <c r="BP7">
        <v>-1.2010000000000001</v>
      </c>
      <c r="BQ7" s="5">
        <v>-1.2014994141259894</v>
      </c>
      <c r="BR7" s="11">
        <v>-1.7555231066855868</v>
      </c>
      <c r="BS7" s="11">
        <v>-1.7551100354539813</v>
      </c>
      <c r="BT7">
        <v>27845</v>
      </c>
      <c r="BU7">
        <v>273601</v>
      </c>
      <c r="BV7" t="b">
        <f t="shared" si="7"/>
        <v>1</v>
      </c>
      <c r="BW7" s="2">
        <f>IF(ISBLANK(BN7),"",VLOOKUP(BN7,refs[#All],3,FALSE))</f>
        <v>-1.8</v>
      </c>
      <c r="BX7" s="2">
        <f t="shared" si="13"/>
        <v>0.6000801442596071</v>
      </c>
      <c r="BY7" s="2">
        <f t="shared" si="10"/>
        <v>0.59957982956704292</v>
      </c>
      <c r="BZ7" s="2">
        <f t="shared" si="11"/>
        <v>4.4557096087416426E-2</v>
      </c>
      <c r="CA7" s="2">
        <f t="shared" si="12"/>
        <v>4.4970912187913825E-2</v>
      </c>
    </row>
    <row r="8" spans="1:79" x14ac:dyDescent="0.2">
      <c r="A8" s="13">
        <v>44251.805995370371</v>
      </c>
      <c r="B8">
        <v>27816</v>
      </c>
      <c r="C8">
        <v>9</v>
      </c>
      <c r="D8" t="s">
        <v>102</v>
      </c>
      <c r="G8">
        <v>4</v>
      </c>
      <c r="H8">
        <v>231.6</v>
      </c>
      <c r="I8">
        <v>0</v>
      </c>
      <c r="J8">
        <v>27.5</v>
      </c>
      <c r="K8">
        <v>22.7</v>
      </c>
      <c r="L8">
        <v>981</v>
      </c>
      <c r="M8">
        <v>728</v>
      </c>
      <c r="N8">
        <v>109</v>
      </c>
      <c r="O8">
        <v>21.823</v>
      </c>
      <c r="P8">
        <v>21.661999999999999</v>
      </c>
      <c r="Q8">
        <v>0.161</v>
      </c>
      <c r="R8">
        <v>8.0000000000000002E-3</v>
      </c>
      <c r="T8">
        <v>0.36762699999999998</v>
      </c>
      <c r="U8">
        <v>3.1640000000000001</v>
      </c>
      <c r="V8" s="6" t="str">
        <f t="shared" si="1"/>
        <v/>
      </c>
      <c r="W8" s="5">
        <f t="shared" si="2"/>
        <v>3.1638817177070027</v>
      </c>
      <c r="X8" s="11">
        <f t="shared" si="3"/>
        <v>2.5899961513546259</v>
      </c>
      <c r="Y8" s="11">
        <f t="shared" si="4"/>
        <v>2.5907719853471463</v>
      </c>
      <c r="AB8" s="1"/>
      <c r="AC8">
        <v>27878</v>
      </c>
      <c r="AD8" t="s">
        <v>12</v>
      </c>
      <c r="AE8">
        <v>-1.2370000000000001</v>
      </c>
      <c r="AL8" s="1"/>
      <c r="AM8">
        <v>27867</v>
      </c>
      <c r="AN8" t="s">
        <v>12</v>
      </c>
      <c r="AO8">
        <v>-1.2150000000000001</v>
      </c>
      <c r="AP8" s="5">
        <v>-1.2157885486199833</v>
      </c>
      <c r="AQ8" s="2">
        <f>IF(ISBLANK(AN8),"",VLOOKUP(AN8,refs[#All],3,FALSE))</f>
        <v>-1.8</v>
      </c>
      <c r="AR8" s="2">
        <f t="shared" si="5"/>
        <v>0.58605489881768946</v>
      </c>
      <c r="AS8" s="2">
        <f t="shared" si="6"/>
        <v>0.58526492825072829</v>
      </c>
      <c r="BB8" s="11"/>
      <c r="BC8" s="11"/>
      <c r="BM8">
        <v>27856</v>
      </c>
      <c r="BN8" t="s">
        <v>12</v>
      </c>
      <c r="BO8">
        <v>71.501000000000005</v>
      </c>
      <c r="BP8">
        <v>-1.2350000000000001</v>
      </c>
      <c r="BQ8" s="5">
        <v>-1.2356439813729865</v>
      </c>
      <c r="BR8" s="11">
        <v>-1.789371947011773</v>
      </c>
      <c r="BS8" s="11">
        <v>-1.7891026707000037</v>
      </c>
      <c r="BT8">
        <v>27856</v>
      </c>
      <c r="BU8">
        <v>258627</v>
      </c>
      <c r="BV8" t="b">
        <f t="shared" si="7"/>
        <v>1</v>
      </c>
      <c r="BW8" s="2">
        <f>IF(ISBLANK(BN8),"",VLOOKUP(BN8,refs[#All],3,FALSE))</f>
        <v>-1.8</v>
      </c>
      <c r="BX8" s="2">
        <f t="shared" si="13"/>
        <v>0.56601883390094976</v>
      </c>
      <c r="BY8" s="2">
        <f t="shared" si="10"/>
        <v>0.56537369127118708</v>
      </c>
      <c r="BZ8" s="2">
        <f t="shared" si="11"/>
        <v>1.0647217980608303E-2</v>
      </c>
      <c r="CA8" s="2">
        <f t="shared" si="12"/>
        <v>1.0916979863662135E-2</v>
      </c>
    </row>
    <row r="9" spans="1:79" x14ac:dyDescent="0.2">
      <c r="A9" s="13">
        <v>44251.813321759262</v>
      </c>
      <c r="B9">
        <v>27817</v>
      </c>
      <c r="C9">
        <v>10</v>
      </c>
      <c r="D9" t="s">
        <v>103</v>
      </c>
      <c r="F9">
        <v>5.4130000000000003</v>
      </c>
      <c r="G9">
        <v>4</v>
      </c>
      <c r="H9">
        <v>231.2</v>
      </c>
      <c r="I9">
        <v>0</v>
      </c>
      <c r="J9">
        <v>28.5</v>
      </c>
      <c r="K9">
        <v>23.4</v>
      </c>
      <c r="L9">
        <v>1270</v>
      </c>
      <c r="M9">
        <v>944</v>
      </c>
      <c r="N9">
        <v>143</v>
      </c>
      <c r="O9">
        <v>27.667000000000002</v>
      </c>
      <c r="P9">
        <v>27.463000000000001</v>
      </c>
      <c r="Q9">
        <v>0.20399999999999999</v>
      </c>
      <c r="R9">
        <v>1.0999999999999999E-2</v>
      </c>
      <c r="T9">
        <v>0.36796400000000001</v>
      </c>
      <c r="U9">
        <v>4.0869999999999997</v>
      </c>
      <c r="V9" s="6" t="str">
        <f t="shared" si="1"/>
        <v/>
      </c>
      <c r="W9" s="5">
        <f t="shared" si="2"/>
        <v>4.0868685752300022</v>
      </c>
      <c r="X9" s="11">
        <f t="shared" si="3"/>
        <v>3.5088579173747121</v>
      </c>
      <c r="Y9" s="11">
        <f t="shared" si="4"/>
        <v>3.5096171194602448</v>
      </c>
      <c r="AB9" s="1"/>
      <c r="AC9">
        <v>27889</v>
      </c>
      <c r="AD9" t="s">
        <v>12</v>
      </c>
      <c r="AE9">
        <v>-1.2170000000000001</v>
      </c>
      <c r="AL9" s="1"/>
      <c r="AM9">
        <v>27871</v>
      </c>
      <c r="AN9" t="s">
        <v>14</v>
      </c>
      <c r="AO9">
        <v>9.0869999999999997</v>
      </c>
      <c r="AP9" s="5">
        <v>9.0861588814720182</v>
      </c>
      <c r="AQ9" s="2">
        <f>IF(ISBLANK(AN9),"",VLOOKUP(AN9,refs[#All],3,FALSE))</f>
        <v>8.6999999999999993</v>
      </c>
      <c r="AR9" s="2">
        <f t="shared" si="5"/>
        <v>0.38366213938734184</v>
      </c>
      <c r="AS9" s="2">
        <f t="shared" si="6"/>
        <v>0.38282827547519993</v>
      </c>
      <c r="BB9" s="11"/>
      <c r="BC9" s="11"/>
      <c r="BM9">
        <v>27867</v>
      </c>
      <c r="BN9" t="s">
        <v>12</v>
      </c>
      <c r="BO9">
        <v>76.603999999999999</v>
      </c>
      <c r="BP9">
        <v>-1.2150000000000001</v>
      </c>
      <c r="BQ9" s="5">
        <v>-1.2157885486199833</v>
      </c>
      <c r="BR9" s="11">
        <v>-1.7694608633804592</v>
      </c>
      <c r="BS9" s="11">
        <v>-1.7693355869359948</v>
      </c>
      <c r="BT9">
        <v>27867</v>
      </c>
      <c r="BU9">
        <v>278270</v>
      </c>
      <c r="BV9" t="b">
        <f t="shared" si="7"/>
        <v>1</v>
      </c>
      <c r="BW9" s="2">
        <f>IF(ISBLANK(BN9),"",VLOOKUP(BN9,refs[#All],3,FALSE))</f>
        <v>-1.8</v>
      </c>
      <c r="BX9" s="2">
        <f t="shared" si="13"/>
        <v>0.58605489881768946</v>
      </c>
      <c r="BY9" s="2">
        <f t="shared" si="10"/>
        <v>0.58526492825072829</v>
      </c>
      <c r="BZ9" s="2">
        <f t="shared" si="11"/>
        <v>3.0594206190670548E-2</v>
      </c>
      <c r="CA9" s="2">
        <f t="shared" si="12"/>
        <v>3.0719708539406199E-2</v>
      </c>
    </row>
    <row r="10" spans="1:79" x14ac:dyDescent="0.2">
      <c r="A10" s="13">
        <v>44251.820648148147</v>
      </c>
      <c r="B10">
        <v>27818</v>
      </c>
      <c r="C10">
        <v>11</v>
      </c>
      <c r="D10" t="s">
        <v>104</v>
      </c>
      <c r="F10">
        <v>6.4379999999999997</v>
      </c>
      <c r="G10">
        <v>4</v>
      </c>
      <c r="H10">
        <v>231.6</v>
      </c>
      <c r="I10">
        <v>0</v>
      </c>
      <c r="J10">
        <v>28.9</v>
      </c>
      <c r="K10">
        <v>23.8</v>
      </c>
      <c r="L10">
        <v>1259</v>
      </c>
      <c r="M10">
        <v>936</v>
      </c>
      <c r="N10">
        <v>141</v>
      </c>
      <c r="O10">
        <v>27.474</v>
      </c>
      <c r="P10">
        <v>27.271000000000001</v>
      </c>
      <c r="Q10">
        <v>0.20300000000000001</v>
      </c>
      <c r="R10">
        <v>1.0999999999999999E-2</v>
      </c>
      <c r="T10">
        <v>0.36831999999999998</v>
      </c>
      <c r="U10">
        <v>5.0620000000000003</v>
      </c>
      <c r="V10" s="6" t="str">
        <f t="shared" si="1"/>
        <v/>
      </c>
      <c r="W10" s="5">
        <f t="shared" si="2"/>
        <v>5.0618554327530036</v>
      </c>
      <c r="X10" s="11">
        <f t="shared" si="3"/>
        <v>4.4794793631562015</v>
      </c>
      <c r="Y10" s="11">
        <f t="shared" si="4"/>
        <v>4.4802217249604155</v>
      </c>
      <c r="AB10" s="1"/>
      <c r="AC10">
        <v>27900</v>
      </c>
      <c r="AD10" t="s">
        <v>12</v>
      </c>
      <c r="AE10">
        <v>-1.2430000000000001</v>
      </c>
      <c r="AL10" s="1"/>
      <c r="AM10">
        <v>27878</v>
      </c>
      <c r="AN10" t="s">
        <v>12</v>
      </c>
      <c r="AO10">
        <v>-1.2370000000000001</v>
      </c>
      <c r="AP10" s="5">
        <v>-1.2379331158669802</v>
      </c>
      <c r="AQ10" s="2">
        <f>IF(ISBLANK(AN10),"",VLOOKUP(AN10,refs[#All],3,FALSE))</f>
        <v>-1.8</v>
      </c>
      <c r="AR10" s="2">
        <f t="shared" si="5"/>
        <v>0.5640152274093424</v>
      </c>
      <c r="AS10" s="2">
        <f t="shared" si="6"/>
        <v>0.56308042890496068</v>
      </c>
      <c r="BB10" s="11"/>
      <c r="BC10" s="11"/>
      <c r="BM10">
        <v>27869</v>
      </c>
      <c r="BN10" t="s">
        <v>11</v>
      </c>
      <c r="BO10">
        <v>64.861000000000004</v>
      </c>
      <c r="BP10">
        <v>0.26100000000000001</v>
      </c>
      <c r="BQ10" s="5">
        <v>0.26018516642601736</v>
      </c>
      <c r="BR10" s="11">
        <v>-0.30003145947227949</v>
      </c>
      <c r="BS10" s="11">
        <v>-0.29993796080020729</v>
      </c>
      <c r="BT10">
        <v>27869</v>
      </c>
      <c r="BU10">
        <v>191969</v>
      </c>
      <c r="BV10" t="b">
        <f t="shared" si="7"/>
        <v>1</v>
      </c>
      <c r="BW10" s="2">
        <f>IF(ISBLANK(BN10),"",VLOOKUP(BN10,refs[#All],3,FALSE))</f>
        <v>-0.4</v>
      </c>
      <c r="BX10" s="2">
        <f t="shared" si="13"/>
        <v>0.66126450580217266</v>
      </c>
      <c r="BY10" s="2">
        <f t="shared" si="10"/>
        <v>0.66044934616438233</v>
      </c>
      <c r="BZ10" s="2">
        <f t="shared" si="11"/>
        <v>0.100008543945318</v>
      </c>
      <c r="CA10" s="2">
        <f t="shared" si="12"/>
        <v>0.10010208003174981</v>
      </c>
    </row>
    <row r="11" spans="1:79" x14ac:dyDescent="0.2">
      <c r="A11" s="13">
        <v>44251.827986111108</v>
      </c>
      <c r="B11">
        <v>27819</v>
      </c>
      <c r="C11">
        <v>12</v>
      </c>
      <c r="D11" t="s">
        <v>105</v>
      </c>
      <c r="F11">
        <v>6.3029999999999999</v>
      </c>
      <c r="G11">
        <v>4</v>
      </c>
      <c r="H11">
        <v>231.4</v>
      </c>
      <c r="I11">
        <v>0</v>
      </c>
      <c r="J11">
        <v>28.9</v>
      </c>
      <c r="K11">
        <v>23.8</v>
      </c>
      <c r="L11">
        <v>1841</v>
      </c>
      <c r="M11">
        <v>1369</v>
      </c>
      <c r="N11">
        <v>210</v>
      </c>
      <c r="O11">
        <v>39.603000000000002</v>
      </c>
      <c r="P11">
        <v>39.311</v>
      </c>
      <c r="Q11">
        <v>0.29199999999999998</v>
      </c>
      <c r="R11">
        <v>1.6E-2</v>
      </c>
      <c r="T11">
        <v>0.36846800000000002</v>
      </c>
      <c r="U11">
        <v>5.4669999999999996</v>
      </c>
      <c r="V11" s="6" t="str">
        <f t="shared" si="1"/>
        <v/>
      </c>
      <c r="W11" s="5">
        <f t="shared" si="2"/>
        <v>5.466842290276003</v>
      </c>
      <c r="X11" s="11">
        <f t="shared" si="3"/>
        <v>4.8826584105347592</v>
      </c>
      <c r="Y11" s="11">
        <f t="shared" si="4"/>
        <v>4.8833861258812021</v>
      </c>
      <c r="AB11" s="1"/>
      <c r="AC11">
        <v>27911</v>
      </c>
      <c r="AD11" t="s">
        <v>12</v>
      </c>
      <c r="AE11">
        <v>-1.2669999999999999</v>
      </c>
      <c r="AL11" s="1"/>
      <c r="AM11">
        <v>27889</v>
      </c>
      <c r="AN11" t="s">
        <v>12</v>
      </c>
      <c r="AO11">
        <v>-1.2170000000000001</v>
      </c>
      <c r="AP11" s="5">
        <v>-1.2180776831139772</v>
      </c>
      <c r="AQ11" s="2">
        <f>IF(ISBLANK(AN11),"",VLOOKUP(AN11,refs[#All],3,FALSE))</f>
        <v>-1.8</v>
      </c>
      <c r="AR11" s="2">
        <f t="shared" si="5"/>
        <v>0.58405129232608211</v>
      </c>
      <c r="AS11" s="2">
        <f t="shared" si="6"/>
        <v>0.58297166588450189</v>
      </c>
      <c r="BB11" s="11"/>
      <c r="BC11" s="11"/>
      <c r="BM11">
        <v>27871</v>
      </c>
      <c r="BN11" t="s">
        <v>14</v>
      </c>
      <c r="BO11">
        <v>43.945999999999998</v>
      </c>
      <c r="BP11">
        <v>9.0869999999999997</v>
      </c>
      <c r="BQ11" s="5">
        <v>9.0861588814720182</v>
      </c>
      <c r="BR11" s="11">
        <v>8.486325708218601</v>
      </c>
      <c r="BS11" s="11">
        <v>8.4863590708081347</v>
      </c>
      <c r="BT11">
        <v>27871</v>
      </c>
      <c r="BU11">
        <v>47121</v>
      </c>
      <c r="BV11" t="b">
        <f t="shared" si="7"/>
        <v>1</v>
      </c>
      <c r="BW11" s="2">
        <f>IF(ISBLANK(BN11),"",VLOOKUP(BN11,refs[#All],3,FALSE))</f>
        <v>8.6999999999999993</v>
      </c>
      <c r="BX11" s="2">
        <f t="shared" si="13"/>
        <v>0.38366213938734184</v>
      </c>
      <c r="BY11" s="2">
        <f t="shared" si="10"/>
        <v>0.38282827547519993</v>
      </c>
      <c r="BZ11" s="2">
        <f t="shared" si="11"/>
        <v>-0.21183135895852523</v>
      </c>
      <c r="CA11" s="2">
        <f t="shared" si="12"/>
        <v>-0.2117982841201016</v>
      </c>
    </row>
    <row r="12" spans="1:79" x14ac:dyDescent="0.2">
      <c r="A12" s="13">
        <v>44251.835312499999</v>
      </c>
      <c r="B12">
        <v>27820</v>
      </c>
      <c r="C12">
        <v>13</v>
      </c>
      <c r="D12" t="s">
        <v>106</v>
      </c>
      <c r="F12">
        <v>5.7480000000000002</v>
      </c>
      <c r="G12">
        <v>4</v>
      </c>
      <c r="H12">
        <v>231.4</v>
      </c>
      <c r="I12">
        <v>0</v>
      </c>
      <c r="J12">
        <v>29.3</v>
      </c>
      <c r="K12">
        <v>24.1</v>
      </c>
      <c r="L12">
        <v>1459</v>
      </c>
      <c r="M12">
        <v>1083</v>
      </c>
      <c r="N12">
        <v>164</v>
      </c>
      <c r="O12">
        <v>31.474</v>
      </c>
      <c r="P12">
        <v>31.242999999999999</v>
      </c>
      <c r="Q12">
        <v>0.23200000000000001</v>
      </c>
      <c r="R12">
        <v>1.2999999999999999E-2</v>
      </c>
      <c r="T12">
        <v>0.36743100000000001</v>
      </c>
      <c r="U12">
        <v>2.6259999999999999</v>
      </c>
      <c r="V12" s="6" t="str">
        <f t="shared" si="1"/>
        <v/>
      </c>
      <c r="W12" s="5">
        <f t="shared" si="2"/>
        <v>2.6258291477990037</v>
      </c>
      <c r="X12" s="11">
        <f t="shared" si="3"/>
        <v>2.0544052032203126</v>
      </c>
      <c r="Y12" s="11">
        <f t="shared" si="4"/>
        <v>2.0551307674433019</v>
      </c>
      <c r="AB12" s="1"/>
      <c r="AC12">
        <v>27922</v>
      </c>
      <c r="AD12" t="s">
        <v>12</v>
      </c>
      <c r="AE12">
        <v>-1.26</v>
      </c>
      <c r="AL12" s="1"/>
      <c r="AM12">
        <v>27900</v>
      </c>
      <c r="AN12" t="s">
        <v>12</v>
      </c>
      <c r="AO12">
        <v>-1.2430000000000001</v>
      </c>
      <c r="AP12" s="5">
        <v>-1.2442222503609741</v>
      </c>
      <c r="AQ12" s="2">
        <f>IF(ISBLANK(AN12),"",VLOOKUP(AN12,refs[#All],3,FALSE))</f>
        <v>-1.8</v>
      </c>
      <c r="AR12" s="2">
        <f t="shared" si="5"/>
        <v>0.55800440793407624</v>
      </c>
      <c r="AS12" s="2">
        <f t="shared" si="6"/>
        <v>0.55677995355529752</v>
      </c>
      <c r="BB12" s="11"/>
      <c r="BC12" s="11"/>
      <c r="BM12">
        <v>27878</v>
      </c>
      <c r="BN12" t="s">
        <v>12</v>
      </c>
      <c r="BO12">
        <v>71.611000000000004</v>
      </c>
      <c r="BP12">
        <v>-1.2370000000000001</v>
      </c>
      <c r="BQ12" s="5">
        <v>-1.2379331158669802</v>
      </c>
      <c r="BR12" s="11">
        <v>-1.7913630555457303</v>
      </c>
      <c r="BS12" s="11">
        <v>-1.7913816196286234</v>
      </c>
      <c r="BT12">
        <v>27878</v>
      </c>
      <c r="BU12">
        <v>259600</v>
      </c>
      <c r="BV12" t="b">
        <f t="shared" si="7"/>
        <v>1</v>
      </c>
      <c r="BW12" s="2">
        <f>IF(ISBLANK(BN12),"",VLOOKUP(BN12,refs[#All],3,FALSE))</f>
        <v>-1.8</v>
      </c>
      <c r="BX12" s="2">
        <f t="shared" si="13"/>
        <v>0.5640152274093424</v>
      </c>
      <c r="BY12" s="2">
        <f t="shared" si="10"/>
        <v>0.56308042890496068</v>
      </c>
      <c r="BZ12" s="2">
        <f t="shared" si="11"/>
        <v>8.6525189884056886E-3</v>
      </c>
      <c r="CA12" s="2">
        <f t="shared" si="12"/>
        <v>8.633921429801461E-3</v>
      </c>
    </row>
    <row r="13" spans="1:79" x14ac:dyDescent="0.2">
      <c r="A13" s="13">
        <v>44251.842638888891</v>
      </c>
      <c r="B13">
        <v>27821</v>
      </c>
      <c r="C13">
        <v>14</v>
      </c>
      <c r="D13" t="s">
        <v>107</v>
      </c>
      <c r="F13">
        <v>5.915</v>
      </c>
      <c r="G13">
        <v>4</v>
      </c>
      <c r="H13">
        <v>230.9</v>
      </c>
      <c r="I13">
        <v>0</v>
      </c>
      <c r="J13">
        <v>29.4</v>
      </c>
      <c r="K13">
        <v>24.2</v>
      </c>
      <c r="L13">
        <v>981</v>
      </c>
      <c r="M13">
        <v>730</v>
      </c>
      <c r="N13">
        <v>108</v>
      </c>
      <c r="O13">
        <v>21.513000000000002</v>
      </c>
      <c r="P13">
        <v>21.353999999999999</v>
      </c>
      <c r="Q13">
        <v>0.159</v>
      </c>
      <c r="R13">
        <v>8.0000000000000002E-3</v>
      </c>
      <c r="T13">
        <v>0.368452</v>
      </c>
      <c r="U13">
        <v>5.4219999999999997</v>
      </c>
      <c r="V13" s="6" t="str">
        <f t="shared" si="1"/>
        <v/>
      </c>
      <c r="W13" s="5">
        <f t="shared" si="2"/>
        <v>5.4218160053220039</v>
      </c>
      <c r="X13" s="11">
        <f t="shared" si="3"/>
        <v>4.8378608014602378</v>
      </c>
      <c r="Y13" s="11">
        <f t="shared" si="4"/>
        <v>4.8385625239220644</v>
      </c>
      <c r="AB13" s="1"/>
      <c r="AC13">
        <v>27931</v>
      </c>
      <c r="AD13" t="s">
        <v>12</v>
      </c>
      <c r="AE13">
        <v>-1.2210000000000001</v>
      </c>
      <c r="AL13" s="1"/>
      <c r="AM13">
        <v>27911</v>
      </c>
      <c r="AN13" t="s">
        <v>12</v>
      </c>
      <c r="AO13">
        <v>-1.2669999999999999</v>
      </c>
      <c r="AP13" s="5">
        <v>-1.2683668176079708</v>
      </c>
      <c r="AQ13" s="2">
        <f>IF(ISBLANK(AN13),"",VLOOKUP(AN13,refs[#All],3,FALSE))</f>
        <v>-1.8</v>
      </c>
      <c r="AR13" s="2">
        <f t="shared" si="5"/>
        <v>0.53396113003389978</v>
      </c>
      <c r="AS13" s="2">
        <f t="shared" si="6"/>
        <v>0.53259184771792256</v>
      </c>
      <c r="BB13" s="11"/>
      <c r="BC13" s="11"/>
      <c r="BM13">
        <v>27889</v>
      </c>
      <c r="BN13" t="s">
        <v>12</v>
      </c>
      <c r="BO13">
        <v>73.463999999999999</v>
      </c>
      <c r="BP13">
        <v>-1.2170000000000001</v>
      </c>
      <c r="BQ13" s="5">
        <v>-1.2180776831139772</v>
      </c>
      <c r="BR13" s="11">
        <v>-1.7714519716038239</v>
      </c>
      <c r="BS13" s="11">
        <v>-1.7716145355112758</v>
      </c>
      <c r="BT13">
        <v>27889</v>
      </c>
      <c r="BU13">
        <v>265422</v>
      </c>
      <c r="BV13" t="b">
        <f t="shared" si="7"/>
        <v>1</v>
      </c>
      <c r="BW13" s="2">
        <f>IF(ISBLANK(BN13),"",VLOOKUP(BN13,refs[#All],3,FALSE))</f>
        <v>-1.8</v>
      </c>
      <c r="BX13" s="2">
        <f t="shared" si="13"/>
        <v>0.58405129232608211</v>
      </c>
      <c r="BY13" s="2">
        <f t="shared" si="10"/>
        <v>0.58297166588450189</v>
      </c>
      <c r="BZ13" s="2">
        <f t="shared" si="11"/>
        <v>2.8599507509552424E-2</v>
      </c>
      <c r="CA13" s="2">
        <f t="shared" si="12"/>
        <v>2.8436650459484625E-2</v>
      </c>
    </row>
    <row r="14" spans="1:79" x14ac:dyDescent="0.2">
      <c r="A14" s="13">
        <v>44251.849965277775</v>
      </c>
      <c r="B14">
        <v>27822</v>
      </c>
      <c r="C14">
        <v>15</v>
      </c>
      <c r="D14" t="s">
        <v>108</v>
      </c>
      <c r="F14">
        <v>5.6639999999999997</v>
      </c>
      <c r="G14">
        <v>4</v>
      </c>
      <c r="H14">
        <v>231.4</v>
      </c>
      <c r="I14">
        <v>0</v>
      </c>
      <c r="J14">
        <v>28.2</v>
      </c>
      <c r="K14">
        <v>23.3</v>
      </c>
      <c r="L14">
        <v>1826</v>
      </c>
      <c r="M14">
        <v>1359</v>
      </c>
      <c r="N14">
        <v>209</v>
      </c>
      <c r="O14">
        <v>39.194000000000003</v>
      </c>
      <c r="P14">
        <v>38.905000000000001</v>
      </c>
      <c r="Q14">
        <v>0.28899999999999998</v>
      </c>
      <c r="R14">
        <v>1.6E-2</v>
      </c>
      <c r="T14">
        <v>0.368585</v>
      </c>
      <c r="U14">
        <v>5.7859999999999996</v>
      </c>
      <c r="V14" s="6" t="str">
        <f t="shared" si="1"/>
        <v/>
      </c>
      <c r="W14" s="5">
        <f t="shared" si="2"/>
        <v>5.7858028628450038</v>
      </c>
      <c r="X14" s="11">
        <f t="shared" si="3"/>
        <v>5.2002232332187077</v>
      </c>
      <c r="Y14" s="11">
        <f t="shared" si="4"/>
        <v>5.200910466454161</v>
      </c>
      <c r="AC14">
        <v>27932</v>
      </c>
      <c r="AD14" t="s">
        <v>12</v>
      </c>
      <c r="AE14">
        <v>-1.2789999999999999</v>
      </c>
      <c r="AM14">
        <v>27922</v>
      </c>
      <c r="AN14" t="s">
        <v>12</v>
      </c>
      <c r="AO14">
        <v>-1.26</v>
      </c>
      <c r="AP14" s="5">
        <v>-1.2615113848549679</v>
      </c>
      <c r="AQ14" s="2">
        <f>IF(ISBLANK(AN14),"",VLOOKUP(AN14,refs[#All],3,FALSE))</f>
        <v>-1.8</v>
      </c>
      <c r="AR14" s="2">
        <f t="shared" si="5"/>
        <v>0.54097375275485859</v>
      </c>
      <c r="AS14" s="2">
        <f t="shared" si="6"/>
        <v>0.53945964250146083</v>
      </c>
      <c r="BC14" s="5"/>
      <c r="BM14">
        <v>27900</v>
      </c>
      <c r="BN14" t="s">
        <v>12</v>
      </c>
      <c r="BO14">
        <v>74.994</v>
      </c>
      <c r="BP14">
        <v>-1.2430000000000001</v>
      </c>
      <c r="BQ14" s="5">
        <v>-1.2442222503609741</v>
      </c>
      <c r="BR14" s="11">
        <v>-1.7973363813337073</v>
      </c>
      <c r="BS14" s="11">
        <v>-1.7976427706595359</v>
      </c>
      <c r="BT14">
        <v>27900</v>
      </c>
      <c r="BU14">
        <v>271821</v>
      </c>
      <c r="BV14" t="b">
        <f t="shared" si="7"/>
        <v>1</v>
      </c>
      <c r="BW14" s="2">
        <f>IF(ISBLANK(BN14),"",VLOOKUP(BN14,refs[#All],3,FALSE))</f>
        <v>-1.8</v>
      </c>
      <c r="BX14" s="2">
        <f t="shared" si="13"/>
        <v>0.55800440793407624</v>
      </c>
      <c r="BY14" s="2">
        <f t="shared" si="10"/>
        <v>0.55677995355529752</v>
      </c>
      <c r="BZ14" s="2">
        <f t="shared" si="11"/>
        <v>2.6684218255024206E-3</v>
      </c>
      <c r="CA14" s="2">
        <f t="shared" si="12"/>
        <v>2.3614800044313711E-3</v>
      </c>
    </row>
    <row r="15" spans="1:79" x14ac:dyDescent="0.2">
      <c r="A15" s="13">
        <v>44251.857291666667</v>
      </c>
      <c r="B15">
        <v>27823</v>
      </c>
      <c r="C15">
        <v>16</v>
      </c>
      <c r="D15" t="s">
        <v>12</v>
      </c>
      <c r="G15">
        <v>4</v>
      </c>
      <c r="H15">
        <v>232.4</v>
      </c>
      <c r="I15">
        <v>57</v>
      </c>
      <c r="J15">
        <v>12.5</v>
      </c>
      <c r="K15">
        <v>11.5</v>
      </c>
      <c r="L15">
        <v>3278</v>
      </c>
      <c r="M15">
        <v>2422</v>
      </c>
      <c r="N15">
        <v>378</v>
      </c>
      <c r="O15">
        <v>73.512</v>
      </c>
      <c r="P15">
        <v>72.972999999999999</v>
      </c>
      <c r="Q15">
        <v>0.53900000000000003</v>
      </c>
      <c r="R15">
        <v>3.2000000000000001E-2</v>
      </c>
      <c r="T15">
        <v>0.36602600000000002</v>
      </c>
      <c r="U15">
        <v>-1.222</v>
      </c>
      <c r="V15" s="6" t="str">
        <f t="shared" si="1"/>
        <v/>
      </c>
      <c r="W15" s="5">
        <f t="shared" si="2"/>
        <v>-1.2222102796319956</v>
      </c>
      <c r="X15" s="11">
        <f t="shared" si="3"/>
        <v>-1.7764297422982054</v>
      </c>
      <c r="Y15" s="11">
        <f t="shared" si="4"/>
        <v>-1.7757287433959164</v>
      </c>
      <c r="AC15" s="2"/>
      <c r="AM15">
        <v>27930</v>
      </c>
      <c r="AN15" t="s">
        <v>14</v>
      </c>
      <c r="AO15">
        <v>9.6020000000000003</v>
      </c>
      <c r="AP15" s="5">
        <v>9.6003834753290338</v>
      </c>
      <c r="AQ15" s="2">
        <f>IF(ISBLANK(AN15),"",VLOOKUP(AN15,refs[#All],3,FALSE))</f>
        <v>8.6999999999999993</v>
      </c>
      <c r="AR15" s="2">
        <f t="shared" si="5"/>
        <v>0.89422028353314253</v>
      </c>
      <c r="AS15" s="2">
        <f t="shared" si="6"/>
        <v>0.89261770132753604</v>
      </c>
      <c r="BC15" s="5"/>
      <c r="BM15">
        <v>27911</v>
      </c>
      <c r="BN15" t="s">
        <v>12</v>
      </c>
      <c r="BO15">
        <v>75.691000000000003</v>
      </c>
      <c r="BP15">
        <v>-1.2669999999999999</v>
      </c>
      <c r="BQ15" s="5">
        <v>-1.2683668176079708</v>
      </c>
      <c r="BR15" s="11">
        <v>-1.8212296872789011</v>
      </c>
      <c r="BS15" s="11">
        <v>-1.8216799096665</v>
      </c>
      <c r="BT15">
        <v>27911</v>
      </c>
      <c r="BU15">
        <v>274778</v>
      </c>
      <c r="BV15" t="b">
        <f t="shared" si="7"/>
        <v>1</v>
      </c>
      <c r="BW15" s="2">
        <f>IF(ISBLANK(BN15),"",VLOOKUP(BN15,refs[#All],3,FALSE))</f>
        <v>-1.8</v>
      </c>
      <c r="BX15" s="2">
        <f t="shared" si="13"/>
        <v>0.53396113003389978</v>
      </c>
      <c r="BY15" s="2">
        <f t="shared" si="10"/>
        <v>0.53259184771792256</v>
      </c>
      <c r="BZ15" s="2">
        <f t="shared" si="11"/>
        <v>-2.1267969624316763E-2</v>
      </c>
      <c r="CA15" s="2">
        <f t="shared" si="12"/>
        <v>-2.1719003873488241E-2</v>
      </c>
    </row>
    <row r="16" spans="1:79" x14ac:dyDescent="0.2">
      <c r="A16" s="13">
        <v>44251.864618055559</v>
      </c>
      <c r="B16">
        <v>27824</v>
      </c>
      <c r="C16">
        <v>17</v>
      </c>
      <c r="D16" t="s">
        <v>109</v>
      </c>
      <c r="F16">
        <v>5.9850000000000003</v>
      </c>
      <c r="G16">
        <v>4</v>
      </c>
      <c r="H16">
        <v>231.6</v>
      </c>
      <c r="I16">
        <v>0</v>
      </c>
      <c r="J16">
        <v>29.4</v>
      </c>
      <c r="K16">
        <v>24.2</v>
      </c>
      <c r="L16">
        <v>1680</v>
      </c>
      <c r="M16">
        <v>1246</v>
      </c>
      <c r="N16">
        <v>192</v>
      </c>
      <c r="O16">
        <v>36.017000000000003</v>
      </c>
      <c r="P16">
        <v>35.752000000000002</v>
      </c>
      <c r="Q16">
        <v>0.26500000000000001</v>
      </c>
      <c r="R16">
        <v>1.4999999999999999E-2</v>
      </c>
      <c r="T16">
        <v>0.36738599999999999</v>
      </c>
      <c r="U16">
        <v>2.5030000000000001</v>
      </c>
      <c r="V16" s="6" t="str">
        <f t="shared" si="1"/>
        <v/>
      </c>
      <c r="W16" s="5">
        <f t="shared" si="2"/>
        <v>2.5027765778910047</v>
      </c>
      <c r="X16" s="11">
        <f t="shared" si="3"/>
        <v>1.9319556561159743</v>
      </c>
      <c r="Y16" s="11">
        <f t="shared" si="4"/>
        <v>1.9326293574684996</v>
      </c>
      <c r="AC16" s="2"/>
      <c r="AM16">
        <v>27931</v>
      </c>
      <c r="AN16" t="s">
        <v>12</v>
      </c>
      <c r="AO16">
        <v>-1.2210000000000001</v>
      </c>
      <c r="AP16" s="5">
        <v>-1.2226296671479655</v>
      </c>
      <c r="AQ16" s="2">
        <f>IF(ISBLANK(AN16),"",VLOOKUP(AN16,refs[#All],3,FALSE))</f>
        <v>-1.8</v>
      </c>
      <c r="AR16" s="2">
        <f t="shared" si="5"/>
        <v>0.58004407934286739</v>
      </c>
      <c r="AS16" s="2">
        <f t="shared" si="6"/>
        <v>0.57841147350434774</v>
      </c>
      <c r="BC16" s="5"/>
      <c r="BM16">
        <v>27922</v>
      </c>
      <c r="BN16" t="s">
        <v>12</v>
      </c>
      <c r="BO16">
        <v>77.34</v>
      </c>
      <c r="BP16">
        <v>-1.26</v>
      </c>
      <c r="BQ16" s="5">
        <v>-1.2615113848549679</v>
      </c>
      <c r="BR16" s="11">
        <v>-1.8142608059164331</v>
      </c>
      <c r="BS16" s="11">
        <v>-1.8148549788458013</v>
      </c>
      <c r="BT16">
        <v>27922</v>
      </c>
      <c r="BU16">
        <v>282067</v>
      </c>
      <c r="BV16" t="b">
        <f t="shared" si="7"/>
        <v>1</v>
      </c>
      <c r="BW16" s="2">
        <f>IF(ISBLANK(BN16),"",VLOOKUP(BN16,refs[#All],3,FALSE))</f>
        <v>-1.8</v>
      </c>
      <c r="BX16" s="2">
        <f t="shared" si="13"/>
        <v>0.54097375275485859</v>
      </c>
      <c r="BY16" s="2">
        <f t="shared" si="10"/>
        <v>0.53945964250146083</v>
      </c>
      <c r="BZ16" s="2">
        <f t="shared" si="11"/>
        <v>-1.4286521655471063E-2</v>
      </c>
      <c r="CA16" s="2">
        <f t="shared" si="12"/>
        <v>-1.4881766024710252E-2</v>
      </c>
    </row>
    <row r="17" spans="1:79" x14ac:dyDescent="0.2">
      <c r="A17" s="13">
        <v>44251.87195601852</v>
      </c>
      <c r="B17">
        <v>27825</v>
      </c>
      <c r="C17">
        <v>18</v>
      </c>
      <c r="D17" t="s">
        <v>110</v>
      </c>
      <c r="F17">
        <v>6.0289999999999999</v>
      </c>
      <c r="G17">
        <v>4</v>
      </c>
      <c r="H17">
        <v>231.8</v>
      </c>
      <c r="I17">
        <v>0</v>
      </c>
      <c r="J17">
        <v>29.4</v>
      </c>
      <c r="K17">
        <v>24.2</v>
      </c>
      <c r="L17">
        <v>2502</v>
      </c>
      <c r="M17">
        <v>1860</v>
      </c>
      <c r="N17">
        <v>289</v>
      </c>
      <c r="O17">
        <v>52.338000000000001</v>
      </c>
      <c r="P17">
        <v>51.951999999999998</v>
      </c>
      <c r="Q17">
        <v>0.38600000000000001</v>
      </c>
      <c r="R17">
        <v>2.1999999999999999E-2</v>
      </c>
      <c r="T17">
        <v>0.36803599999999997</v>
      </c>
      <c r="U17">
        <v>4.2839999999999998</v>
      </c>
      <c r="V17" s="6" t="str">
        <f t="shared" si="1"/>
        <v/>
      </c>
      <c r="W17" s="5">
        <f t="shared" si="2"/>
        <v>4.2837634354140048</v>
      </c>
      <c r="X17" s="11">
        <f t="shared" si="3"/>
        <v>3.7049738195642021</v>
      </c>
      <c r="Y17" s="11">
        <f t="shared" si="4"/>
        <v>3.7056275957916114</v>
      </c>
      <c r="AC17" s="2"/>
      <c r="AM17">
        <v>27932</v>
      </c>
      <c r="AN17" t="s">
        <v>12</v>
      </c>
      <c r="AO17">
        <v>-1.2789999999999999</v>
      </c>
      <c r="AP17" s="5">
        <v>-1.2806428096249649</v>
      </c>
      <c r="AQ17" s="2">
        <f>IF(ISBLANK(AN17),"",VLOOKUP(AN17,refs[#All],3,FALSE))</f>
        <v>-1.8</v>
      </c>
      <c r="AR17" s="2">
        <f t="shared" si="5"/>
        <v>0.52193949108381155</v>
      </c>
      <c r="AS17" s="2">
        <f t="shared" si="6"/>
        <v>0.52029371906936461</v>
      </c>
      <c r="BC17" s="5"/>
      <c r="BM17">
        <v>27928</v>
      </c>
      <c r="BN17" t="s">
        <v>11</v>
      </c>
      <c r="BO17">
        <v>70.09</v>
      </c>
      <c r="BP17">
        <v>0.28000000000000003</v>
      </c>
      <c r="BQ17" s="5">
        <v>0.27840976028303382</v>
      </c>
      <c r="BR17" s="11">
        <v>-0.28111615053569494</v>
      </c>
      <c r="BS17" s="11">
        <v>-0.28179467103063871</v>
      </c>
      <c r="BT17">
        <v>27928</v>
      </c>
      <c r="BU17">
        <v>209089</v>
      </c>
      <c r="BV17" t="b">
        <f t="shared" si="7"/>
        <v>1</v>
      </c>
      <c r="BW17" s="2">
        <f>IF(ISBLANK(BN17),"",VLOOKUP(BN17,refs[#All],3,FALSE))</f>
        <v>-0.4</v>
      </c>
      <c r="BX17" s="2">
        <f t="shared" si="13"/>
        <v>0.68027210884347156</v>
      </c>
      <c r="BY17" s="2">
        <f t="shared" si="10"/>
        <v>0.678681232776146</v>
      </c>
      <c r="BZ17" s="2">
        <f t="shared" si="11"/>
        <v>0.11893142203311946</v>
      </c>
      <c r="CA17" s="2">
        <f t="shared" si="12"/>
        <v>0.11825263002140929</v>
      </c>
    </row>
    <row r="18" spans="1:79" x14ac:dyDescent="0.2">
      <c r="A18" s="13">
        <v>44251.879282407404</v>
      </c>
      <c r="B18">
        <v>27826</v>
      </c>
      <c r="C18">
        <v>19</v>
      </c>
      <c r="D18" t="s">
        <v>111</v>
      </c>
      <c r="F18">
        <v>5.8079999999999998</v>
      </c>
      <c r="G18">
        <v>4</v>
      </c>
      <c r="H18">
        <v>230.9</v>
      </c>
      <c r="I18">
        <v>0</v>
      </c>
      <c r="J18">
        <v>29.6</v>
      </c>
      <c r="K18">
        <v>24.3</v>
      </c>
      <c r="L18">
        <v>1192</v>
      </c>
      <c r="M18">
        <v>885</v>
      </c>
      <c r="N18">
        <v>133</v>
      </c>
      <c r="O18">
        <v>25.986999999999998</v>
      </c>
      <c r="P18">
        <v>25.795999999999999</v>
      </c>
      <c r="Q18">
        <v>0.191</v>
      </c>
      <c r="R18">
        <v>0.01</v>
      </c>
      <c r="T18">
        <v>0.36778499999999997</v>
      </c>
      <c r="U18">
        <v>3.597</v>
      </c>
      <c r="V18" s="6" t="str">
        <f t="shared" si="1"/>
        <v/>
      </c>
      <c r="W18" s="5">
        <f t="shared" si="2"/>
        <v>3.5967502929370054</v>
      </c>
      <c r="X18" s="11">
        <f t="shared" si="3"/>
        <v>3.021055636229903</v>
      </c>
      <c r="Y18" s="11">
        <f t="shared" si="4"/>
        <v>3.0216989715009959</v>
      </c>
      <c r="AC18" s="2"/>
      <c r="AM18" s="2"/>
      <c r="AP18" s="5"/>
      <c r="AQ18" s="2" t="str">
        <f>IF(ISBLANK(AN18),"",VLOOKUP(AN18,refs[#All],3,FALSE))</f>
        <v/>
      </c>
      <c r="AR18" s="2" t="str">
        <f t="shared" si="5"/>
        <v/>
      </c>
      <c r="AS18" s="2" t="str">
        <f t="shared" si="6"/>
        <v/>
      </c>
      <c r="BC18" s="5"/>
      <c r="BM18">
        <v>27930</v>
      </c>
      <c r="BN18" t="s">
        <v>14</v>
      </c>
      <c r="BO18">
        <v>49.122999999999998</v>
      </c>
      <c r="BP18">
        <v>9.6020000000000003</v>
      </c>
      <c r="BQ18" s="5">
        <v>9.6003834753290338</v>
      </c>
      <c r="BR18" s="11">
        <v>8.9989938708034742</v>
      </c>
      <c r="BS18" s="11">
        <v>8.9982533381527219</v>
      </c>
      <c r="BT18">
        <v>27930</v>
      </c>
      <c r="BU18">
        <v>53233</v>
      </c>
      <c r="BV18" t="b">
        <f t="shared" si="7"/>
        <v>1</v>
      </c>
      <c r="BW18" s="2">
        <f>IF(ISBLANK(BN18),"",VLOOKUP(BN18,refs[#All],3,FALSE))</f>
        <v>8.6999999999999993</v>
      </c>
      <c r="BX18" s="2">
        <f t="shared" si="13"/>
        <v>0.89422028353314253</v>
      </c>
      <c r="BY18" s="2">
        <f t="shared" si="10"/>
        <v>0.89261770132753604</v>
      </c>
      <c r="BZ18" s="2">
        <f t="shared" si="11"/>
        <v>0.29641505978328375</v>
      </c>
      <c r="CA18" s="2">
        <f t="shared" si="12"/>
        <v>0.29568091419918119</v>
      </c>
    </row>
    <row r="19" spans="1:79" x14ac:dyDescent="0.2">
      <c r="A19" s="13">
        <v>44251.886608796296</v>
      </c>
      <c r="B19">
        <v>27827</v>
      </c>
      <c r="C19">
        <v>20</v>
      </c>
      <c r="D19" t="s">
        <v>112</v>
      </c>
      <c r="F19">
        <v>5.9530000000000003</v>
      </c>
      <c r="G19">
        <v>4</v>
      </c>
      <c r="H19">
        <v>231.2</v>
      </c>
      <c r="I19">
        <v>0</v>
      </c>
      <c r="J19">
        <v>29.4</v>
      </c>
      <c r="K19">
        <v>24.1</v>
      </c>
      <c r="L19">
        <v>1560</v>
      </c>
      <c r="M19">
        <v>1161</v>
      </c>
      <c r="N19">
        <v>177</v>
      </c>
      <c r="O19">
        <v>33.36</v>
      </c>
      <c r="P19">
        <v>33.113999999999997</v>
      </c>
      <c r="Q19">
        <v>0.246</v>
      </c>
      <c r="R19">
        <v>1.2999999999999999E-2</v>
      </c>
      <c r="T19">
        <v>0.36847299999999999</v>
      </c>
      <c r="U19">
        <v>5.4809999999999999</v>
      </c>
      <c r="V19" s="6" t="str">
        <f t="shared" si="1"/>
        <v/>
      </c>
      <c r="W19" s="5">
        <f t="shared" si="2"/>
        <v>5.4807371504600058</v>
      </c>
      <c r="X19" s="11">
        <f t="shared" si="3"/>
        <v>4.8965954412641395</v>
      </c>
      <c r="Y19" s="11">
        <f t="shared" si="4"/>
        <v>4.8972184360441133</v>
      </c>
      <c r="AM19" s="2"/>
      <c r="AP19" s="5"/>
      <c r="AQ19" s="2" t="str">
        <f>IF(ISBLANK(AN19),"",VLOOKUP(AN19,refs[#All],3,FALSE))</f>
        <v/>
      </c>
      <c r="AR19" s="2" t="str">
        <f t="shared" si="5"/>
        <v/>
      </c>
      <c r="AS19" s="2" t="str">
        <f t="shared" si="6"/>
        <v/>
      </c>
      <c r="BC19" s="5"/>
      <c r="BM19">
        <v>27931</v>
      </c>
      <c r="BN19" t="s">
        <v>12</v>
      </c>
      <c r="BO19">
        <v>71.271000000000001</v>
      </c>
      <c r="BP19">
        <v>-1.2210000000000001</v>
      </c>
      <c r="BQ19" s="5">
        <v>-1.2226296671479655</v>
      </c>
      <c r="BR19" s="11">
        <v>-1.7754341881440041</v>
      </c>
      <c r="BS19" s="11">
        <v>-1.776146264788963</v>
      </c>
      <c r="BT19">
        <v>27931</v>
      </c>
      <c r="BU19">
        <v>259561</v>
      </c>
      <c r="BV19" t="b">
        <f t="shared" si="7"/>
        <v>1</v>
      </c>
      <c r="BW19" s="2">
        <f>IF(ISBLANK(BN19),"",VLOOKUP(BN19,refs[#All],3,FALSE))</f>
        <v>-1.8</v>
      </c>
      <c r="BX19" s="2">
        <f t="shared" si="13"/>
        <v>0.58004407934286739</v>
      </c>
      <c r="BY19" s="2">
        <f t="shared" si="10"/>
        <v>0.57841147350434774</v>
      </c>
      <c r="BZ19" s="2">
        <f t="shared" si="11"/>
        <v>2.4610110054057444E-2</v>
      </c>
      <c r="CA19" s="2">
        <f t="shared" si="12"/>
        <v>2.3896749359764158E-2</v>
      </c>
    </row>
    <row r="20" spans="1:79" x14ac:dyDescent="0.2">
      <c r="A20" s="13">
        <v>44251.893935185188</v>
      </c>
      <c r="B20">
        <v>27828</v>
      </c>
      <c r="C20">
        <v>21</v>
      </c>
      <c r="D20" t="s">
        <v>113</v>
      </c>
      <c r="F20">
        <v>5.6909999999999998</v>
      </c>
      <c r="G20">
        <v>4</v>
      </c>
      <c r="H20">
        <v>231.4</v>
      </c>
      <c r="I20">
        <v>0</v>
      </c>
      <c r="J20">
        <v>29.4</v>
      </c>
      <c r="K20">
        <v>24.2</v>
      </c>
      <c r="L20">
        <v>1449</v>
      </c>
      <c r="M20">
        <v>1077</v>
      </c>
      <c r="N20">
        <v>165</v>
      </c>
      <c r="O20">
        <v>31.077000000000002</v>
      </c>
      <c r="P20">
        <v>30.847999999999999</v>
      </c>
      <c r="Q20">
        <v>0.22900000000000001</v>
      </c>
      <c r="R20">
        <v>1.2E-2</v>
      </c>
      <c r="T20">
        <v>0.36791400000000002</v>
      </c>
      <c r="U20">
        <v>3.95</v>
      </c>
      <c r="V20" s="6" t="str">
        <f t="shared" si="1"/>
        <v/>
      </c>
      <c r="W20" s="5">
        <f t="shared" si="2"/>
        <v>3.949724007983006</v>
      </c>
      <c r="X20" s="11">
        <f t="shared" si="3"/>
        <v>3.3724725692715083</v>
      </c>
      <c r="Y20" s="11">
        <f t="shared" si="4"/>
        <v>3.3730883803749521</v>
      </c>
      <c r="AM20" s="2"/>
      <c r="AP20" s="5"/>
      <c r="AQ20" s="2" t="str">
        <f>IF(ISBLANK(AN20),"",VLOOKUP(AN20,refs[#All],3,FALSE))</f>
        <v/>
      </c>
      <c r="AR20" s="2" t="str">
        <f t="shared" si="5"/>
        <v/>
      </c>
      <c r="AS20" s="2" t="str">
        <f t="shared" si="6"/>
        <v/>
      </c>
      <c r="BC20" s="5"/>
      <c r="BM20">
        <v>27932</v>
      </c>
      <c r="BN20" t="s">
        <v>12</v>
      </c>
      <c r="BO20">
        <v>73.921000000000006</v>
      </c>
      <c r="BP20">
        <v>-1.2789999999999999</v>
      </c>
      <c r="BQ20" s="5">
        <v>-1.2806428096249649</v>
      </c>
      <c r="BR20" s="11">
        <v>-1.8331763419279241</v>
      </c>
      <c r="BS20" s="11">
        <v>-1.833901282925126</v>
      </c>
      <c r="BT20">
        <v>27932</v>
      </c>
      <c r="BU20">
        <v>269255</v>
      </c>
      <c r="BV20" t="b">
        <f t="shared" si="7"/>
        <v>1</v>
      </c>
      <c r="BW20" s="2">
        <f>IF(ISBLANK(BN20),"",VLOOKUP(BN20,refs[#All],3,FALSE))</f>
        <v>-1.8</v>
      </c>
      <c r="BX20" s="2">
        <f t="shared" si="13"/>
        <v>0.52193949108381155</v>
      </c>
      <c r="BY20" s="2">
        <f t="shared" si="10"/>
        <v>0.52029371906936461</v>
      </c>
      <c r="BZ20" s="2">
        <f t="shared" si="11"/>
        <v>-3.3236167028660724E-2</v>
      </c>
      <c r="CA20" s="2">
        <f t="shared" si="12"/>
        <v>-3.3962415272648094E-2</v>
      </c>
    </row>
    <row r="21" spans="1:79" x14ac:dyDescent="0.2">
      <c r="A21" s="13">
        <v>44251.901261574072</v>
      </c>
      <c r="B21">
        <v>27829</v>
      </c>
      <c r="C21">
        <v>22</v>
      </c>
      <c r="D21" t="s">
        <v>114</v>
      </c>
      <c r="F21">
        <v>5.867</v>
      </c>
      <c r="G21">
        <v>4</v>
      </c>
      <c r="H21">
        <v>230.9</v>
      </c>
      <c r="I21">
        <v>0</v>
      </c>
      <c r="J21">
        <v>29.5</v>
      </c>
      <c r="K21">
        <v>24.2</v>
      </c>
      <c r="L21">
        <v>1216</v>
      </c>
      <c r="M21">
        <v>905</v>
      </c>
      <c r="N21">
        <v>136</v>
      </c>
      <c r="O21">
        <v>26.34</v>
      </c>
      <c r="P21">
        <v>26.146000000000001</v>
      </c>
      <c r="Q21">
        <v>0.19400000000000001</v>
      </c>
      <c r="R21">
        <v>0.01</v>
      </c>
      <c r="T21">
        <v>0.36834699999999998</v>
      </c>
      <c r="U21">
        <v>5.1349999999999998</v>
      </c>
      <c r="V21" s="6" t="str">
        <f t="shared" si="1"/>
        <v/>
      </c>
      <c r="W21" s="5">
        <f t="shared" si="2"/>
        <v>5.1347108655060056</v>
      </c>
      <c r="X21" s="11">
        <f t="shared" si="3"/>
        <v>4.5521512361029863</v>
      </c>
      <c r="Y21" s="11">
        <f t="shared" si="4"/>
        <v>4.5527493994346742</v>
      </c>
      <c r="AM21" s="2"/>
      <c r="AP21" s="5"/>
      <c r="AQ21" s="2" t="str">
        <f>IF(ISBLANK(AN21),"",VLOOKUP(AN21,refs[#All],3,FALSE))</f>
        <v/>
      </c>
      <c r="AR21" s="2" t="str">
        <f t="shared" si="5"/>
        <v/>
      </c>
      <c r="AS21" s="2" t="str">
        <f t="shared" si="6"/>
        <v/>
      </c>
      <c r="BC21" s="5"/>
      <c r="BQ21" s="5"/>
      <c r="BR21" s="11"/>
      <c r="BS21" s="11"/>
      <c r="BT21" s="11"/>
      <c r="BV21" t="b">
        <f t="shared" si="7"/>
        <v>1</v>
      </c>
      <c r="BW21" s="2" t="str">
        <f>IF(ISBLANK(BN21),"",VLOOKUP(BN21,refs[#All],3,FALSE))</f>
        <v/>
      </c>
      <c r="BX21" s="2" t="str">
        <f t="shared" si="13"/>
        <v/>
      </c>
      <c r="BY21" s="2" t="str">
        <f t="shared" si="10"/>
        <v/>
      </c>
      <c r="BZ21" s="2" t="str">
        <f t="shared" si="11"/>
        <v/>
      </c>
      <c r="CA21" s="2" t="str">
        <f t="shared" si="12"/>
        <v/>
      </c>
    </row>
    <row r="22" spans="1:79" x14ac:dyDescent="0.2">
      <c r="A22" s="13">
        <v>44251.908599537041</v>
      </c>
      <c r="B22">
        <v>27830</v>
      </c>
      <c r="C22">
        <v>23</v>
      </c>
      <c r="D22" t="s">
        <v>115</v>
      </c>
      <c r="F22">
        <v>5.9059999999999997</v>
      </c>
      <c r="G22">
        <v>4</v>
      </c>
      <c r="H22">
        <v>232</v>
      </c>
      <c r="I22">
        <v>0</v>
      </c>
      <c r="J22">
        <v>29.4</v>
      </c>
      <c r="K22">
        <v>24.1</v>
      </c>
      <c r="L22">
        <v>3731</v>
      </c>
      <c r="M22">
        <v>2774</v>
      </c>
      <c r="N22">
        <v>430</v>
      </c>
      <c r="O22">
        <v>73.340999999999994</v>
      </c>
      <c r="P22">
        <v>72.8</v>
      </c>
      <c r="Q22">
        <v>0.54100000000000004</v>
      </c>
      <c r="R22">
        <v>3.2000000000000001E-2</v>
      </c>
      <c r="T22">
        <v>0.368454</v>
      </c>
      <c r="U22">
        <v>5.4269999999999996</v>
      </c>
      <c r="V22" s="6" t="str">
        <f t="shared" si="1"/>
        <v/>
      </c>
      <c r="W22" s="5">
        <f t="shared" si="2"/>
        <v>5.4266977230290063</v>
      </c>
      <c r="X22" s="11">
        <f t="shared" si="3"/>
        <v>4.8428383143558449</v>
      </c>
      <c r="Y22" s="11">
        <f t="shared" si="4"/>
        <v>4.8434222676445415</v>
      </c>
      <c r="AO22" s="2"/>
      <c r="AP22" s="2"/>
      <c r="AQ22" s="2"/>
      <c r="AR22" s="2"/>
      <c r="AS22" s="2"/>
      <c r="BC22" s="5"/>
      <c r="BQ22" s="5"/>
      <c r="BR22" s="11"/>
      <c r="BS22" s="11"/>
      <c r="BT22" s="11"/>
      <c r="BV22" t="b">
        <f t="shared" si="7"/>
        <v>1</v>
      </c>
      <c r="BW22" s="2" t="str">
        <f>IF(ISBLANK(BN22),"",VLOOKUP(BN22,refs[#All],3,FALSE))</f>
        <v/>
      </c>
      <c r="BX22" s="2" t="str">
        <f t="shared" si="13"/>
        <v/>
      </c>
      <c r="BY22" s="2" t="str">
        <f t="shared" si="10"/>
        <v/>
      </c>
      <c r="BZ22" s="2" t="str">
        <f t="shared" si="11"/>
        <v/>
      </c>
      <c r="CA22" s="2" t="str">
        <f t="shared" si="12"/>
        <v/>
      </c>
    </row>
    <row r="23" spans="1:79" x14ac:dyDescent="0.2">
      <c r="A23" s="13">
        <v>44251.915914351855</v>
      </c>
      <c r="B23">
        <v>27831</v>
      </c>
      <c r="C23">
        <v>24</v>
      </c>
      <c r="D23" t="s">
        <v>116</v>
      </c>
      <c r="F23">
        <v>5.7560000000000002</v>
      </c>
      <c r="G23">
        <v>4</v>
      </c>
      <c r="H23">
        <v>231.4</v>
      </c>
      <c r="I23">
        <v>0</v>
      </c>
      <c r="J23">
        <v>30</v>
      </c>
      <c r="K23">
        <v>24.7</v>
      </c>
      <c r="L23">
        <v>1406</v>
      </c>
      <c r="M23">
        <v>1044</v>
      </c>
      <c r="N23">
        <v>159</v>
      </c>
      <c r="O23">
        <v>30.317</v>
      </c>
      <c r="P23">
        <v>30.094000000000001</v>
      </c>
      <c r="Q23">
        <v>0.223</v>
      </c>
      <c r="R23">
        <v>1.2E-2</v>
      </c>
      <c r="T23">
        <v>0.36757499999999999</v>
      </c>
      <c r="U23">
        <v>3.0209999999999999</v>
      </c>
      <c r="V23" s="6" t="str">
        <f t="shared" si="1"/>
        <v/>
      </c>
      <c r="W23" s="5">
        <f t="shared" si="2"/>
        <v>3.0206845805520066</v>
      </c>
      <c r="X23" s="11">
        <f t="shared" si="3"/>
        <v>2.4476366947192219</v>
      </c>
      <c r="Y23" s="11">
        <f t="shared" si="4"/>
        <v>2.448216824291876</v>
      </c>
      <c r="AO23" s="2"/>
      <c r="AP23" s="2"/>
      <c r="AQ23" s="2"/>
      <c r="AR23" s="2"/>
      <c r="AS23" s="2"/>
      <c r="BC23" s="5"/>
      <c r="BQ23" s="5"/>
      <c r="BR23" s="11"/>
      <c r="BS23" s="11"/>
      <c r="BT23" s="11"/>
      <c r="BV23" t="b">
        <f t="shared" si="7"/>
        <v>1</v>
      </c>
      <c r="BW23" s="2" t="str">
        <f>IF(ISBLANK(BN23),"",VLOOKUP(BN23,refs[#All],3,FALSE))</f>
        <v/>
      </c>
      <c r="BX23" s="2" t="str">
        <f t="shared" si="13"/>
        <v/>
      </c>
      <c r="BY23" s="2" t="str">
        <f t="shared" si="10"/>
        <v/>
      </c>
      <c r="BZ23" s="2" t="str">
        <f t="shared" si="11"/>
        <v/>
      </c>
      <c r="CA23" s="2" t="str">
        <f t="shared" si="12"/>
        <v/>
      </c>
    </row>
    <row r="24" spans="1:79" x14ac:dyDescent="0.2">
      <c r="A24" s="13">
        <v>44251.92324074074</v>
      </c>
      <c r="B24">
        <v>27832</v>
      </c>
      <c r="C24">
        <v>25</v>
      </c>
      <c r="D24" t="s">
        <v>117</v>
      </c>
      <c r="F24">
        <v>5.5410000000000004</v>
      </c>
      <c r="G24">
        <v>4</v>
      </c>
      <c r="H24">
        <v>231.4</v>
      </c>
      <c r="I24">
        <v>0</v>
      </c>
      <c r="J24">
        <v>29.6</v>
      </c>
      <c r="K24">
        <v>24.3</v>
      </c>
      <c r="L24">
        <v>1498</v>
      </c>
      <c r="M24">
        <v>1114</v>
      </c>
      <c r="N24">
        <v>170</v>
      </c>
      <c r="O24">
        <v>32.012</v>
      </c>
      <c r="P24">
        <v>31.776</v>
      </c>
      <c r="Q24">
        <v>0.23599999999999999</v>
      </c>
      <c r="R24">
        <v>1.2999999999999999E-2</v>
      </c>
      <c r="T24">
        <v>0.36808000000000002</v>
      </c>
      <c r="U24">
        <v>4.4029999999999996</v>
      </c>
      <c r="V24" s="6" t="str">
        <f t="shared" si="1"/>
        <v/>
      </c>
      <c r="W24" s="5">
        <f t="shared" si="2"/>
        <v>4.4026714380750063</v>
      </c>
      <c r="X24" s="11">
        <f t="shared" si="3"/>
        <v>3.8234396247263476</v>
      </c>
      <c r="Y24" s="11">
        <f t="shared" si="4"/>
        <v>3.8240013588075499</v>
      </c>
      <c r="AO24" s="2"/>
      <c r="AP24" s="2"/>
      <c r="AQ24" s="2"/>
      <c r="AR24" s="2"/>
      <c r="AS24" s="2"/>
      <c r="BC24" s="5"/>
      <c r="BV24" t="b">
        <f t="shared" si="7"/>
        <v>1</v>
      </c>
      <c r="BW24" s="2" t="str">
        <f>IF(ISBLANK(BN24),"",VLOOKUP(BN24,refs[#All],3,FALSE))</f>
        <v/>
      </c>
      <c r="BX24" s="2" t="str">
        <f t="shared" si="13"/>
        <v/>
      </c>
      <c r="BY24" s="2" t="str">
        <f t="shared" si="10"/>
        <v/>
      </c>
      <c r="BZ24" s="2" t="str">
        <f t="shared" si="11"/>
        <v/>
      </c>
      <c r="CA24" s="2" t="str">
        <f t="shared" si="12"/>
        <v/>
      </c>
    </row>
    <row r="25" spans="1:79" x14ac:dyDescent="0.2">
      <c r="A25" s="13">
        <v>44251.930578703701</v>
      </c>
      <c r="B25">
        <v>27833</v>
      </c>
      <c r="C25">
        <v>26</v>
      </c>
      <c r="D25" t="s">
        <v>118</v>
      </c>
      <c r="F25">
        <v>5.9279999999999999</v>
      </c>
      <c r="G25">
        <v>4</v>
      </c>
      <c r="H25">
        <v>231.4</v>
      </c>
      <c r="I25">
        <v>0</v>
      </c>
      <c r="J25">
        <v>29.5</v>
      </c>
      <c r="K25">
        <v>24.2</v>
      </c>
      <c r="L25">
        <v>2148</v>
      </c>
      <c r="M25">
        <v>1596</v>
      </c>
      <c r="N25">
        <v>249</v>
      </c>
      <c r="O25">
        <v>45.497</v>
      </c>
      <c r="P25">
        <v>45.161000000000001</v>
      </c>
      <c r="Q25">
        <v>0.33500000000000002</v>
      </c>
      <c r="R25">
        <v>1.9E-2</v>
      </c>
      <c r="T25">
        <v>0.36784</v>
      </c>
      <c r="U25">
        <v>3.7469999999999999</v>
      </c>
      <c r="V25" s="6" t="str">
        <f t="shared" si="1"/>
        <v/>
      </c>
      <c r="W25" s="5">
        <f t="shared" si="2"/>
        <v>3.746658295598007</v>
      </c>
      <c r="X25" s="11">
        <f t="shared" si="3"/>
        <v>3.170383063036752</v>
      </c>
      <c r="Y25" s="11">
        <f t="shared" si="4"/>
        <v>3.1709342372923857</v>
      </c>
      <c r="AO25" s="2"/>
      <c r="AP25" s="2"/>
      <c r="AQ25" s="2"/>
      <c r="AR25" s="2"/>
      <c r="AS25" s="2"/>
      <c r="BC25" s="5"/>
      <c r="BV25" t="b">
        <f t="shared" si="7"/>
        <v>1</v>
      </c>
      <c r="BW25" s="2" t="str">
        <f>IF(ISBLANK(BN25),"",VLOOKUP(BN25,refs[#All],3,FALSE))</f>
        <v/>
      </c>
      <c r="BX25" s="2" t="str">
        <f t="shared" si="13"/>
        <v/>
      </c>
      <c r="BY25" s="2" t="str">
        <f t="shared" si="10"/>
        <v/>
      </c>
      <c r="BZ25" s="2" t="str">
        <f t="shared" si="11"/>
        <v/>
      </c>
      <c r="CA25" s="2" t="str">
        <f t="shared" si="12"/>
        <v/>
      </c>
    </row>
    <row r="26" spans="1:79" x14ac:dyDescent="0.2">
      <c r="A26" s="13">
        <v>44251.937928240739</v>
      </c>
      <c r="B26">
        <v>27834</v>
      </c>
      <c r="C26">
        <v>27</v>
      </c>
      <c r="D26" t="s">
        <v>12</v>
      </c>
      <c r="G26">
        <v>4</v>
      </c>
      <c r="H26">
        <v>232.2</v>
      </c>
      <c r="I26">
        <v>57</v>
      </c>
      <c r="J26">
        <v>12.7</v>
      </c>
      <c r="K26">
        <v>11.5</v>
      </c>
      <c r="L26">
        <v>3207</v>
      </c>
      <c r="M26">
        <v>2369</v>
      </c>
      <c r="N26">
        <v>372</v>
      </c>
      <c r="O26">
        <v>72.108000000000004</v>
      </c>
      <c r="P26">
        <v>71.578999999999994</v>
      </c>
      <c r="Q26">
        <v>0.52800000000000002</v>
      </c>
      <c r="R26">
        <v>3.1E-2</v>
      </c>
      <c r="T26">
        <v>0.36600199999999999</v>
      </c>
      <c r="U26">
        <v>-1.288</v>
      </c>
      <c r="V26" s="6" t="str">
        <f t="shared" si="1"/>
        <v/>
      </c>
      <c r="W26" s="5">
        <f t="shared" si="2"/>
        <v>-1.2883548468789925</v>
      </c>
      <c r="X26" s="11">
        <f t="shared" si="3"/>
        <v>-1.8421363336481136</v>
      </c>
      <c r="Y26" s="11">
        <f t="shared" si="4"/>
        <v>-1.8415790081215846</v>
      </c>
      <c r="AO26" s="2"/>
      <c r="AP26" s="2"/>
      <c r="AQ26" s="2"/>
      <c r="AR26" s="2"/>
      <c r="AS26" s="2"/>
      <c r="BC26" s="5"/>
    </row>
    <row r="27" spans="1:79" x14ac:dyDescent="0.2">
      <c r="A27" s="13">
        <v>44251.945243055554</v>
      </c>
      <c r="B27">
        <v>27835</v>
      </c>
      <c r="C27">
        <v>28</v>
      </c>
      <c r="D27" t="s">
        <v>119</v>
      </c>
      <c r="F27">
        <v>5.9210000000000003</v>
      </c>
      <c r="G27">
        <v>4</v>
      </c>
      <c r="H27">
        <v>230.9</v>
      </c>
      <c r="I27">
        <v>0</v>
      </c>
      <c r="J27">
        <v>29.7</v>
      </c>
      <c r="K27">
        <v>24.3</v>
      </c>
      <c r="L27">
        <v>811</v>
      </c>
      <c r="M27">
        <v>603</v>
      </c>
      <c r="N27">
        <v>86</v>
      </c>
      <c r="O27">
        <v>17.882000000000001</v>
      </c>
      <c r="P27">
        <v>17.75</v>
      </c>
      <c r="Q27">
        <v>0.13200000000000001</v>
      </c>
      <c r="R27">
        <v>6.0000000000000001E-3</v>
      </c>
      <c r="T27">
        <v>0.36780099999999999</v>
      </c>
      <c r="U27">
        <v>3.64</v>
      </c>
      <c r="V27" s="6" t="str">
        <f t="shared" si="1"/>
        <v/>
      </c>
      <c r="W27" s="5">
        <f t="shared" si="2"/>
        <v>3.6396320106440081</v>
      </c>
      <c r="X27" s="11">
        <f t="shared" si="3"/>
        <v>3.063862849766906</v>
      </c>
      <c r="Y27" s="11">
        <f t="shared" si="4"/>
        <v>3.0643882682611547</v>
      </c>
      <c r="AO27" s="2"/>
      <c r="AP27" s="2"/>
      <c r="AQ27" s="2"/>
      <c r="AR27" s="2"/>
      <c r="AS27" s="2"/>
      <c r="BC27" s="5"/>
    </row>
    <row r="28" spans="1:79" x14ac:dyDescent="0.2">
      <c r="A28" s="13">
        <v>44251.952581018515</v>
      </c>
      <c r="B28">
        <v>27836</v>
      </c>
      <c r="C28">
        <v>29</v>
      </c>
      <c r="D28" t="s">
        <v>120</v>
      </c>
      <c r="F28">
        <v>5.9809999999999999</v>
      </c>
      <c r="G28">
        <v>4</v>
      </c>
      <c r="H28">
        <v>231.6</v>
      </c>
      <c r="I28">
        <v>0</v>
      </c>
      <c r="J28">
        <v>28.7</v>
      </c>
      <c r="K28">
        <v>23.5</v>
      </c>
      <c r="L28">
        <v>729</v>
      </c>
      <c r="M28">
        <v>542</v>
      </c>
      <c r="N28">
        <v>77</v>
      </c>
      <c r="O28">
        <v>15.942</v>
      </c>
      <c r="P28">
        <v>15.824999999999999</v>
      </c>
      <c r="Q28">
        <v>0.11799999999999999</v>
      </c>
      <c r="R28">
        <v>5.0000000000000001E-3</v>
      </c>
      <c r="T28">
        <v>0.36801499999999998</v>
      </c>
      <c r="U28">
        <v>4.2270000000000003</v>
      </c>
      <c r="V28" s="6" t="str">
        <f t="shared" si="1"/>
        <v/>
      </c>
      <c r="W28" s="5">
        <f t="shared" si="2"/>
        <v>4.2266188681670087</v>
      </c>
      <c r="X28" s="11">
        <f t="shared" si="3"/>
        <v>3.6482296554775075</v>
      </c>
      <c r="Y28" s="11">
        <f t="shared" si="4"/>
        <v>3.6487397332693945</v>
      </c>
      <c r="AO28" s="2"/>
      <c r="AP28" s="2"/>
      <c r="AQ28" s="2"/>
      <c r="AR28" s="2"/>
      <c r="AS28" s="2"/>
      <c r="BC28" s="5"/>
    </row>
    <row r="29" spans="1:79" x14ac:dyDescent="0.2">
      <c r="A29" s="13">
        <v>44251.959907407407</v>
      </c>
      <c r="B29">
        <v>27837</v>
      </c>
      <c r="C29">
        <v>30</v>
      </c>
      <c r="D29" t="s">
        <v>121</v>
      </c>
      <c r="F29">
        <v>5.6360000000000001</v>
      </c>
      <c r="G29">
        <v>4</v>
      </c>
      <c r="H29">
        <v>230.7</v>
      </c>
      <c r="I29">
        <v>0</v>
      </c>
      <c r="J29">
        <v>28.4</v>
      </c>
      <c r="K29">
        <v>23.3</v>
      </c>
      <c r="L29">
        <v>1160</v>
      </c>
      <c r="M29">
        <v>860</v>
      </c>
      <c r="N29">
        <v>130</v>
      </c>
      <c r="O29">
        <v>25.259</v>
      </c>
      <c r="P29">
        <v>25.074000000000002</v>
      </c>
      <c r="Q29">
        <v>0.186</v>
      </c>
      <c r="R29">
        <v>0.01</v>
      </c>
      <c r="T29">
        <v>0.36735200000000001</v>
      </c>
      <c r="U29">
        <v>2.4089999999999998</v>
      </c>
      <c r="V29" s="6" t="str">
        <f t="shared" si="1"/>
        <v/>
      </c>
      <c r="W29" s="5">
        <f t="shared" si="2"/>
        <v>2.4086057256900082</v>
      </c>
      <c r="X29" s="11">
        <f t="shared" si="3"/>
        <v>1.8383762482870907</v>
      </c>
      <c r="Y29" s="11">
        <f t="shared" si="4"/>
        <v>1.83888022276426</v>
      </c>
      <c r="AO29" s="2"/>
      <c r="AP29" s="2"/>
      <c r="AQ29" s="2"/>
      <c r="AR29" s="2"/>
      <c r="AS29" s="2"/>
      <c r="BC29" s="5"/>
    </row>
    <row r="30" spans="1:79" x14ac:dyDescent="0.2">
      <c r="A30" s="13">
        <v>44251.967268518521</v>
      </c>
      <c r="B30">
        <v>27838</v>
      </c>
      <c r="C30">
        <v>31</v>
      </c>
      <c r="D30" t="s">
        <v>122</v>
      </c>
      <c r="F30">
        <v>5.8460000000000001</v>
      </c>
      <c r="G30">
        <v>4</v>
      </c>
      <c r="H30">
        <v>232</v>
      </c>
      <c r="I30">
        <v>0</v>
      </c>
      <c r="J30">
        <v>29.1</v>
      </c>
      <c r="K30">
        <v>23.8</v>
      </c>
      <c r="L30">
        <v>1791</v>
      </c>
      <c r="M30">
        <v>1332</v>
      </c>
      <c r="N30">
        <v>207</v>
      </c>
      <c r="O30">
        <v>38.03</v>
      </c>
      <c r="P30">
        <v>37.749000000000002</v>
      </c>
      <c r="Q30">
        <v>0.28000000000000003</v>
      </c>
      <c r="R30">
        <v>1.6E-2</v>
      </c>
      <c r="T30">
        <v>0.36826399999999998</v>
      </c>
      <c r="U30">
        <v>4.9080000000000004</v>
      </c>
      <c r="V30" s="6" t="str">
        <f t="shared" si="1"/>
        <v/>
      </c>
      <c r="W30" s="5">
        <f t="shared" si="2"/>
        <v>4.9075925832130087</v>
      </c>
      <c r="X30" s="11">
        <f t="shared" si="3"/>
        <v>4.3261714407530008</v>
      </c>
      <c r="Y30" s="11">
        <f t="shared" si="4"/>
        <v>4.3266527290998056</v>
      </c>
      <c r="AO30" s="2"/>
      <c r="AP30" s="2"/>
      <c r="AQ30" s="2"/>
      <c r="AR30" s="2"/>
      <c r="AS30" s="2"/>
      <c r="BC30" s="5"/>
    </row>
    <row r="31" spans="1:79" x14ac:dyDescent="0.2">
      <c r="A31" s="13">
        <v>44251.974594907406</v>
      </c>
      <c r="B31">
        <v>27839</v>
      </c>
      <c r="C31">
        <v>32</v>
      </c>
      <c r="D31" t="s">
        <v>123</v>
      </c>
      <c r="F31">
        <v>5.7869999999999999</v>
      </c>
      <c r="G31">
        <v>4</v>
      </c>
      <c r="H31">
        <v>230.9</v>
      </c>
      <c r="I31">
        <v>0</v>
      </c>
      <c r="J31">
        <v>29.6</v>
      </c>
      <c r="K31">
        <v>24.2</v>
      </c>
      <c r="L31">
        <v>1023</v>
      </c>
      <c r="M31">
        <v>760</v>
      </c>
      <c r="N31">
        <v>112</v>
      </c>
      <c r="O31">
        <v>22.355</v>
      </c>
      <c r="P31">
        <v>22.19</v>
      </c>
      <c r="Q31">
        <v>0.16500000000000001</v>
      </c>
      <c r="R31">
        <v>8.0000000000000002E-3</v>
      </c>
      <c r="T31">
        <v>0.36768400000000001</v>
      </c>
      <c r="U31">
        <v>3.32</v>
      </c>
      <c r="V31" s="6" t="str">
        <f t="shared" si="1"/>
        <v/>
      </c>
      <c r="W31" s="5">
        <f t="shared" si="2"/>
        <v>3.3195794407360086</v>
      </c>
      <c r="X31" s="11">
        <f t="shared" si="3"/>
        <v>2.7452971957906129</v>
      </c>
      <c r="Y31" s="11">
        <f t="shared" si="4"/>
        <v>2.7457715093247543</v>
      </c>
      <c r="AO31" s="2"/>
      <c r="AP31" s="2"/>
      <c r="AQ31" s="2"/>
      <c r="AR31" s="2"/>
      <c r="AS31" s="2"/>
      <c r="BC31" s="5"/>
    </row>
    <row r="32" spans="1:79" x14ac:dyDescent="0.2">
      <c r="A32" s="13">
        <v>44251.981921296298</v>
      </c>
      <c r="B32">
        <v>27840</v>
      </c>
      <c r="C32">
        <v>33</v>
      </c>
      <c r="D32" t="s">
        <v>124</v>
      </c>
      <c r="F32">
        <v>5.8179999999999996</v>
      </c>
      <c r="G32">
        <v>4</v>
      </c>
      <c r="H32">
        <v>231.4</v>
      </c>
      <c r="I32">
        <v>0</v>
      </c>
      <c r="J32">
        <v>28.6</v>
      </c>
      <c r="K32">
        <v>23.5</v>
      </c>
      <c r="L32">
        <v>791</v>
      </c>
      <c r="M32">
        <v>588</v>
      </c>
      <c r="N32">
        <v>85</v>
      </c>
      <c r="O32">
        <v>17.37</v>
      </c>
      <c r="P32">
        <v>17.242000000000001</v>
      </c>
      <c r="Q32">
        <v>0.128</v>
      </c>
      <c r="R32">
        <v>6.0000000000000001E-3</v>
      </c>
      <c r="T32">
        <v>0.36777799999999999</v>
      </c>
      <c r="U32">
        <v>3.577</v>
      </c>
      <c r="V32" s="6" t="str">
        <f t="shared" si="1"/>
        <v/>
      </c>
      <c r="W32" s="5">
        <f t="shared" si="2"/>
        <v>3.5765662982590092</v>
      </c>
      <c r="X32" s="11">
        <f t="shared" si="3"/>
        <v>3.0011452994633601</v>
      </c>
      <c r="Y32" s="11">
        <f t="shared" si="4"/>
        <v>3.0016055424888464</v>
      </c>
      <c r="AO32" s="2"/>
      <c r="AP32" s="2"/>
      <c r="AQ32" s="2"/>
      <c r="AR32" s="2"/>
      <c r="AS32" s="2"/>
      <c r="BC32" s="5"/>
    </row>
    <row r="33" spans="1:55" x14ac:dyDescent="0.2">
      <c r="A33" s="13">
        <v>44251.989247685182</v>
      </c>
      <c r="B33">
        <v>27841</v>
      </c>
      <c r="C33">
        <v>34</v>
      </c>
      <c r="D33" t="s">
        <v>125</v>
      </c>
      <c r="F33">
        <v>5.8090000000000002</v>
      </c>
      <c r="G33">
        <v>4</v>
      </c>
      <c r="H33">
        <v>231.4</v>
      </c>
      <c r="I33">
        <v>0</v>
      </c>
      <c r="J33">
        <v>28.3</v>
      </c>
      <c r="K33">
        <v>23.2</v>
      </c>
      <c r="L33">
        <v>1457</v>
      </c>
      <c r="M33">
        <v>1083</v>
      </c>
      <c r="N33">
        <v>167</v>
      </c>
      <c r="O33">
        <v>31.254999999999999</v>
      </c>
      <c r="P33">
        <v>31.024000000000001</v>
      </c>
      <c r="Q33">
        <v>0.23</v>
      </c>
      <c r="R33">
        <v>1.2999999999999999E-2</v>
      </c>
      <c r="T33">
        <v>0.36809199999999997</v>
      </c>
      <c r="U33">
        <v>4.4359999999999999</v>
      </c>
      <c r="V33" s="6" t="str">
        <f t="shared" si="1"/>
        <v/>
      </c>
      <c r="W33" s="5">
        <f t="shared" si="2"/>
        <v>4.4355531557820091</v>
      </c>
      <c r="X33" s="11">
        <f t="shared" si="3"/>
        <v>3.8562914671996396</v>
      </c>
      <c r="Y33" s="11">
        <f t="shared" si="4"/>
        <v>3.8567353234423081</v>
      </c>
      <c r="AO33" s="2"/>
      <c r="AP33" s="2"/>
      <c r="AQ33" s="2"/>
      <c r="AR33" s="2"/>
      <c r="AS33" s="2"/>
      <c r="BC33" s="5"/>
    </row>
    <row r="34" spans="1:55" x14ac:dyDescent="0.2">
      <c r="A34" s="13">
        <v>44251.996574074074</v>
      </c>
      <c r="B34">
        <v>27842</v>
      </c>
      <c r="C34">
        <v>35</v>
      </c>
      <c r="D34" t="s">
        <v>126</v>
      </c>
      <c r="F34">
        <v>5.9210000000000003</v>
      </c>
      <c r="G34">
        <v>4</v>
      </c>
      <c r="H34">
        <v>231.2</v>
      </c>
      <c r="I34">
        <v>0</v>
      </c>
      <c r="J34">
        <v>29.3</v>
      </c>
      <c r="K34">
        <v>24</v>
      </c>
      <c r="L34">
        <v>833</v>
      </c>
      <c r="M34">
        <v>618</v>
      </c>
      <c r="N34">
        <v>90</v>
      </c>
      <c r="O34">
        <v>18.314</v>
      </c>
      <c r="P34">
        <v>18.178999999999998</v>
      </c>
      <c r="Q34">
        <v>0.13500000000000001</v>
      </c>
      <c r="R34">
        <v>6.0000000000000001E-3</v>
      </c>
      <c r="T34">
        <v>0.36731900000000001</v>
      </c>
      <c r="U34">
        <v>2.319</v>
      </c>
      <c r="V34" s="6" t="str">
        <f t="shared" si="1"/>
        <v/>
      </c>
      <c r="W34" s="5">
        <f t="shared" si="2"/>
        <v>2.3185400133050096</v>
      </c>
      <c r="X34" s="11">
        <f t="shared" si="3"/>
        <v>1.7487788786633018</v>
      </c>
      <c r="Y34" s="11">
        <f t="shared" si="4"/>
        <v>1.7492177797073509</v>
      </c>
      <c r="AO34" s="2"/>
      <c r="AP34" s="2"/>
      <c r="AQ34" s="2"/>
      <c r="AR34" s="2"/>
      <c r="AS34" s="2"/>
      <c r="BC34" s="5"/>
    </row>
    <row r="35" spans="1:55" x14ac:dyDescent="0.2">
      <c r="A35" s="13">
        <v>44252.003900462965</v>
      </c>
      <c r="B35">
        <v>27843</v>
      </c>
      <c r="C35">
        <v>36</v>
      </c>
      <c r="D35" t="s">
        <v>127</v>
      </c>
      <c r="F35">
        <v>5.8360000000000003</v>
      </c>
      <c r="G35">
        <v>4</v>
      </c>
      <c r="H35">
        <v>231.2</v>
      </c>
      <c r="I35">
        <v>0</v>
      </c>
      <c r="J35">
        <v>28.6</v>
      </c>
      <c r="K35">
        <v>23.5</v>
      </c>
      <c r="L35">
        <v>1538</v>
      </c>
      <c r="M35">
        <v>1144</v>
      </c>
      <c r="N35">
        <v>177</v>
      </c>
      <c r="O35">
        <v>33.018000000000001</v>
      </c>
      <c r="P35">
        <v>32.774000000000001</v>
      </c>
      <c r="Q35">
        <v>0.24399999999999999</v>
      </c>
      <c r="R35">
        <v>1.2999999999999999E-2</v>
      </c>
      <c r="T35">
        <v>0.36835899999999999</v>
      </c>
      <c r="U35">
        <v>5.1680000000000001</v>
      </c>
      <c r="V35" s="6" t="str">
        <f t="shared" si="1"/>
        <v/>
      </c>
      <c r="W35" s="5">
        <f t="shared" si="2"/>
        <v>5.1675268708280102</v>
      </c>
      <c r="X35" s="11">
        <f t="shared" si="3"/>
        <v>4.5850028911230538</v>
      </c>
      <c r="Y35" s="11">
        <f t="shared" si="4"/>
        <v>4.5854177603263224</v>
      </c>
      <c r="AO35" s="2"/>
      <c r="AP35" s="2"/>
      <c r="AQ35" s="2"/>
      <c r="AR35" s="2"/>
      <c r="AS35" s="2"/>
      <c r="BC35" s="5"/>
    </row>
    <row r="36" spans="1:55" x14ac:dyDescent="0.2">
      <c r="A36" s="13">
        <v>44252.011238425926</v>
      </c>
      <c r="B36">
        <v>27844</v>
      </c>
      <c r="C36">
        <v>37</v>
      </c>
      <c r="D36" t="s">
        <v>128</v>
      </c>
      <c r="F36">
        <v>5.6589999999999998</v>
      </c>
      <c r="G36">
        <v>4</v>
      </c>
      <c r="H36">
        <v>231.2</v>
      </c>
      <c r="I36">
        <v>0</v>
      </c>
      <c r="J36">
        <v>29.2</v>
      </c>
      <c r="K36">
        <v>24</v>
      </c>
      <c r="L36">
        <v>1801</v>
      </c>
      <c r="M36">
        <v>1338</v>
      </c>
      <c r="N36">
        <v>211</v>
      </c>
      <c r="O36">
        <v>38.475000000000001</v>
      </c>
      <c r="P36">
        <v>38.191000000000003</v>
      </c>
      <c r="Q36">
        <v>0.28299999999999997</v>
      </c>
      <c r="R36">
        <v>1.6E-2</v>
      </c>
      <c r="T36">
        <v>0.36788100000000001</v>
      </c>
      <c r="U36">
        <v>3.859</v>
      </c>
      <c r="V36" s="6" t="str">
        <f t="shared" si="1"/>
        <v/>
      </c>
      <c r="W36" s="5">
        <f t="shared" si="2"/>
        <v>3.8585137283510105</v>
      </c>
      <c r="X36" s="11">
        <f t="shared" si="3"/>
        <v>3.2818807611951115</v>
      </c>
      <c r="Y36" s="11">
        <f t="shared" si="4"/>
        <v>3.282287586609641</v>
      </c>
      <c r="AO36" s="2"/>
      <c r="AP36" s="2"/>
      <c r="AQ36" s="2"/>
      <c r="AR36" s="2"/>
      <c r="AS36" s="2"/>
      <c r="BC36" s="5"/>
    </row>
    <row r="37" spans="1:55" x14ac:dyDescent="0.2">
      <c r="A37" s="13">
        <v>44252.018564814818</v>
      </c>
      <c r="B37">
        <v>27845</v>
      </c>
      <c r="C37">
        <v>38</v>
      </c>
      <c r="D37" t="s">
        <v>12</v>
      </c>
      <c r="G37">
        <v>4</v>
      </c>
      <c r="H37">
        <v>232.4</v>
      </c>
      <c r="I37">
        <v>57</v>
      </c>
      <c r="J37">
        <v>12.7</v>
      </c>
      <c r="K37">
        <v>11.6</v>
      </c>
      <c r="L37">
        <v>3361</v>
      </c>
      <c r="M37">
        <v>2484</v>
      </c>
      <c r="N37">
        <v>394</v>
      </c>
      <c r="O37">
        <v>75.454999999999998</v>
      </c>
      <c r="P37">
        <v>74.902000000000001</v>
      </c>
      <c r="Q37">
        <v>0.55300000000000005</v>
      </c>
      <c r="R37">
        <v>3.3000000000000002E-2</v>
      </c>
      <c r="T37">
        <v>0.36603400000000003</v>
      </c>
      <c r="U37">
        <v>-1.2010000000000001</v>
      </c>
      <c r="V37" s="6" t="str">
        <f t="shared" si="1"/>
        <v/>
      </c>
      <c r="W37" s="5">
        <f t="shared" si="2"/>
        <v>-1.2014994141259894</v>
      </c>
      <c r="X37" s="11">
        <f t="shared" si="3"/>
        <v>-1.7555231066855868</v>
      </c>
      <c r="Y37" s="11">
        <f t="shared" si="4"/>
        <v>-1.7551100354539813</v>
      </c>
      <c r="AO37" s="2"/>
      <c r="AP37" s="2"/>
      <c r="AQ37" s="2"/>
      <c r="AR37" s="2"/>
      <c r="AS37" s="2"/>
      <c r="BC37" s="5"/>
    </row>
    <row r="38" spans="1:55" x14ac:dyDescent="0.2">
      <c r="A38" s="13">
        <v>44252.025902777779</v>
      </c>
      <c r="B38">
        <v>27846</v>
      </c>
      <c r="C38">
        <v>39</v>
      </c>
      <c r="D38" t="s">
        <v>129</v>
      </c>
      <c r="F38">
        <v>5.8029999999999999</v>
      </c>
      <c r="G38">
        <v>4</v>
      </c>
      <c r="H38">
        <v>232.2</v>
      </c>
      <c r="I38">
        <v>0</v>
      </c>
      <c r="J38">
        <v>29.6</v>
      </c>
      <c r="K38">
        <v>24.3</v>
      </c>
      <c r="L38">
        <v>2810</v>
      </c>
      <c r="M38">
        <v>2090</v>
      </c>
      <c r="N38">
        <v>328</v>
      </c>
      <c r="O38">
        <v>56.682000000000002</v>
      </c>
      <c r="P38">
        <v>56.264000000000003</v>
      </c>
      <c r="Q38">
        <v>0.41799999999999998</v>
      </c>
      <c r="R38">
        <v>2.5000000000000001E-2</v>
      </c>
      <c r="T38">
        <v>0.36819200000000002</v>
      </c>
      <c r="U38">
        <v>4.7110000000000003</v>
      </c>
      <c r="V38" s="6" t="str">
        <f t="shared" si="1"/>
        <v/>
      </c>
      <c r="W38" s="5">
        <f t="shared" si="2"/>
        <v>4.7104874433970112</v>
      </c>
      <c r="X38" s="11">
        <f t="shared" si="3"/>
        <v>4.130056492502149</v>
      </c>
      <c r="Y38" s="11">
        <f t="shared" si="4"/>
        <v>4.1304338728158427</v>
      </c>
      <c r="AO38" s="2"/>
      <c r="AP38" s="2"/>
      <c r="AQ38" s="2"/>
      <c r="AR38" s="2"/>
      <c r="AS38" s="2"/>
      <c r="BC38" s="5"/>
    </row>
    <row r="39" spans="1:55" x14ac:dyDescent="0.2">
      <c r="A39" s="13">
        <v>44252.033229166664</v>
      </c>
      <c r="B39">
        <v>27847</v>
      </c>
      <c r="C39">
        <v>40</v>
      </c>
      <c r="D39" t="s">
        <v>130</v>
      </c>
      <c r="F39">
        <v>5.742</v>
      </c>
      <c r="G39">
        <v>4</v>
      </c>
      <c r="H39">
        <v>230.7</v>
      </c>
      <c r="I39">
        <v>0</v>
      </c>
      <c r="J39">
        <v>30</v>
      </c>
      <c r="K39">
        <v>24.8</v>
      </c>
      <c r="L39">
        <v>762</v>
      </c>
      <c r="M39">
        <v>566</v>
      </c>
      <c r="N39">
        <v>81</v>
      </c>
      <c r="O39">
        <v>16.771000000000001</v>
      </c>
      <c r="P39">
        <v>16.646999999999998</v>
      </c>
      <c r="Q39">
        <v>0.123</v>
      </c>
      <c r="R39">
        <v>5.0000000000000001E-3</v>
      </c>
      <c r="T39">
        <v>0.36760799999999999</v>
      </c>
      <c r="U39">
        <v>3.11</v>
      </c>
      <c r="V39" s="6" t="str">
        <f t="shared" si="1"/>
        <v/>
      </c>
      <c r="W39" s="5">
        <f t="shared" si="2"/>
        <v>3.1094743009200112</v>
      </c>
      <c r="X39" s="11">
        <f t="shared" si="3"/>
        <v>2.5362380535109423</v>
      </c>
      <c r="Y39" s="11">
        <f t="shared" si="4"/>
        <v>2.536608504642345</v>
      </c>
      <c r="AO39" s="2"/>
      <c r="AP39" s="2"/>
      <c r="AQ39" s="2"/>
      <c r="AR39" s="2"/>
      <c r="AS39" s="2"/>
      <c r="BC39" s="5"/>
    </row>
    <row r="40" spans="1:55" x14ac:dyDescent="0.2">
      <c r="A40" s="13">
        <v>44252.040555555555</v>
      </c>
      <c r="B40">
        <v>27848</v>
      </c>
      <c r="C40">
        <v>41</v>
      </c>
      <c r="D40" t="s">
        <v>131</v>
      </c>
      <c r="F40">
        <v>5.6749999999999998</v>
      </c>
      <c r="G40">
        <v>4</v>
      </c>
      <c r="H40">
        <v>232</v>
      </c>
      <c r="I40">
        <v>0</v>
      </c>
      <c r="J40">
        <v>28.5</v>
      </c>
      <c r="K40">
        <v>23.5</v>
      </c>
      <c r="L40">
        <v>3292</v>
      </c>
      <c r="M40">
        <v>2441</v>
      </c>
      <c r="N40">
        <v>386</v>
      </c>
      <c r="O40">
        <v>66.850999999999999</v>
      </c>
      <c r="P40">
        <v>66.358999999999995</v>
      </c>
      <c r="Q40">
        <v>0.49199999999999999</v>
      </c>
      <c r="R40">
        <v>0.03</v>
      </c>
      <c r="T40">
        <v>0.36732999999999999</v>
      </c>
      <c r="U40">
        <v>2.3490000000000002</v>
      </c>
      <c r="V40" s="6" t="str">
        <f t="shared" si="1"/>
        <v/>
      </c>
      <c r="W40" s="5">
        <f t="shared" si="2"/>
        <v>2.3484611584430115</v>
      </c>
      <c r="X40" s="11">
        <f t="shared" si="3"/>
        <v>1.7786446755221732</v>
      </c>
      <c r="Y40" s="11">
        <f t="shared" si="4"/>
        <v>1.7790049598755786</v>
      </c>
      <c r="AO40" s="2"/>
      <c r="AP40" s="2"/>
      <c r="AQ40" s="2"/>
      <c r="AR40" s="2"/>
      <c r="AS40" s="2"/>
      <c r="BC40" s="5"/>
    </row>
    <row r="41" spans="1:55" x14ac:dyDescent="0.2">
      <c r="A41" s="13">
        <v>44252.047881944447</v>
      </c>
      <c r="B41">
        <v>27849</v>
      </c>
      <c r="C41">
        <v>42</v>
      </c>
      <c r="D41" t="s">
        <v>132</v>
      </c>
      <c r="F41">
        <v>5.7279999999999998</v>
      </c>
      <c r="G41">
        <v>4</v>
      </c>
      <c r="H41">
        <v>231.8</v>
      </c>
      <c r="I41">
        <v>0</v>
      </c>
      <c r="J41">
        <v>29.7</v>
      </c>
      <c r="K41">
        <v>24.6</v>
      </c>
      <c r="L41">
        <v>2750</v>
      </c>
      <c r="M41">
        <v>2043</v>
      </c>
      <c r="N41">
        <v>321</v>
      </c>
      <c r="O41">
        <v>56.395000000000003</v>
      </c>
      <c r="P41">
        <v>55.978999999999999</v>
      </c>
      <c r="Q41">
        <v>0.41499999999999998</v>
      </c>
      <c r="R41">
        <v>2.5000000000000001E-2</v>
      </c>
      <c r="T41">
        <v>0.36794100000000002</v>
      </c>
      <c r="U41">
        <v>4.0229999999999997</v>
      </c>
      <c r="V41" s="6" t="str">
        <f t="shared" si="1"/>
        <v/>
      </c>
      <c r="W41" s="5">
        <f t="shared" si="2"/>
        <v>4.0224480159660114</v>
      </c>
      <c r="X41" s="11">
        <f t="shared" si="3"/>
        <v>3.4451450721550145</v>
      </c>
      <c r="Y41" s="11">
        <f t="shared" si="4"/>
        <v>3.4454858497495024</v>
      </c>
      <c r="AO41" s="2"/>
      <c r="AP41" s="2"/>
      <c r="AQ41" s="2"/>
      <c r="AR41" s="2"/>
      <c r="AS41" s="2"/>
      <c r="BC41" s="5"/>
    </row>
    <row r="42" spans="1:55" x14ac:dyDescent="0.2">
      <c r="A42" s="13">
        <v>44252.055277777778</v>
      </c>
      <c r="B42">
        <v>27850</v>
      </c>
      <c r="C42">
        <v>43</v>
      </c>
      <c r="D42" t="s">
        <v>133</v>
      </c>
      <c r="F42">
        <v>5.8879999999999999</v>
      </c>
      <c r="G42">
        <v>4</v>
      </c>
      <c r="H42">
        <v>231.4</v>
      </c>
      <c r="I42">
        <v>0</v>
      </c>
      <c r="J42">
        <v>30</v>
      </c>
      <c r="K42">
        <v>24.8</v>
      </c>
      <c r="L42">
        <v>1389</v>
      </c>
      <c r="M42">
        <v>1033</v>
      </c>
      <c r="N42">
        <v>158</v>
      </c>
      <c r="O42">
        <v>29.876999999999999</v>
      </c>
      <c r="P42">
        <v>29.657</v>
      </c>
      <c r="Q42">
        <v>0.22</v>
      </c>
      <c r="R42">
        <v>1.2E-2</v>
      </c>
      <c r="T42">
        <v>0.36822700000000003</v>
      </c>
      <c r="U42">
        <v>4.806</v>
      </c>
      <c r="V42" s="6" t="str">
        <f t="shared" si="1"/>
        <v/>
      </c>
      <c r="W42" s="5">
        <f t="shared" si="2"/>
        <v>4.8054348734890118</v>
      </c>
      <c r="X42" s="11">
        <f t="shared" si="3"/>
        <v>4.2246297284949605</v>
      </c>
      <c r="Y42" s="11">
        <f t="shared" si="4"/>
        <v>4.2249544093384657</v>
      </c>
      <c r="AO42" s="2"/>
      <c r="AP42" s="2"/>
      <c r="AQ42" s="2"/>
      <c r="AR42" s="2"/>
      <c r="AS42" s="2"/>
      <c r="BC42" s="5"/>
    </row>
    <row r="43" spans="1:55" x14ac:dyDescent="0.2">
      <c r="A43" s="13">
        <v>44252.062604166669</v>
      </c>
      <c r="B43">
        <v>27851</v>
      </c>
      <c r="C43">
        <v>44</v>
      </c>
      <c r="D43" t="s">
        <v>134</v>
      </c>
      <c r="F43">
        <v>5.9550000000000001</v>
      </c>
      <c r="G43">
        <v>4</v>
      </c>
      <c r="H43">
        <v>231.6</v>
      </c>
      <c r="I43">
        <v>0</v>
      </c>
      <c r="J43">
        <v>29.9</v>
      </c>
      <c r="K43">
        <v>24.6</v>
      </c>
      <c r="L43">
        <v>1192</v>
      </c>
      <c r="M43">
        <v>887</v>
      </c>
      <c r="N43">
        <v>135</v>
      </c>
      <c r="O43">
        <v>25.884</v>
      </c>
      <c r="P43">
        <v>25.693000000000001</v>
      </c>
      <c r="Q43">
        <v>0.191</v>
      </c>
      <c r="R43">
        <v>0.01</v>
      </c>
      <c r="T43">
        <v>0.36852200000000002</v>
      </c>
      <c r="U43">
        <v>5.6139999999999999</v>
      </c>
      <c r="V43" s="6" t="str">
        <f t="shared" si="1"/>
        <v/>
      </c>
      <c r="W43" s="5">
        <f t="shared" si="2"/>
        <v>5.6134217310120125</v>
      </c>
      <c r="X43" s="11">
        <f t="shared" si="3"/>
        <v>5.028997157334743</v>
      </c>
      <c r="Y43" s="11">
        <f t="shared" si="4"/>
        <v>5.0293056393638835</v>
      </c>
      <c r="AO43" s="2"/>
      <c r="AP43" s="2"/>
      <c r="AQ43" s="2"/>
      <c r="AR43" s="2"/>
      <c r="AS43" s="2"/>
      <c r="BC43" s="5"/>
    </row>
    <row r="44" spans="1:55" x14ac:dyDescent="0.2">
      <c r="A44" s="13">
        <v>44252.069930555554</v>
      </c>
      <c r="B44">
        <v>27852</v>
      </c>
      <c r="C44">
        <v>45</v>
      </c>
      <c r="D44" t="s">
        <v>135</v>
      </c>
      <c r="F44">
        <v>5.6189999999999998</v>
      </c>
      <c r="G44">
        <v>4</v>
      </c>
      <c r="H44">
        <v>232</v>
      </c>
      <c r="I44">
        <v>0</v>
      </c>
      <c r="J44">
        <v>29.5</v>
      </c>
      <c r="K44">
        <v>24.3</v>
      </c>
      <c r="L44">
        <v>1716</v>
      </c>
      <c r="M44">
        <v>1275</v>
      </c>
      <c r="N44">
        <v>199</v>
      </c>
      <c r="O44">
        <v>36.6</v>
      </c>
      <c r="P44">
        <v>36.331000000000003</v>
      </c>
      <c r="Q44">
        <v>0.27</v>
      </c>
      <c r="R44">
        <v>1.4999999999999999E-2</v>
      </c>
      <c r="T44">
        <v>0.367869</v>
      </c>
      <c r="U44">
        <v>3.827</v>
      </c>
      <c r="V44" s="6" t="str">
        <f t="shared" si="1"/>
        <v/>
      </c>
      <c r="W44" s="5">
        <f t="shared" si="2"/>
        <v>3.8264085885350125</v>
      </c>
      <c r="X44" s="11">
        <f t="shared" si="3"/>
        <v>3.2500242859401851</v>
      </c>
      <c r="Y44" s="11">
        <f t="shared" si="4"/>
        <v>3.2503265664945502</v>
      </c>
      <c r="AO44" s="2"/>
      <c r="AP44" s="2"/>
      <c r="AQ44" s="2"/>
      <c r="AR44" s="2"/>
      <c r="AS44" s="2"/>
      <c r="BC44" s="5"/>
    </row>
    <row r="45" spans="1:55" x14ac:dyDescent="0.2">
      <c r="A45" s="13">
        <v>44252.077256944445</v>
      </c>
      <c r="B45">
        <v>27853</v>
      </c>
      <c r="C45">
        <v>46</v>
      </c>
      <c r="D45" t="s">
        <v>136</v>
      </c>
      <c r="F45">
        <v>5.79</v>
      </c>
      <c r="G45">
        <v>4</v>
      </c>
      <c r="H45">
        <v>230.9</v>
      </c>
      <c r="I45">
        <v>0</v>
      </c>
      <c r="J45">
        <v>29.6</v>
      </c>
      <c r="K45">
        <v>24.4</v>
      </c>
      <c r="L45">
        <v>1042</v>
      </c>
      <c r="M45">
        <v>776</v>
      </c>
      <c r="N45">
        <v>116</v>
      </c>
      <c r="O45">
        <v>22.882000000000001</v>
      </c>
      <c r="P45">
        <v>22.713000000000001</v>
      </c>
      <c r="Q45">
        <v>0.16900000000000001</v>
      </c>
      <c r="R45">
        <v>8.0000000000000002E-3</v>
      </c>
      <c r="T45">
        <v>0.36855100000000002</v>
      </c>
      <c r="U45">
        <v>5.6950000000000003</v>
      </c>
      <c r="V45" s="6" t="str">
        <f t="shared" si="1"/>
        <v/>
      </c>
      <c r="W45" s="5">
        <f t="shared" si="2"/>
        <v>5.6943954460580128</v>
      </c>
      <c r="X45" s="11">
        <f t="shared" si="3"/>
        <v>5.1096327216704367</v>
      </c>
      <c r="Y45" s="11">
        <f t="shared" si="4"/>
        <v>5.1099147244651704</v>
      </c>
      <c r="AO45" s="2"/>
      <c r="AP45" s="2"/>
      <c r="AQ45" s="2"/>
      <c r="AR45" s="2"/>
      <c r="AS45" s="2"/>
      <c r="BC45" s="5"/>
    </row>
    <row r="46" spans="1:55" x14ac:dyDescent="0.2">
      <c r="A46" s="13">
        <v>44252.084583333337</v>
      </c>
      <c r="B46">
        <v>27854</v>
      </c>
      <c r="C46">
        <v>47</v>
      </c>
      <c r="D46" t="s">
        <v>137</v>
      </c>
      <c r="F46">
        <v>5.827</v>
      </c>
      <c r="G46">
        <v>4</v>
      </c>
      <c r="H46">
        <v>231.6</v>
      </c>
      <c r="I46">
        <v>0</v>
      </c>
      <c r="J46">
        <v>28.6</v>
      </c>
      <c r="K46">
        <v>23.6</v>
      </c>
      <c r="L46">
        <v>1571</v>
      </c>
      <c r="M46">
        <v>1168</v>
      </c>
      <c r="N46">
        <v>182</v>
      </c>
      <c r="O46">
        <v>33.575000000000003</v>
      </c>
      <c r="P46">
        <v>33.328000000000003</v>
      </c>
      <c r="Q46">
        <v>0.248</v>
      </c>
      <c r="R46">
        <v>1.4E-2</v>
      </c>
      <c r="T46">
        <v>0.36809700000000001</v>
      </c>
      <c r="U46">
        <v>4.45</v>
      </c>
      <c r="V46" s="6" t="str">
        <f t="shared" si="1"/>
        <v/>
      </c>
      <c r="W46" s="5">
        <f t="shared" si="2"/>
        <v>4.4493823035810136</v>
      </c>
      <c r="X46" s="11">
        <f t="shared" si="3"/>
        <v>3.8702286099384082</v>
      </c>
      <c r="Y46" s="11">
        <f t="shared" si="4"/>
        <v>3.8705023278456565</v>
      </c>
      <c r="AO46" s="2"/>
      <c r="AP46" s="2"/>
      <c r="AQ46" s="2"/>
      <c r="AR46" s="2"/>
      <c r="AS46" s="2"/>
      <c r="BC46" s="5"/>
    </row>
    <row r="47" spans="1:55" x14ac:dyDescent="0.2">
      <c r="A47" s="13">
        <v>44252.091909722221</v>
      </c>
      <c r="B47">
        <v>27855</v>
      </c>
      <c r="C47">
        <v>48</v>
      </c>
      <c r="D47" t="s">
        <v>138</v>
      </c>
      <c r="F47">
        <v>5.8220000000000001</v>
      </c>
      <c r="G47">
        <v>4</v>
      </c>
      <c r="H47">
        <v>231.6</v>
      </c>
      <c r="I47">
        <v>0</v>
      </c>
      <c r="J47">
        <v>29.3</v>
      </c>
      <c r="K47">
        <v>24.2</v>
      </c>
      <c r="L47">
        <v>2414</v>
      </c>
      <c r="M47">
        <v>1792</v>
      </c>
      <c r="N47">
        <v>285</v>
      </c>
      <c r="O47">
        <v>51.152000000000001</v>
      </c>
      <c r="P47">
        <v>50.776000000000003</v>
      </c>
      <c r="Q47">
        <v>0.376</v>
      </c>
      <c r="R47">
        <v>2.1999999999999999E-2</v>
      </c>
      <c r="T47">
        <v>0.36753200000000003</v>
      </c>
      <c r="U47">
        <v>2.9020000000000001</v>
      </c>
      <c r="V47" s="6" t="str">
        <f t="shared" si="1"/>
        <v/>
      </c>
      <c r="W47" s="5">
        <f t="shared" si="2"/>
        <v>2.9013691611040135</v>
      </c>
      <c r="X47" s="11">
        <f t="shared" si="3"/>
        <v>2.3291696133273945</v>
      </c>
      <c r="Y47" s="11">
        <f t="shared" si="4"/>
        <v>2.3294361936320911</v>
      </c>
      <c r="AO47" s="2"/>
      <c r="AP47" s="2"/>
      <c r="AQ47" s="2"/>
      <c r="AR47" s="2"/>
      <c r="AS47" s="2"/>
      <c r="BC47" s="5"/>
    </row>
    <row r="48" spans="1:55" x14ac:dyDescent="0.2">
      <c r="A48" s="13">
        <v>44252.099247685182</v>
      </c>
      <c r="B48">
        <v>27856</v>
      </c>
      <c r="C48">
        <v>49</v>
      </c>
      <c r="D48" t="s">
        <v>12</v>
      </c>
      <c r="G48">
        <v>4</v>
      </c>
      <c r="H48">
        <v>232.4</v>
      </c>
      <c r="I48">
        <v>57</v>
      </c>
      <c r="J48">
        <v>12.7</v>
      </c>
      <c r="K48">
        <v>11.6</v>
      </c>
      <c r="L48">
        <v>3182</v>
      </c>
      <c r="M48">
        <v>2352</v>
      </c>
      <c r="N48">
        <v>375</v>
      </c>
      <c r="O48">
        <v>71.501000000000005</v>
      </c>
      <c r="P48">
        <v>70.975999999999999</v>
      </c>
      <c r="Q48">
        <v>0.52400000000000002</v>
      </c>
      <c r="R48">
        <v>3.2000000000000001E-2</v>
      </c>
      <c r="T48">
        <v>0.36602099999999999</v>
      </c>
      <c r="U48">
        <v>-1.2350000000000001</v>
      </c>
      <c r="V48" s="6" t="str">
        <f t="shared" si="1"/>
        <v/>
      </c>
      <c r="W48" s="5">
        <f t="shared" si="2"/>
        <v>-1.2356439813729865</v>
      </c>
      <c r="X48" s="11">
        <f t="shared" si="3"/>
        <v>-1.789371947011773</v>
      </c>
      <c r="Y48" s="11">
        <f t="shared" si="4"/>
        <v>-1.7891026707000037</v>
      </c>
      <c r="AO48" s="2"/>
      <c r="AP48" s="2"/>
      <c r="AQ48" s="2"/>
      <c r="AR48" s="2"/>
      <c r="AS48" s="2"/>
      <c r="BC48" s="5"/>
    </row>
    <row r="49" spans="1:55" x14ac:dyDescent="0.2">
      <c r="A49" s="13">
        <v>44252.106562499997</v>
      </c>
      <c r="B49">
        <v>27857</v>
      </c>
      <c r="C49">
        <v>50</v>
      </c>
      <c r="D49" t="s">
        <v>139</v>
      </c>
      <c r="F49">
        <v>5.8179999999999996</v>
      </c>
      <c r="G49">
        <v>4</v>
      </c>
      <c r="H49">
        <v>231.4</v>
      </c>
      <c r="I49">
        <v>0</v>
      </c>
      <c r="J49">
        <v>29.8</v>
      </c>
      <c r="K49">
        <v>24.5</v>
      </c>
      <c r="L49">
        <v>878</v>
      </c>
      <c r="M49">
        <v>653</v>
      </c>
      <c r="N49">
        <v>96</v>
      </c>
      <c r="O49">
        <v>19.306999999999999</v>
      </c>
      <c r="P49">
        <v>19.164000000000001</v>
      </c>
      <c r="Q49">
        <v>0.14199999999999999</v>
      </c>
      <c r="R49">
        <v>7.0000000000000001E-3</v>
      </c>
      <c r="T49">
        <v>0.36820700000000001</v>
      </c>
      <c r="U49">
        <v>4.7530000000000001</v>
      </c>
      <c r="V49" s="6" t="str">
        <f t="shared" si="1"/>
        <v/>
      </c>
      <c r="W49" s="5">
        <f t="shared" si="2"/>
        <v>4.7523428761500144</v>
      </c>
      <c r="X49" s="11">
        <f t="shared" si="3"/>
        <v>4.171867826525272</v>
      </c>
      <c r="Y49" s="11">
        <f t="shared" si="4"/>
        <v>4.1721011278011702</v>
      </c>
      <c r="AO49" s="2"/>
      <c r="AP49" s="2"/>
      <c r="AQ49" s="2"/>
      <c r="AR49" s="2"/>
      <c r="AS49" s="2"/>
      <c r="BC49" s="5"/>
    </row>
    <row r="50" spans="1:55" x14ac:dyDescent="0.2">
      <c r="A50" s="13">
        <v>44252.113900462966</v>
      </c>
      <c r="B50">
        <v>27858</v>
      </c>
      <c r="C50">
        <v>51</v>
      </c>
      <c r="D50" t="s">
        <v>140</v>
      </c>
      <c r="F50">
        <v>5.77</v>
      </c>
      <c r="G50">
        <v>4</v>
      </c>
      <c r="H50">
        <v>231.2</v>
      </c>
      <c r="I50">
        <v>0</v>
      </c>
      <c r="J50">
        <v>28.7</v>
      </c>
      <c r="K50">
        <v>23.6</v>
      </c>
      <c r="L50">
        <v>1077</v>
      </c>
      <c r="M50">
        <v>801</v>
      </c>
      <c r="N50">
        <v>122</v>
      </c>
      <c r="O50">
        <v>23.457999999999998</v>
      </c>
      <c r="P50">
        <v>23.285</v>
      </c>
      <c r="Q50">
        <v>0.17299999999999999</v>
      </c>
      <c r="R50">
        <v>8.9999999999999993E-3</v>
      </c>
      <c r="T50">
        <v>0.36793900000000002</v>
      </c>
      <c r="U50">
        <v>4.0179999999999998</v>
      </c>
      <c r="V50" s="6" t="str">
        <f t="shared" si="1"/>
        <v/>
      </c>
      <c r="W50" s="5">
        <f t="shared" si="2"/>
        <v>4.017329733673014</v>
      </c>
      <c r="X50" s="11">
        <f t="shared" si="3"/>
        <v>3.4401675047836306</v>
      </c>
      <c r="Y50" s="11">
        <f t="shared" si="4"/>
        <v>3.4403905504379964</v>
      </c>
      <c r="AO50" s="2"/>
      <c r="AP50" s="2"/>
      <c r="AQ50" s="2"/>
      <c r="AR50" s="2"/>
      <c r="AS50" s="2"/>
      <c r="BC50" s="5"/>
    </row>
    <row r="51" spans="1:55" x14ac:dyDescent="0.2">
      <c r="A51" s="13">
        <v>44252.12122685185</v>
      </c>
      <c r="B51">
        <v>27859</v>
      </c>
      <c r="C51">
        <v>52</v>
      </c>
      <c r="D51" t="s">
        <v>141</v>
      </c>
      <c r="F51">
        <v>5.9779999999999998</v>
      </c>
      <c r="G51">
        <v>4</v>
      </c>
      <c r="H51">
        <v>231.4</v>
      </c>
      <c r="I51">
        <v>0</v>
      </c>
      <c r="J51">
        <v>29.2</v>
      </c>
      <c r="K51">
        <v>23.9</v>
      </c>
      <c r="L51">
        <v>709</v>
      </c>
      <c r="M51">
        <v>527</v>
      </c>
      <c r="N51">
        <v>75</v>
      </c>
      <c r="O51">
        <v>15.502000000000001</v>
      </c>
      <c r="P51">
        <v>15.388</v>
      </c>
      <c r="Q51">
        <v>0.114</v>
      </c>
      <c r="R51">
        <v>5.0000000000000001E-3</v>
      </c>
      <c r="T51">
        <v>0.36812600000000001</v>
      </c>
      <c r="U51">
        <v>4.53</v>
      </c>
      <c r="V51" s="6" t="str">
        <f t="shared" si="1"/>
        <v/>
      </c>
      <c r="W51" s="5">
        <f t="shared" si="2"/>
        <v>4.5293165911960145</v>
      </c>
      <c r="X51" s="11">
        <f t="shared" si="3"/>
        <v>3.94986939640944</v>
      </c>
      <c r="Y51" s="11">
        <f t="shared" si="4"/>
        <v>3.9500773893697669</v>
      </c>
      <c r="AO51" s="2"/>
      <c r="AP51" s="2"/>
      <c r="AQ51" s="2"/>
      <c r="AR51" s="2"/>
      <c r="AS51" s="2"/>
      <c r="BC51" s="5"/>
    </row>
    <row r="52" spans="1:55" x14ac:dyDescent="0.2">
      <c r="A52" s="13">
        <v>44252.128564814811</v>
      </c>
      <c r="B52">
        <v>27860</v>
      </c>
      <c r="C52">
        <v>53</v>
      </c>
      <c r="D52" t="s">
        <v>142</v>
      </c>
      <c r="F52">
        <v>5.75</v>
      </c>
      <c r="G52">
        <v>4</v>
      </c>
      <c r="H52">
        <v>232.2</v>
      </c>
      <c r="I52">
        <v>0</v>
      </c>
      <c r="J52">
        <v>28.6</v>
      </c>
      <c r="K52">
        <v>23.5</v>
      </c>
      <c r="L52">
        <v>2791</v>
      </c>
      <c r="M52">
        <v>2071</v>
      </c>
      <c r="N52">
        <v>331</v>
      </c>
      <c r="O52">
        <v>57.284999999999997</v>
      </c>
      <c r="P52">
        <v>56.863</v>
      </c>
      <c r="Q52">
        <v>0.42199999999999999</v>
      </c>
      <c r="R52">
        <v>2.5000000000000001E-2</v>
      </c>
      <c r="T52">
        <v>0.36735400000000001</v>
      </c>
      <c r="U52">
        <v>2.415</v>
      </c>
      <c r="V52" s="6" t="str">
        <f t="shared" si="1"/>
        <v/>
      </c>
      <c r="W52" s="5">
        <f t="shared" si="2"/>
        <v>2.4143034487190147</v>
      </c>
      <c r="X52" s="11">
        <f t="shared" si="3"/>
        <v>1.8443494040268433</v>
      </c>
      <c r="Y52" s="11">
        <f t="shared" si="4"/>
        <v>1.8445524321124367</v>
      </c>
      <c r="AO52" s="2"/>
      <c r="AP52" s="2"/>
      <c r="AQ52" s="2"/>
      <c r="AR52" s="2"/>
      <c r="AS52" s="2"/>
      <c r="BC52" s="5"/>
    </row>
    <row r="53" spans="1:55" x14ac:dyDescent="0.2">
      <c r="A53" s="13">
        <v>44252.135891203703</v>
      </c>
      <c r="B53">
        <v>27861</v>
      </c>
      <c r="C53">
        <v>54</v>
      </c>
      <c r="D53" t="s">
        <v>143</v>
      </c>
      <c r="F53">
        <v>5.6180000000000003</v>
      </c>
      <c r="G53">
        <v>4</v>
      </c>
      <c r="H53">
        <v>231.2</v>
      </c>
      <c r="I53">
        <v>0</v>
      </c>
      <c r="J53">
        <v>29.5</v>
      </c>
      <c r="K53">
        <v>24.3</v>
      </c>
      <c r="L53">
        <v>2148</v>
      </c>
      <c r="M53">
        <v>1596</v>
      </c>
      <c r="N53">
        <v>253</v>
      </c>
      <c r="O53">
        <v>45.738999999999997</v>
      </c>
      <c r="P53">
        <v>45.402000000000001</v>
      </c>
      <c r="Q53">
        <v>0.33700000000000002</v>
      </c>
      <c r="R53">
        <v>0.02</v>
      </c>
      <c r="T53">
        <v>0.36797299999999999</v>
      </c>
      <c r="U53">
        <v>4.1120000000000001</v>
      </c>
      <c r="V53" s="6" t="str">
        <f t="shared" si="1"/>
        <v/>
      </c>
      <c r="W53" s="5">
        <f t="shared" si="2"/>
        <v>4.1112903062420152</v>
      </c>
      <c r="X53" s="11">
        <f t="shared" si="3"/>
        <v>3.5337457389053952</v>
      </c>
      <c r="Y53" s="11">
        <f t="shared" si="4"/>
        <v>3.5339291728364515</v>
      </c>
      <c r="AO53" s="2"/>
      <c r="AP53" s="2"/>
      <c r="AQ53" s="2"/>
      <c r="AR53" s="2"/>
      <c r="AS53" s="2"/>
      <c r="BC53" s="5"/>
    </row>
    <row r="54" spans="1:55" x14ac:dyDescent="0.2">
      <c r="A54" s="13">
        <v>44252.143217592595</v>
      </c>
      <c r="B54">
        <v>27862</v>
      </c>
      <c r="C54">
        <v>55</v>
      </c>
      <c r="D54" t="s">
        <v>144</v>
      </c>
      <c r="F54">
        <v>5.5990000000000002</v>
      </c>
      <c r="G54">
        <v>4</v>
      </c>
      <c r="H54">
        <v>231.2</v>
      </c>
      <c r="I54">
        <v>0</v>
      </c>
      <c r="J54">
        <v>29.7</v>
      </c>
      <c r="K54">
        <v>24.4</v>
      </c>
      <c r="L54">
        <v>1252</v>
      </c>
      <c r="M54">
        <v>930</v>
      </c>
      <c r="N54">
        <v>142</v>
      </c>
      <c r="O54">
        <v>27.202999999999999</v>
      </c>
      <c r="P54">
        <v>27.003</v>
      </c>
      <c r="Q54">
        <v>0.2</v>
      </c>
      <c r="R54">
        <v>1.0999999999999999E-2</v>
      </c>
      <c r="T54">
        <v>0.36752099999999999</v>
      </c>
      <c r="U54">
        <v>2.8730000000000002</v>
      </c>
      <c r="V54" s="6" t="str">
        <f t="shared" si="1"/>
        <v/>
      </c>
      <c r="W54" s="5">
        <f t="shared" si="2"/>
        <v>2.8722771637650157</v>
      </c>
      <c r="X54" s="11">
        <f t="shared" si="3"/>
        <v>2.3002994675950958</v>
      </c>
      <c r="Y54" s="11">
        <f t="shared" si="4"/>
        <v>2.3004745740166754</v>
      </c>
      <c r="AO54" s="2"/>
      <c r="AP54" s="2"/>
      <c r="AQ54" s="2"/>
      <c r="AR54" s="2"/>
      <c r="AS54" s="2"/>
      <c r="BC54" s="5"/>
    </row>
    <row r="55" spans="1:55" x14ac:dyDescent="0.2">
      <c r="A55" s="13">
        <v>44252.150543981479</v>
      </c>
      <c r="B55">
        <v>27863</v>
      </c>
      <c r="C55">
        <v>56</v>
      </c>
      <c r="D55" t="s">
        <v>145</v>
      </c>
      <c r="F55">
        <v>5.8639999999999999</v>
      </c>
      <c r="G55">
        <v>4</v>
      </c>
      <c r="H55">
        <v>231.8</v>
      </c>
      <c r="I55">
        <v>0</v>
      </c>
      <c r="J55">
        <v>29.5</v>
      </c>
      <c r="K55">
        <v>24.1</v>
      </c>
      <c r="L55">
        <v>2053</v>
      </c>
      <c r="M55">
        <v>1526</v>
      </c>
      <c r="N55">
        <v>242</v>
      </c>
      <c r="O55">
        <v>43.493000000000002</v>
      </c>
      <c r="P55">
        <v>43.173000000000002</v>
      </c>
      <c r="Q55">
        <v>0.32100000000000001</v>
      </c>
      <c r="R55">
        <v>1.9E-2</v>
      </c>
      <c r="T55">
        <v>0.36815300000000001</v>
      </c>
      <c r="U55">
        <v>4.6040000000000001</v>
      </c>
      <c r="V55" s="6" t="str">
        <f t="shared" si="1"/>
        <v/>
      </c>
      <c r="W55" s="5">
        <f t="shared" si="2"/>
        <v>4.603264021288016</v>
      </c>
      <c r="X55" s="11">
        <f t="shared" si="3"/>
        <v>4.023537079677908</v>
      </c>
      <c r="Y55" s="11">
        <f t="shared" si="4"/>
        <v>4.023692454208458</v>
      </c>
      <c r="AO55" s="2"/>
      <c r="AP55" s="2"/>
      <c r="AQ55" s="2"/>
      <c r="AR55" s="2"/>
      <c r="AS55" s="2"/>
      <c r="BC55" s="5"/>
    </row>
    <row r="56" spans="1:55" x14ac:dyDescent="0.2">
      <c r="A56" s="13">
        <v>44252.157881944448</v>
      </c>
      <c r="B56">
        <v>27864</v>
      </c>
      <c r="C56">
        <v>57</v>
      </c>
      <c r="D56" t="s">
        <v>146</v>
      </c>
      <c r="F56">
        <v>5.7729999999999997</v>
      </c>
      <c r="G56">
        <v>4</v>
      </c>
      <c r="H56">
        <v>231.4</v>
      </c>
      <c r="I56">
        <v>0</v>
      </c>
      <c r="J56">
        <v>29.6</v>
      </c>
      <c r="K56">
        <v>24.2</v>
      </c>
      <c r="L56">
        <v>1167</v>
      </c>
      <c r="M56">
        <v>869</v>
      </c>
      <c r="N56">
        <v>132</v>
      </c>
      <c r="O56">
        <v>25.395</v>
      </c>
      <c r="P56">
        <v>25.207999999999998</v>
      </c>
      <c r="Q56">
        <v>0.187</v>
      </c>
      <c r="R56">
        <v>0.01</v>
      </c>
      <c r="T56">
        <v>0.36856499999999998</v>
      </c>
      <c r="U56">
        <v>5.7329999999999997</v>
      </c>
      <c r="V56" s="6" t="str">
        <f t="shared" si="1"/>
        <v/>
      </c>
      <c r="W56" s="5">
        <f t="shared" si="2"/>
        <v>5.7322508788110156</v>
      </c>
      <c r="X56" s="11">
        <f t="shared" si="3"/>
        <v>5.1474617343070577</v>
      </c>
      <c r="Y56" s="11">
        <f t="shared" si="4"/>
        <v>5.1475996742494772</v>
      </c>
      <c r="AO56" s="2"/>
      <c r="AP56" s="2"/>
      <c r="AQ56" s="2"/>
      <c r="AR56" s="2"/>
      <c r="AS56" s="2"/>
      <c r="BC56" s="5"/>
    </row>
    <row r="57" spans="1:55" x14ac:dyDescent="0.2">
      <c r="A57" s="13">
        <v>44252.165208333332</v>
      </c>
      <c r="B57">
        <v>27865</v>
      </c>
      <c r="C57">
        <v>58</v>
      </c>
      <c r="D57" t="s">
        <v>147</v>
      </c>
      <c r="F57">
        <v>5.7290000000000001</v>
      </c>
      <c r="G57">
        <v>4</v>
      </c>
      <c r="H57">
        <v>231.2</v>
      </c>
      <c r="I57">
        <v>0</v>
      </c>
      <c r="J57">
        <v>29.5</v>
      </c>
      <c r="K57">
        <v>24.1</v>
      </c>
      <c r="L57">
        <v>858</v>
      </c>
      <c r="M57">
        <v>638</v>
      </c>
      <c r="N57">
        <v>93</v>
      </c>
      <c r="O57">
        <v>18.812000000000001</v>
      </c>
      <c r="P57">
        <v>18.672999999999998</v>
      </c>
      <c r="Q57">
        <v>0.13900000000000001</v>
      </c>
      <c r="R57">
        <v>6.0000000000000001E-3</v>
      </c>
      <c r="T57">
        <v>0.36811899999999997</v>
      </c>
      <c r="U57">
        <v>4.5110000000000001</v>
      </c>
      <c r="V57" s="6" t="str">
        <f t="shared" si="1"/>
        <v/>
      </c>
      <c r="W57" s="5">
        <f t="shared" si="2"/>
        <v>4.510237736334016</v>
      </c>
      <c r="X57" s="11">
        <f t="shared" si="3"/>
        <v>3.9309547141194798</v>
      </c>
      <c r="Y57" s="11">
        <f t="shared" si="4"/>
        <v>3.9310842797265195</v>
      </c>
      <c r="AO57" s="2"/>
      <c r="AP57" s="2"/>
      <c r="AQ57" s="2"/>
      <c r="AR57" s="2"/>
      <c r="AS57" s="2"/>
      <c r="BC57" s="5"/>
    </row>
    <row r="58" spans="1:55" x14ac:dyDescent="0.2">
      <c r="A58" s="13">
        <v>44252.172534722224</v>
      </c>
      <c r="B58">
        <v>27866</v>
      </c>
      <c r="C58">
        <v>59</v>
      </c>
      <c r="D58" t="s">
        <v>148</v>
      </c>
      <c r="F58">
        <v>5.91</v>
      </c>
      <c r="G58">
        <v>4</v>
      </c>
      <c r="H58">
        <v>231.4</v>
      </c>
      <c r="I58">
        <v>0</v>
      </c>
      <c r="J58">
        <v>28.5</v>
      </c>
      <c r="K58">
        <v>23.3</v>
      </c>
      <c r="L58">
        <v>1962</v>
      </c>
      <c r="M58">
        <v>1457</v>
      </c>
      <c r="N58">
        <v>231</v>
      </c>
      <c r="O58">
        <v>41.618000000000002</v>
      </c>
      <c r="P58">
        <v>41.311999999999998</v>
      </c>
      <c r="Q58">
        <v>0.307</v>
      </c>
      <c r="R58">
        <v>1.7999999999999999E-2</v>
      </c>
      <c r="T58">
        <v>0.36775400000000003</v>
      </c>
      <c r="U58">
        <v>3.512</v>
      </c>
      <c r="V58" s="6" t="str">
        <f t="shared" si="1"/>
        <v/>
      </c>
      <c r="W58" s="5">
        <f t="shared" si="2"/>
        <v>3.5112245938570164</v>
      </c>
      <c r="X58" s="11">
        <f t="shared" si="3"/>
        <v>2.9364366835338842</v>
      </c>
      <c r="Y58" s="11">
        <f t="shared" si="4"/>
        <v>2.9365570048692007</v>
      </c>
      <c r="AO58" s="2"/>
      <c r="AP58" s="2"/>
      <c r="AQ58" s="2"/>
      <c r="AR58" s="2"/>
      <c r="AS58" s="2"/>
      <c r="BC58" s="5"/>
    </row>
    <row r="59" spans="1:55" x14ac:dyDescent="0.2">
      <c r="A59" s="13">
        <v>44252.179872685185</v>
      </c>
      <c r="B59">
        <v>27867</v>
      </c>
      <c r="C59">
        <v>60</v>
      </c>
      <c r="D59" t="s">
        <v>12</v>
      </c>
      <c r="G59">
        <v>4</v>
      </c>
      <c r="H59">
        <v>232.6</v>
      </c>
      <c r="I59">
        <v>57</v>
      </c>
      <c r="J59">
        <v>12.6</v>
      </c>
      <c r="K59">
        <v>11.4</v>
      </c>
      <c r="L59">
        <v>3418</v>
      </c>
      <c r="M59">
        <v>2526</v>
      </c>
      <c r="N59">
        <v>405</v>
      </c>
      <c r="O59">
        <v>76.603999999999999</v>
      </c>
      <c r="P59">
        <v>76.043000000000006</v>
      </c>
      <c r="Q59">
        <v>0.56100000000000005</v>
      </c>
      <c r="R59">
        <v>3.4000000000000002E-2</v>
      </c>
      <c r="T59">
        <v>0.36602800000000002</v>
      </c>
      <c r="U59">
        <v>-1.2150000000000001</v>
      </c>
      <c r="V59" s="6" t="str">
        <f t="shared" si="1"/>
        <v/>
      </c>
      <c r="W59" s="5">
        <f t="shared" si="2"/>
        <v>-1.2157885486199833</v>
      </c>
      <c r="X59" s="11">
        <f t="shared" si="3"/>
        <v>-1.7694608633804592</v>
      </c>
      <c r="Y59" s="11">
        <f t="shared" si="4"/>
        <v>-1.7693355869359948</v>
      </c>
      <c r="AO59" s="2"/>
      <c r="AP59" s="2"/>
      <c r="AQ59" s="2"/>
      <c r="AR59" s="2"/>
      <c r="AS59" s="2"/>
      <c r="BC59" s="5"/>
    </row>
    <row r="60" spans="1:55" x14ac:dyDescent="0.2">
      <c r="A60" s="13">
        <v>44252.187199074076</v>
      </c>
      <c r="B60">
        <v>27868</v>
      </c>
      <c r="C60">
        <v>61</v>
      </c>
      <c r="D60" t="s">
        <v>102</v>
      </c>
      <c r="G60">
        <v>4</v>
      </c>
      <c r="H60">
        <v>230.9</v>
      </c>
      <c r="I60">
        <v>0</v>
      </c>
      <c r="J60">
        <v>29.7</v>
      </c>
      <c r="K60">
        <v>24.2</v>
      </c>
      <c r="L60">
        <v>1020</v>
      </c>
      <c r="M60">
        <v>757</v>
      </c>
      <c r="N60">
        <v>114</v>
      </c>
      <c r="O60">
        <v>22.436</v>
      </c>
      <c r="P60">
        <v>22.271000000000001</v>
      </c>
      <c r="Q60">
        <v>0.16500000000000001</v>
      </c>
      <c r="R60">
        <v>8.0000000000000002E-3</v>
      </c>
      <c r="T60">
        <v>0.36759599999999998</v>
      </c>
      <c r="U60">
        <v>3.0790000000000002</v>
      </c>
      <c r="V60" s="6" t="str">
        <f t="shared" si="1"/>
        <v/>
      </c>
      <c r="W60" s="5">
        <f t="shared" si="2"/>
        <v>3.0781983089030174</v>
      </c>
      <c r="X60" s="11">
        <f t="shared" si="3"/>
        <v>2.505376913043051</v>
      </c>
      <c r="Y60" s="11">
        <f t="shared" si="4"/>
        <v>2.5054727283710463</v>
      </c>
      <c r="AO60" s="2"/>
      <c r="AP60" s="2"/>
      <c r="AQ60" s="2"/>
      <c r="AR60" s="2"/>
      <c r="AS60" s="2"/>
      <c r="BC60" s="5"/>
    </row>
    <row r="61" spans="1:55" x14ac:dyDescent="0.2">
      <c r="A61" s="13">
        <v>44252.194537037038</v>
      </c>
      <c r="B61">
        <v>27869</v>
      </c>
      <c r="C61">
        <v>62</v>
      </c>
      <c r="D61" t="s">
        <v>11</v>
      </c>
      <c r="E61" t="s">
        <v>57</v>
      </c>
      <c r="G61">
        <v>4</v>
      </c>
      <c r="H61">
        <v>231.2</v>
      </c>
      <c r="I61">
        <v>50</v>
      </c>
      <c r="J61">
        <v>14.3</v>
      </c>
      <c r="K61">
        <v>12.7</v>
      </c>
      <c r="L61">
        <v>2842</v>
      </c>
      <c r="M61">
        <v>2105</v>
      </c>
      <c r="N61">
        <v>338</v>
      </c>
      <c r="O61">
        <v>64.861000000000004</v>
      </c>
      <c r="P61">
        <v>64.385000000000005</v>
      </c>
      <c r="Q61">
        <v>0.47599999999999998</v>
      </c>
      <c r="R61">
        <v>2.9000000000000001E-2</v>
      </c>
      <c r="T61">
        <v>0.36656699999999998</v>
      </c>
      <c r="U61">
        <v>0.26100000000000001</v>
      </c>
      <c r="V61" s="6" t="str">
        <f t="shared" si="1"/>
        <v/>
      </c>
      <c r="W61" s="5">
        <f t="shared" si="2"/>
        <v>0.26018516642601736</v>
      </c>
      <c r="X61" s="11">
        <f t="shared" si="3"/>
        <v>-0.30003145947227949</v>
      </c>
      <c r="Y61" s="11">
        <f t="shared" si="4"/>
        <v>-0.29993796080020729</v>
      </c>
      <c r="AO61" s="2"/>
      <c r="AP61" s="2"/>
      <c r="AQ61" s="2"/>
      <c r="AR61" s="2"/>
      <c r="AS61" s="2"/>
      <c r="BC61" s="5"/>
    </row>
    <row r="62" spans="1:55" x14ac:dyDescent="0.2">
      <c r="A62" s="13">
        <v>44252.209189814814</v>
      </c>
      <c r="B62">
        <v>27871</v>
      </c>
      <c r="C62">
        <v>64</v>
      </c>
      <c r="D62" t="s">
        <v>14</v>
      </c>
      <c r="G62">
        <v>4</v>
      </c>
      <c r="H62">
        <v>231.2</v>
      </c>
      <c r="I62">
        <v>0</v>
      </c>
      <c r="J62">
        <v>27.6</v>
      </c>
      <c r="K62">
        <v>22.6</v>
      </c>
      <c r="L62">
        <v>1967</v>
      </c>
      <c r="M62">
        <v>1469</v>
      </c>
      <c r="N62">
        <v>233</v>
      </c>
      <c r="O62">
        <v>43.945999999999998</v>
      </c>
      <c r="P62">
        <v>43.62</v>
      </c>
      <c r="Q62">
        <v>0.32600000000000001</v>
      </c>
      <c r="R62">
        <v>1.9E-2</v>
      </c>
      <c r="T62">
        <v>0.36979000000000001</v>
      </c>
      <c r="U62">
        <v>9.0869999999999997</v>
      </c>
      <c r="V62" s="6" t="str">
        <f t="shared" si="1"/>
        <v/>
      </c>
      <c r="W62" s="5">
        <f t="shared" si="2"/>
        <v>9.0861588814720182</v>
      </c>
      <c r="X62" s="11">
        <f t="shared" si="3"/>
        <v>8.486325708218601</v>
      </c>
      <c r="Y62" s="11">
        <f t="shared" si="4"/>
        <v>8.4863590708081347</v>
      </c>
      <c r="AO62" s="2"/>
      <c r="AP62" s="2"/>
      <c r="AQ62" s="2"/>
      <c r="AR62" s="2"/>
      <c r="AS62" s="2"/>
      <c r="BC62" s="5"/>
    </row>
    <row r="63" spans="1:55" x14ac:dyDescent="0.2">
      <c r="A63" s="13">
        <v>44252.216516203705</v>
      </c>
      <c r="B63">
        <v>27872</v>
      </c>
      <c r="C63">
        <v>65</v>
      </c>
      <c r="D63" t="s">
        <v>149</v>
      </c>
      <c r="F63">
        <v>5.9589999999999996</v>
      </c>
      <c r="G63">
        <v>4</v>
      </c>
      <c r="H63">
        <v>231.4</v>
      </c>
      <c r="I63">
        <v>0</v>
      </c>
      <c r="J63">
        <v>28</v>
      </c>
      <c r="K63">
        <v>22.9</v>
      </c>
      <c r="L63">
        <v>558</v>
      </c>
      <c r="M63">
        <v>414</v>
      </c>
      <c r="N63">
        <v>56</v>
      </c>
      <c r="O63">
        <v>12.41</v>
      </c>
      <c r="P63">
        <v>12.319000000000001</v>
      </c>
      <c r="Q63">
        <v>9.0999999999999998E-2</v>
      </c>
      <c r="R63">
        <v>4.0000000000000001E-3</v>
      </c>
      <c r="T63">
        <v>0.36719299999999999</v>
      </c>
      <c r="U63">
        <v>1.9730000000000001</v>
      </c>
      <c r="V63" s="6" t="str">
        <f t="shared" si="1"/>
        <v/>
      </c>
      <c r="W63" s="5">
        <f t="shared" si="2"/>
        <v>1.9721457389950183</v>
      </c>
      <c r="X63" s="11">
        <f t="shared" si="3"/>
        <v>1.4043261834298164</v>
      </c>
      <c r="Y63" s="11">
        <f t="shared" si="4"/>
        <v>1.4043738988073073</v>
      </c>
      <c r="AO63" s="2"/>
      <c r="AP63" s="2"/>
      <c r="AQ63" s="2"/>
      <c r="AR63" s="2"/>
      <c r="AS63" s="2"/>
      <c r="BC63" s="5"/>
    </row>
    <row r="64" spans="1:55" x14ac:dyDescent="0.2">
      <c r="A64" s="13">
        <v>44252.22384259259</v>
      </c>
      <c r="B64">
        <v>27873</v>
      </c>
      <c r="C64">
        <v>66</v>
      </c>
      <c r="D64" t="s">
        <v>150</v>
      </c>
      <c r="F64">
        <v>5.6740000000000004</v>
      </c>
      <c r="G64">
        <v>4</v>
      </c>
      <c r="H64">
        <v>231.6</v>
      </c>
      <c r="I64">
        <v>0</v>
      </c>
      <c r="J64">
        <v>27.7</v>
      </c>
      <c r="K64">
        <v>22.6</v>
      </c>
      <c r="L64">
        <v>1309</v>
      </c>
      <c r="M64">
        <v>973</v>
      </c>
      <c r="N64">
        <v>152</v>
      </c>
      <c r="O64">
        <v>28.427</v>
      </c>
      <c r="P64">
        <v>28.216999999999999</v>
      </c>
      <c r="Q64">
        <v>0.20899999999999999</v>
      </c>
      <c r="R64">
        <v>1.0999999999999999E-2</v>
      </c>
      <c r="T64">
        <v>0.36789300000000003</v>
      </c>
      <c r="U64">
        <v>3.8919999999999999</v>
      </c>
      <c r="V64" s="6" t="str">
        <f t="shared" si="1"/>
        <v/>
      </c>
      <c r="W64" s="5">
        <f t="shared" si="2"/>
        <v>3.8911325965180183</v>
      </c>
      <c r="X64" s="11">
        <f t="shared" si="3"/>
        <v>3.3147327429790039</v>
      </c>
      <c r="Y64" s="11">
        <f t="shared" si="4"/>
        <v>3.3147600207522601</v>
      </c>
      <c r="AO64" s="2"/>
      <c r="AP64" s="2"/>
      <c r="AQ64" s="2"/>
      <c r="AR64" s="2"/>
      <c r="AS64" s="2"/>
      <c r="BC64" s="5"/>
    </row>
    <row r="65" spans="1:55" x14ac:dyDescent="0.2">
      <c r="A65" s="13">
        <v>44252.231180555558</v>
      </c>
      <c r="B65">
        <v>27874</v>
      </c>
      <c r="C65">
        <v>67</v>
      </c>
      <c r="D65" t="s">
        <v>151</v>
      </c>
      <c r="F65">
        <v>5.8410000000000002</v>
      </c>
      <c r="G65">
        <v>4</v>
      </c>
      <c r="H65">
        <v>231.4</v>
      </c>
      <c r="I65">
        <v>0</v>
      </c>
      <c r="J65">
        <v>29</v>
      </c>
      <c r="K65">
        <v>23.6</v>
      </c>
      <c r="L65">
        <v>822</v>
      </c>
      <c r="M65">
        <v>611</v>
      </c>
      <c r="N65">
        <v>89</v>
      </c>
      <c r="O65">
        <v>18.029</v>
      </c>
      <c r="P65">
        <v>17.896000000000001</v>
      </c>
      <c r="Q65">
        <v>0.13300000000000001</v>
      </c>
      <c r="R65">
        <v>6.0000000000000001E-3</v>
      </c>
      <c r="T65">
        <v>0.367643</v>
      </c>
      <c r="U65">
        <v>3.2080000000000002</v>
      </c>
      <c r="V65" s="6" t="str">
        <f t="shared" si="1"/>
        <v/>
      </c>
      <c r="W65" s="5">
        <f t="shared" si="2"/>
        <v>3.2071194540410191</v>
      </c>
      <c r="X65" s="11">
        <f t="shared" si="3"/>
        <v>2.6337990291629012</v>
      </c>
      <c r="Y65" s="11">
        <f t="shared" si="4"/>
        <v>2.6338158485482381</v>
      </c>
      <c r="AO65" s="2"/>
      <c r="AP65" s="2"/>
      <c r="AQ65" s="2"/>
      <c r="AR65" s="2"/>
      <c r="AS65" s="2"/>
      <c r="BC65" s="5"/>
    </row>
    <row r="66" spans="1:55" x14ac:dyDescent="0.2">
      <c r="A66" s="13">
        <v>44252.238518518519</v>
      </c>
      <c r="B66">
        <v>27875</v>
      </c>
      <c r="C66">
        <v>68</v>
      </c>
      <c r="D66" t="s">
        <v>152</v>
      </c>
      <c r="F66">
        <v>5.7350000000000003</v>
      </c>
      <c r="G66">
        <v>4</v>
      </c>
      <c r="H66">
        <v>231.4</v>
      </c>
      <c r="I66">
        <v>0</v>
      </c>
      <c r="J66">
        <v>28.4</v>
      </c>
      <c r="K66">
        <v>23.2</v>
      </c>
      <c r="L66">
        <v>1128</v>
      </c>
      <c r="M66">
        <v>839</v>
      </c>
      <c r="N66">
        <v>129</v>
      </c>
      <c r="O66">
        <v>24.565999999999999</v>
      </c>
      <c r="P66">
        <v>24.385000000000002</v>
      </c>
      <c r="Q66">
        <v>0.18099999999999999</v>
      </c>
      <c r="R66">
        <v>8.9999999999999993E-3</v>
      </c>
      <c r="T66">
        <v>0.36811100000000002</v>
      </c>
      <c r="U66">
        <v>4.4889999999999999</v>
      </c>
      <c r="V66" s="6" t="str">
        <f t="shared" si="1"/>
        <v/>
      </c>
      <c r="W66" s="5">
        <f t="shared" si="2"/>
        <v>4.4881063115640192</v>
      </c>
      <c r="X66" s="11">
        <f t="shared" si="3"/>
        <v>3.9090534995472126</v>
      </c>
      <c r="Y66" s="11">
        <f t="shared" si="4"/>
        <v>3.9090523156567087</v>
      </c>
      <c r="AO66" s="2"/>
      <c r="AP66" s="2"/>
      <c r="AQ66" s="2"/>
      <c r="AR66" s="2"/>
      <c r="AS66" s="2"/>
      <c r="BC66" s="5"/>
    </row>
    <row r="67" spans="1:55" x14ac:dyDescent="0.2">
      <c r="A67" s="13">
        <v>44252.245856481481</v>
      </c>
      <c r="B67">
        <v>27876</v>
      </c>
      <c r="C67">
        <v>69</v>
      </c>
      <c r="D67" t="s">
        <v>153</v>
      </c>
      <c r="F67">
        <v>5.6230000000000002</v>
      </c>
      <c r="G67">
        <v>4</v>
      </c>
      <c r="H67">
        <v>231.4</v>
      </c>
      <c r="I67">
        <v>0</v>
      </c>
      <c r="J67">
        <v>28.9</v>
      </c>
      <c r="K67">
        <v>23.6</v>
      </c>
      <c r="L67">
        <v>1596</v>
      </c>
      <c r="M67">
        <v>1190</v>
      </c>
      <c r="N67">
        <v>187</v>
      </c>
      <c r="O67">
        <v>34.468000000000004</v>
      </c>
      <c r="P67">
        <v>34.213000000000001</v>
      </c>
      <c r="Q67">
        <v>0.255</v>
      </c>
      <c r="R67">
        <v>1.4E-2</v>
      </c>
      <c r="T67">
        <v>0.36903200000000003</v>
      </c>
      <c r="U67">
        <v>7.0119999999999996</v>
      </c>
      <c r="V67" s="6" t="str">
        <f t="shared" ref="V67:V130" si="14">IF(NOT(ISBLANK(S67)),S67-(A67*$AH$1+$AI$1),"")</f>
        <v/>
      </c>
      <c r="W67" s="5">
        <f t="shared" ref="W67:W130" si="15">IF(NOT(ISBLANK(U67)),U67-C67*$AA$3,"")</f>
        <v>7.0110931690870189</v>
      </c>
      <c r="X67" s="11">
        <f t="shared" ref="X67:X130" si="16">IF(ISNUMBER(U67),(U67+1000)/((U67*$AT$1+$AU$1)/1000+1)-1000,"")</f>
        <v>6.4207001240018826</v>
      </c>
      <c r="Y67" s="11">
        <f t="shared" ref="Y67:Y130" si="17">IF(ISNUMBER(W67),(W67+1000)/((W67*$AT$2+$AU$2)/1000+1)-1000,"")</f>
        <v>6.4206761223597368</v>
      </c>
      <c r="AO67" s="2"/>
      <c r="AP67" s="2"/>
      <c r="AQ67" s="2"/>
      <c r="AR67" s="2"/>
      <c r="AS67" s="2"/>
      <c r="BC67" s="5"/>
    </row>
    <row r="68" spans="1:55" x14ac:dyDescent="0.2">
      <c r="A68" s="13">
        <v>44252.253182870372</v>
      </c>
      <c r="B68">
        <v>27877</v>
      </c>
      <c r="C68">
        <v>70</v>
      </c>
      <c r="D68" t="s">
        <v>154</v>
      </c>
      <c r="F68">
        <v>5.8280000000000003</v>
      </c>
      <c r="G68">
        <v>4</v>
      </c>
      <c r="H68">
        <v>232</v>
      </c>
      <c r="I68">
        <v>0</v>
      </c>
      <c r="J68">
        <v>29.3</v>
      </c>
      <c r="K68">
        <v>23.9</v>
      </c>
      <c r="L68">
        <v>1735</v>
      </c>
      <c r="M68">
        <v>1290</v>
      </c>
      <c r="N68">
        <v>205</v>
      </c>
      <c r="O68">
        <v>36.832000000000001</v>
      </c>
      <c r="P68">
        <v>36.56</v>
      </c>
      <c r="Q68">
        <v>0.27100000000000002</v>
      </c>
      <c r="R68">
        <v>1.4999999999999999E-2</v>
      </c>
      <c r="T68">
        <v>0.36787300000000001</v>
      </c>
      <c r="U68">
        <v>3.8370000000000002</v>
      </c>
      <c r="V68" s="6" t="str">
        <f t="shared" si="14"/>
        <v/>
      </c>
      <c r="W68" s="5">
        <f t="shared" si="15"/>
        <v>3.8360800266100199</v>
      </c>
      <c r="X68" s="11">
        <f t="shared" si="16"/>
        <v>3.2599794353108109</v>
      </c>
      <c r="Y68" s="11">
        <f t="shared" si="17"/>
        <v>3.2599545904087108</v>
      </c>
      <c r="AO68" s="2"/>
      <c r="AP68" s="2"/>
      <c r="AQ68" s="2"/>
      <c r="AR68" s="2"/>
      <c r="AS68" s="2"/>
      <c r="BC68" s="5"/>
    </row>
    <row r="69" spans="1:55" x14ac:dyDescent="0.2">
      <c r="A69" s="13">
        <v>44252.260509259257</v>
      </c>
      <c r="B69">
        <v>27878</v>
      </c>
      <c r="C69">
        <v>71</v>
      </c>
      <c r="D69" t="s">
        <v>12</v>
      </c>
      <c r="G69">
        <v>4</v>
      </c>
      <c r="H69">
        <v>232.4</v>
      </c>
      <c r="I69">
        <v>57</v>
      </c>
      <c r="J69">
        <v>12.5</v>
      </c>
      <c r="K69">
        <v>11.4</v>
      </c>
      <c r="L69">
        <v>3181</v>
      </c>
      <c r="M69">
        <v>2352</v>
      </c>
      <c r="N69">
        <v>379</v>
      </c>
      <c r="O69">
        <v>71.611000000000004</v>
      </c>
      <c r="P69">
        <v>71.085999999999999</v>
      </c>
      <c r="Q69">
        <v>0.52500000000000002</v>
      </c>
      <c r="R69">
        <v>3.2000000000000001E-2</v>
      </c>
      <c r="T69">
        <v>0.36602000000000001</v>
      </c>
      <c r="U69">
        <v>-1.2370000000000001</v>
      </c>
      <c r="V69" s="6" t="str">
        <f t="shared" si="14"/>
        <v/>
      </c>
      <c r="W69" s="5">
        <f t="shared" si="15"/>
        <v>-1.2379331158669802</v>
      </c>
      <c r="X69" s="11">
        <f t="shared" si="16"/>
        <v>-1.7913630555457303</v>
      </c>
      <c r="Y69" s="11">
        <f t="shared" si="17"/>
        <v>-1.7913816196286234</v>
      </c>
      <c r="AO69" s="2"/>
      <c r="AP69" s="2"/>
      <c r="AQ69" s="2"/>
      <c r="AR69" s="2"/>
      <c r="AS69" s="2"/>
      <c r="BC69" s="5"/>
    </row>
    <row r="70" spans="1:55" x14ac:dyDescent="0.2">
      <c r="A70" s="13">
        <v>44252.267835648148</v>
      </c>
      <c r="B70">
        <v>27879</v>
      </c>
      <c r="C70">
        <v>72</v>
      </c>
      <c r="D70" t="s">
        <v>155</v>
      </c>
      <c r="F70">
        <v>5.8150000000000004</v>
      </c>
      <c r="G70">
        <v>4</v>
      </c>
      <c r="H70">
        <v>231.2</v>
      </c>
      <c r="I70">
        <v>0</v>
      </c>
      <c r="J70">
        <v>29.4</v>
      </c>
      <c r="K70">
        <v>23.9</v>
      </c>
      <c r="L70">
        <v>1253</v>
      </c>
      <c r="M70">
        <v>932</v>
      </c>
      <c r="N70">
        <v>144</v>
      </c>
      <c r="O70">
        <v>27.353000000000002</v>
      </c>
      <c r="P70">
        <v>27.151</v>
      </c>
      <c r="Q70">
        <v>0.20200000000000001</v>
      </c>
      <c r="R70">
        <v>1.0999999999999999E-2</v>
      </c>
      <c r="T70">
        <v>0.36839100000000002</v>
      </c>
      <c r="U70">
        <v>5.2560000000000002</v>
      </c>
      <c r="V70" s="6" t="str">
        <f t="shared" si="14"/>
        <v/>
      </c>
      <c r="W70" s="5">
        <f t="shared" si="15"/>
        <v>5.2550537416560203</v>
      </c>
      <c r="X70" s="11">
        <f t="shared" si="16"/>
        <v>4.6726072631948909</v>
      </c>
      <c r="Y70" s="11">
        <f t="shared" si="17"/>
        <v>4.6725507929146488</v>
      </c>
      <c r="AO70" s="2"/>
      <c r="AP70" s="2"/>
      <c r="AQ70" s="2"/>
      <c r="AR70" s="2"/>
      <c r="AS70" s="2"/>
      <c r="BC70" s="5"/>
    </row>
    <row r="71" spans="1:55" x14ac:dyDescent="0.2">
      <c r="A71" s="13">
        <v>44252.27516203704</v>
      </c>
      <c r="B71">
        <v>27880</v>
      </c>
      <c r="C71">
        <v>73</v>
      </c>
      <c r="D71" t="s">
        <v>156</v>
      </c>
      <c r="F71">
        <v>5.718</v>
      </c>
      <c r="G71">
        <v>4</v>
      </c>
      <c r="H71">
        <v>231.2</v>
      </c>
      <c r="I71">
        <v>0</v>
      </c>
      <c r="J71">
        <v>29.3</v>
      </c>
      <c r="K71">
        <v>23.9</v>
      </c>
      <c r="L71">
        <v>789</v>
      </c>
      <c r="M71">
        <v>586</v>
      </c>
      <c r="N71">
        <v>85</v>
      </c>
      <c r="O71">
        <v>17.396999999999998</v>
      </c>
      <c r="P71">
        <v>17.268999999999998</v>
      </c>
      <c r="Q71">
        <v>0.128</v>
      </c>
      <c r="R71">
        <v>6.0000000000000001E-3</v>
      </c>
      <c r="T71">
        <v>0.36764000000000002</v>
      </c>
      <c r="U71">
        <v>3.1989999999999998</v>
      </c>
      <c r="V71" s="6" t="str">
        <f t="shared" si="14"/>
        <v/>
      </c>
      <c r="W71" s="5">
        <f t="shared" si="15"/>
        <v>3.1980405991790204</v>
      </c>
      <c r="X71" s="11">
        <f t="shared" si="16"/>
        <v>2.6248393508334402</v>
      </c>
      <c r="Y71" s="11">
        <f t="shared" si="17"/>
        <v>2.6247777034520823</v>
      </c>
      <c r="AO71" s="2"/>
      <c r="AP71" s="2"/>
      <c r="AQ71" s="2"/>
      <c r="AR71" s="2"/>
      <c r="AS71" s="2"/>
      <c r="BC71" s="5"/>
    </row>
    <row r="72" spans="1:55" x14ac:dyDescent="0.2">
      <c r="A72" s="13">
        <v>44252.282500000001</v>
      </c>
      <c r="B72">
        <v>27881</v>
      </c>
      <c r="C72">
        <v>74</v>
      </c>
      <c r="D72" t="s">
        <v>157</v>
      </c>
      <c r="F72">
        <v>5.7359999999999998</v>
      </c>
      <c r="G72">
        <v>4</v>
      </c>
      <c r="H72">
        <v>231.6</v>
      </c>
      <c r="I72">
        <v>0</v>
      </c>
      <c r="J72">
        <v>28.2</v>
      </c>
      <c r="K72">
        <v>23.1</v>
      </c>
      <c r="L72">
        <v>2899</v>
      </c>
      <c r="M72">
        <v>2152</v>
      </c>
      <c r="N72">
        <v>346</v>
      </c>
      <c r="O72">
        <v>59.969000000000001</v>
      </c>
      <c r="P72">
        <v>59.527000000000001</v>
      </c>
      <c r="Q72">
        <v>0.442</v>
      </c>
      <c r="R72">
        <v>2.7E-2</v>
      </c>
      <c r="T72">
        <v>0.36758400000000002</v>
      </c>
      <c r="U72">
        <v>3.0449999999999999</v>
      </c>
      <c r="V72" s="6" t="str">
        <f t="shared" si="14"/>
        <v/>
      </c>
      <c r="W72" s="5">
        <f t="shared" si="15"/>
        <v>3.0440274567020205</v>
      </c>
      <c r="X72" s="11">
        <f t="shared" si="16"/>
        <v>2.4715292020193829</v>
      </c>
      <c r="Y72" s="11">
        <f t="shared" si="17"/>
        <v>2.4714550613932715</v>
      </c>
      <c r="AO72" s="2"/>
      <c r="AP72" s="2"/>
      <c r="AQ72" s="2"/>
      <c r="AR72" s="2"/>
      <c r="AS72" s="2"/>
      <c r="BC72" s="5"/>
    </row>
    <row r="73" spans="1:55" x14ac:dyDescent="0.2">
      <c r="A73" s="13">
        <v>44252.289826388886</v>
      </c>
      <c r="B73">
        <v>27882</v>
      </c>
      <c r="C73">
        <v>75</v>
      </c>
      <c r="D73" t="s">
        <v>158</v>
      </c>
      <c r="F73">
        <v>5.8380000000000001</v>
      </c>
      <c r="G73">
        <v>4</v>
      </c>
      <c r="H73">
        <v>231.2</v>
      </c>
      <c r="I73">
        <v>0</v>
      </c>
      <c r="J73">
        <v>29.4</v>
      </c>
      <c r="K73">
        <v>24.1</v>
      </c>
      <c r="L73">
        <v>1073</v>
      </c>
      <c r="M73">
        <v>797</v>
      </c>
      <c r="N73">
        <v>122</v>
      </c>
      <c r="O73">
        <v>23.393999999999998</v>
      </c>
      <c r="P73">
        <v>23.222000000000001</v>
      </c>
      <c r="Q73">
        <v>0.17199999999999999</v>
      </c>
      <c r="R73">
        <v>8.9999999999999993E-3</v>
      </c>
      <c r="T73">
        <v>0.36795800000000001</v>
      </c>
      <c r="U73">
        <v>4.069</v>
      </c>
      <c r="V73" s="6" t="str">
        <f t="shared" si="14"/>
        <v/>
      </c>
      <c r="W73" s="5">
        <f t="shared" si="15"/>
        <v>4.0680143142250209</v>
      </c>
      <c r="X73" s="11">
        <f t="shared" si="16"/>
        <v>3.4909386828693414</v>
      </c>
      <c r="Y73" s="11">
        <f t="shared" si="17"/>
        <v>3.4908475294949994</v>
      </c>
      <c r="AO73" s="2"/>
      <c r="AP73" s="2"/>
      <c r="AQ73" s="2"/>
      <c r="AR73" s="2"/>
      <c r="AS73" s="2"/>
      <c r="BC73" s="5"/>
    </row>
    <row r="74" spans="1:55" x14ac:dyDescent="0.2">
      <c r="A74" s="13">
        <v>44252.297152777777</v>
      </c>
      <c r="B74">
        <v>27883</v>
      </c>
      <c r="C74">
        <v>76</v>
      </c>
      <c r="D74" t="s">
        <v>159</v>
      </c>
      <c r="F74">
        <v>5.6669999999999998</v>
      </c>
      <c r="G74">
        <v>4</v>
      </c>
      <c r="H74">
        <v>230.9</v>
      </c>
      <c r="I74">
        <v>0</v>
      </c>
      <c r="J74">
        <v>29.2</v>
      </c>
      <c r="K74">
        <v>23.8</v>
      </c>
      <c r="L74">
        <v>2053</v>
      </c>
      <c r="M74">
        <v>1525</v>
      </c>
      <c r="N74">
        <v>243</v>
      </c>
      <c r="O74">
        <v>43.798999999999999</v>
      </c>
      <c r="P74">
        <v>43.475999999999999</v>
      </c>
      <c r="Q74">
        <v>0.32300000000000001</v>
      </c>
      <c r="R74">
        <v>1.9E-2</v>
      </c>
      <c r="T74">
        <v>0.36776900000000001</v>
      </c>
      <c r="U74">
        <v>3.5510000000000002</v>
      </c>
      <c r="V74" s="6" t="str">
        <f t="shared" si="14"/>
        <v/>
      </c>
      <c r="W74" s="5">
        <f t="shared" si="15"/>
        <v>3.5500011717480215</v>
      </c>
      <c r="X74" s="11">
        <f t="shared" si="16"/>
        <v>2.975261857026112</v>
      </c>
      <c r="Y74" s="11">
        <f t="shared" si="17"/>
        <v>2.9751596089836312</v>
      </c>
      <c r="AO74" s="2"/>
      <c r="AP74" s="2"/>
      <c r="AQ74" s="2"/>
      <c r="AR74" s="2"/>
      <c r="AS74" s="2"/>
      <c r="BC74" s="5"/>
    </row>
    <row r="75" spans="1:55" x14ac:dyDescent="0.2">
      <c r="A75" s="13">
        <v>44252.304490740738</v>
      </c>
      <c r="B75">
        <v>27884</v>
      </c>
      <c r="C75">
        <v>77</v>
      </c>
      <c r="D75" t="s">
        <v>160</v>
      </c>
      <c r="F75">
        <v>5.72</v>
      </c>
      <c r="G75">
        <v>4</v>
      </c>
      <c r="H75">
        <v>231.8</v>
      </c>
      <c r="I75">
        <v>0</v>
      </c>
      <c r="J75">
        <v>29.5</v>
      </c>
      <c r="K75">
        <v>24.1</v>
      </c>
      <c r="L75">
        <v>2501</v>
      </c>
      <c r="M75">
        <v>1855</v>
      </c>
      <c r="N75">
        <v>297</v>
      </c>
      <c r="O75">
        <v>51.881</v>
      </c>
      <c r="P75">
        <v>51.499000000000002</v>
      </c>
      <c r="Q75">
        <v>0.38200000000000001</v>
      </c>
      <c r="R75">
        <v>2.3E-2</v>
      </c>
      <c r="T75">
        <v>0.36733900000000003</v>
      </c>
      <c r="U75">
        <v>2.3740000000000001</v>
      </c>
      <c r="V75" s="6" t="str">
        <f t="shared" si="14"/>
        <v/>
      </c>
      <c r="W75" s="5">
        <f t="shared" si="15"/>
        <v>2.3729880292710215</v>
      </c>
      <c r="X75" s="11">
        <f t="shared" si="16"/>
        <v>1.8035328342360799</v>
      </c>
      <c r="Y75" s="11">
        <f t="shared" si="17"/>
        <v>1.8034220121548969</v>
      </c>
      <c r="AO75" s="2"/>
      <c r="AP75" s="2"/>
      <c r="AQ75" s="2"/>
      <c r="AR75" s="2"/>
      <c r="AS75" s="2"/>
      <c r="BC75" s="5"/>
    </row>
    <row r="76" spans="1:55" x14ac:dyDescent="0.2">
      <c r="A76" s="13">
        <v>44252.31181712963</v>
      </c>
      <c r="B76">
        <v>27885</v>
      </c>
      <c r="C76">
        <v>78</v>
      </c>
      <c r="D76" t="s">
        <v>161</v>
      </c>
      <c r="F76">
        <v>5.827</v>
      </c>
      <c r="G76">
        <v>4</v>
      </c>
      <c r="H76">
        <v>231.4</v>
      </c>
      <c r="I76">
        <v>0</v>
      </c>
      <c r="J76">
        <v>29.8</v>
      </c>
      <c r="K76">
        <v>24.3</v>
      </c>
      <c r="L76">
        <v>808</v>
      </c>
      <c r="M76">
        <v>600</v>
      </c>
      <c r="N76">
        <v>88</v>
      </c>
      <c r="O76">
        <v>17.844000000000001</v>
      </c>
      <c r="P76">
        <v>17.713000000000001</v>
      </c>
      <c r="Q76">
        <v>0.13100000000000001</v>
      </c>
      <c r="R76">
        <v>6.0000000000000001E-3</v>
      </c>
      <c r="T76">
        <v>0.36730000000000002</v>
      </c>
      <c r="U76">
        <v>2.2669999999999999</v>
      </c>
      <c r="V76" s="6" t="str">
        <f t="shared" si="14"/>
        <v/>
      </c>
      <c r="W76" s="5">
        <f t="shared" si="15"/>
        <v>2.2659748867940217</v>
      </c>
      <c r="X76" s="11">
        <f t="shared" si="16"/>
        <v>1.6970114808963217</v>
      </c>
      <c r="Y76" s="11">
        <f t="shared" si="17"/>
        <v>1.6968879844826006</v>
      </c>
      <c r="AO76" s="2"/>
      <c r="AP76" s="2"/>
      <c r="AQ76" s="2"/>
      <c r="AR76" s="2"/>
      <c r="AS76" s="2"/>
      <c r="BC76" s="5"/>
    </row>
    <row r="77" spans="1:55" x14ac:dyDescent="0.2">
      <c r="A77" s="13">
        <v>44252.319143518522</v>
      </c>
      <c r="B77">
        <v>27886</v>
      </c>
      <c r="C77">
        <v>79</v>
      </c>
      <c r="D77" t="s">
        <v>162</v>
      </c>
      <c r="F77">
        <v>5.681</v>
      </c>
      <c r="G77">
        <v>4</v>
      </c>
      <c r="H77">
        <v>231.2</v>
      </c>
      <c r="I77">
        <v>0</v>
      </c>
      <c r="J77">
        <v>28.4</v>
      </c>
      <c r="K77">
        <v>23.2</v>
      </c>
      <c r="L77">
        <v>990</v>
      </c>
      <c r="M77">
        <v>737</v>
      </c>
      <c r="N77">
        <v>111</v>
      </c>
      <c r="O77">
        <v>21.611000000000001</v>
      </c>
      <c r="P77">
        <v>21.451000000000001</v>
      </c>
      <c r="Q77">
        <v>0.159</v>
      </c>
      <c r="R77">
        <v>8.0000000000000002E-3</v>
      </c>
      <c r="T77">
        <v>0.36845299999999997</v>
      </c>
      <c r="U77">
        <v>5.4249999999999998</v>
      </c>
      <c r="V77" s="6" t="str">
        <f t="shared" si="14"/>
        <v/>
      </c>
      <c r="W77" s="5">
        <f t="shared" si="15"/>
        <v>5.4239617443170216</v>
      </c>
      <c r="X77" s="11">
        <f t="shared" si="16"/>
        <v>4.8408473092208624</v>
      </c>
      <c r="Y77" s="11">
        <f t="shared" si="17"/>
        <v>4.8406986043652296</v>
      </c>
      <c r="AO77" s="2"/>
      <c r="AP77" s="2"/>
      <c r="AQ77" s="2"/>
      <c r="AR77" s="2"/>
      <c r="AS77" s="2"/>
      <c r="BC77" s="5"/>
    </row>
    <row r="78" spans="1:55" x14ac:dyDescent="0.2">
      <c r="A78" s="13">
        <v>44252.326469907406</v>
      </c>
      <c r="B78">
        <v>27887</v>
      </c>
      <c r="C78">
        <v>80</v>
      </c>
      <c r="D78" t="s">
        <v>163</v>
      </c>
      <c r="F78">
        <v>5.6369999999999996</v>
      </c>
      <c r="G78">
        <v>4</v>
      </c>
      <c r="H78">
        <v>231.8</v>
      </c>
      <c r="I78">
        <v>0</v>
      </c>
      <c r="J78">
        <v>28.9</v>
      </c>
      <c r="K78">
        <v>23.6</v>
      </c>
      <c r="L78">
        <v>1741</v>
      </c>
      <c r="M78">
        <v>1291</v>
      </c>
      <c r="N78">
        <v>206</v>
      </c>
      <c r="O78">
        <v>37.319000000000003</v>
      </c>
      <c r="P78">
        <v>37.045000000000002</v>
      </c>
      <c r="Q78">
        <v>0.27400000000000002</v>
      </c>
      <c r="R78">
        <v>1.6E-2</v>
      </c>
      <c r="T78">
        <v>0.36728</v>
      </c>
      <c r="U78">
        <v>2.2130000000000001</v>
      </c>
      <c r="V78" s="6" t="str">
        <f t="shared" si="14"/>
        <v/>
      </c>
      <c r="W78" s="5">
        <f t="shared" si="15"/>
        <v>2.2119486018400223</v>
      </c>
      <c r="X78" s="11">
        <f t="shared" si="16"/>
        <v>1.6432530071589326</v>
      </c>
      <c r="Y78" s="11">
        <f t="shared" si="17"/>
        <v>1.6431035499722384</v>
      </c>
      <c r="AO78" s="2"/>
      <c r="AP78" s="2"/>
      <c r="AQ78" s="2"/>
      <c r="AR78" s="2"/>
      <c r="AS78" s="2"/>
      <c r="BC78" s="5"/>
    </row>
    <row r="79" spans="1:55" x14ac:dyDescent="0.2">
      <c r="A79" s="13">
        <v>44252.333807870367</v>
      </c>
      <c r="B79">
        <v>27888</v>
      </c>
      <c r="C79">
        <v>81</v>
      </c>
      <c r="D79" t="s">
        <v>164</v>
      </c>
      <c r="F79">
        <v>5.8179999999999996</v>
      </c>
      <c r="G79">
        <v>4</v>
      </c>
      <c r="H79">
        <v>231.2</v>
      </c>
      <c r="I79">
        <v>0</v>
      </c>
      <c r="J79">
        <v>29.5</v>
      </c>
      <c r="K79">
        <v>24.1</v>
      </c>
      <c r="L79">
        <v>927</v>
      </c>
      <c r="M79">
        <v>688</v>
      </c>
      <c r="N79">
        <v>104</v>
      </c>
      <c r="O79">
        <v>20.338999999999999</v>
      </c>
      <c r="P79">
        <v>20.190000000000001</v>
      </c>
      <c r="Q79">
        <v>0.15</v>
      </c>
      <c r="R79">
        <v>7.0000000000000001E-3</v>
      </c>
      <c r="T79">
        <v>0.36760999999999999</v>
      </c>
      <c r="U79">
        <v>3.1160000000000001</v>
      </c>
      <c r="V79" s="6" t="str">
        <f t="shared" si="14"/>
        <v/>
      </c>
      <c r="W79" s="5">
        <f t="shared" si="15"/>
        <v>3.1149354593630227</v>
      </c>
      <c r="X79" s="11">
        <f t="shared" si="16"/>
        <v>2.5422111766110902</v>
      </c>
      <c r="Y79" s="11">
        <f t="shared" si="17"/>
        <v>2.5420451789765366</v>
      </c>
      <c r="AO79" s="2"/>
      <c r="AP79" s="2"/>
      <c r="AQ79" s="2"/>
      <c r="AR79" s="2"/>
      <c r="AS79" s="2"/>
      <c r="BC79" s="5"/>
    </row>
    <row r="80" spans="1:55" x14ac:dyDescent="0.2">
      <c r="A80" s="13">
        <v>44252.341145833336</v>
      </c>
      <c r="B80">
        <v>27889</v>
      </c>
      <c r="C80">
        <v>82</v>
      </c>
      <c r="D80" t="s">
        <v>12</v>
      </c>
      <c r="G80">
        <v>4</v>
      </c>
      <c r="H80">
        <v>232.6</v>
      </c>
      <c r="I80">
        <v>57</v>
      </c>
      <c r="J80">
        <v>12.5</v>
      </c>
      <c r="K80">
        <v>11.3</v>
      </c>
      <c r="L80">
        <v>3268</v>
      </c>
      <c r="M80">
        <v>2416</v>
      </c>
      <c r="N80">
        <v>395</v>
      </c>
      <c r="O80">
        <v>73.463999999999999</v>
      </c>
      <c r="P80">
        <v>72.924999999999997</v>
      </c>
      <c r="Q80">
        <v>0.53900000000000003</v>
      </c>
      <c r="R80">
        <v>3.3000000000000002E-2</v>
      </c>
      <c r="T80">
        <v>0.36602800000000002</v>
      </c>
      <c r="U80">
        <v>-1.2170000000000001</v>
      </c>
      <c r="V80" s="6" t="str">
        <f t="shared" si="14"/>
        <v/>
      </c>
      <c r="W80" s="5">
        <f t="shared" si="15"/>
        <v>-1.2180776831139772</v>
      </c>
      <c r="X80" s="11">
        <f t="shared" si="16"/>
        <v>-1.7714519716038239</v>
      </c>
      <c r="Y80" s="11">
        <f t="shared" si="17"/>
        <v>-1.7716145355112758</v>
      </c>
      <c r="AO80" s="2"/>
      <c r="AP80" s="2"/>
      <c r="AQ80" s="2"/>
      <c r="AR80" s="2"/>
      <c r="AS80" s="2"/>
      <c r="BC80" s="5"/>
    </row>
    <row r="81" spans="1:55" x14ac:dyDescent="0.2">
      <c r="A81" s="13">
        <v>44252.34847222222</v>
      </c>
      <c r="B81">
        <v>27890</v>
      </c>
      <c r="C81">
        <v>83</v>
      </c>
      <c r="D81" t="s">
        <v>165</v>
      </c>
      <c r="F81">
        <v>5.694</v>
      </c>
      <c r="G81">
        <v>4</v>
      </c>
      <c r="H81">
        <v>231.2</v>
      </c>
      <c r="I81">
        <v>0</v>
      </c>
      <c r="J81">
        <v>29.3</v>
      </c>
      <c r="K81">
        <v>23.9</v>
      </c>
      <c r="L81">
        <v>934</v>
      </c>
      <c r="M81">
        <v>694</v>
      </c>
      <c r="N81">
        <v>105</v>
      </c>
      <c r="O81">
        <v>20.456</v>
      </c>
      <c r="P81">
        <v>20.305</v>
      </c>
      <c r="Q81">
        <v>0.151</v>
      </c>
      <c r="R81">
        <v>7.0000000000000001E-3</v>
      </c>
      <c r="T81">
        <v>0.36784600000000001</v>
      </c>
      <c r="U81">
        <v>3.762</v>
      </c>
      <c r="V81" s="6" t="str">
        <f t="shared" si="14"/>
        <v/>
      </c>
      <c r="W81" s="5">
        <f t="shared" si="15"/>
        <v>3.7609091744090231</v>
      </c>
      <c r="X81" s="11">
        <f t="shared" si="16"/>
        <v>3.1853157961143097</v>
      </c>
      <c r="Y81" s="11">
        <f t="shared" si="17"/>
        <v>3.185121153847831</v>
      </c>
      <c r="AO81" s="2"/>
      <c r="AP81" s="2"/>
      <c r="AQ81" s="2"/>
      <c r="AR81" s="2"/>
      <c r="AS81" s="2"/>
      <c r="BC81" s="5"/>
    </row>
    <row r="82" spans="1:55" x14ac:dyDescent="0.2">
      <c r="A82" s="13">
        <v>44252.355798611112</v>
      </c>
      <c r="B82">
        <v>27891</v>
      </c>
      <c r="C82">
        <v>84</v>
      </c>
      <c r="D82" t="s">
        <v>166</v>
      </c>
      <c r="F82">
        <v>5.7140000000000004</v>
      </c>
      <c r="G82">
        <v>4</v>
      </c>
      <c r="H82">
        <v>231.4</v>
      </c>
      <c r="I82">
        <v>0</v>
      </c>
      <c r="J82">
        <v>28.4</v>
      </c>
      <c r="K82">
        <v>23.3</v>
      </c>
      <c r="L82">
        <v>1366</v>
      </c>
      <c r="M82">
        <v>1014</v>
      </c>
      <c r="N82">
        <v>160</v>
      </c>
      <c r="O82">
        <v>29.521000000000001</v>
      </c>
      <c r="P82">
        <v>29.303000000000001</v>
      </c>
      <c r="Q82">
        <v>0.217</v>
      </c>
      <c r="R82">
        <v>1.2E-2</v>
      </c>
      <c r="T82">
        <v>0.36762400000000001</v>
      </c>
      <c r="U82">
        <v>3.1560000000000001</v>
      </c>
      <c r="V82" s="6" t="str">
        <f t="shared" si="14"/>
        <v/>
      </c>
      <c r="W82" s="5">
        <f t="shared" si="15"/>
        <v>3.1548960319320236</v>
      </c>
      <c r="X82" s="11">
        <f t="shared" si="16"/>
        <v>2.5820319901390576</v>
      </c>
      <c r="Y82" s="11">
        <f t="shared" si="17"/>
        <v>2.5818265885508254</v>
      </c>
      <c r="AO82" s="2"/>
      <c r="AP82" s="2"/>
      <c r="AQ82" s="2"/>
      <c r="AR82" s="2"/>
      <c r="AS82" s="2"/>
      <c r="BC82" s="5"/>
    </row>
    <row r="83" spans="1:55" x14ac:dyDescent="0.2">
      <c r="A83" s="13">
        <v>44252.363125000003</v>
      </c>
      <c r="B83">
        <v>27892</v>
      </c>
      <c r="C83">
        <v>85</v>
      </c>
      <c r="D83" t="s">
        <v>167</v>
      </c>
      <c r="F83">
        <v>5.64</v>
      </c>
      <c r="G83">
        <v>4</v>
      </c>
      <c r="H83">
        <v>231.4</v>
      </c>
      <c r="I83">
        <v>0</v>
      </c>
      <c r="J83">
        <v>29</v>
      </c>
      <c r="K83">
        <v>23.7</v>
      </c>
      <c r="L83">
        <v>1117</v>
      </c>
      <c r="M83">
        <v>829</v>
      </c>
      <c r="N83">
        <v>128</v>
      </c>
      <c r="O83">
        <v>24.338000000000001</v>
      </c>
      <c r="P83">
        <v>24.158999999999999</v>
      </c>
      <c r="Q83">
        <v>0.17899999999999999</v>
      </c>
      <c r="R83">
        <v>8.9999999999999993E-3</v>
      </c>
      <c r="T83">
        <v>0.36731000000000003</v>
      </c>
      <c r="U83">
        <v>2.294</v>
      </c>
      <c r="V83" s="6" t="str">
        <f t="shared" si="14"/>
        <v/>
      </c>
      <c r="W83" s="5">
        <f t="shared" si="15"/>
        <v>2.2928828894550239</v>
      </c>
      <c r="X83" s="11">
        <f t="shared" si="16"/>
        <v>1.7238907092792033</v>
      </c>
      <c r="Y83" s="11">
        <f t="shared" si="17"/>
        <v>1.7236755241233368</v>
      </c>
      <c r="AO83" s="2"/>
      <c r="AP83" s="2"/>
      <c r="AQ83" s="2"/>
      <c r="AR83" s="2"/>
      <c r="AS83" s="2"/>
      <c r="BC83" s="5"/>
    </row>
    <row r="84" spans="1:55" x14ac:dyDescent="0.2">
      <c r="A84" s="13">
        <v>44252.370451388888</v>
      </c>
      <c r="B84">
        <v>27893</v>
      </c>
      <c r="C84">
        <v>86</v>
      </c>
      <c r="D84" t="s">
        <v>168</v>
      </c>
      <c r="F84">
        <v>5.851</v>
      </c>
      <c r="G84">
        <v>4</v>
      </c>
      <c r="H84">
        <v>231.4</v>
      </c>
      <c r="I84">
        <v>0</v>
      </c>
      <c r="J84">
        <v>29.3</v>
      </c>
      <c r="K84">
        <v>23.8</v>
      </c>
      <c r="L84">
        <v>1997</v>
      </c>
      <c r="M84">
        <v>1483</v>
      </c>
      <c r="N84">
        <v>238</v>
      </c>
      <c r="O84">
        <v>42.402000000000001</v>
      </c>
      <c r="P84">
        <v>42.09</v>
      </c>
      <c r="Q84">
        <v>0.312</v>
      </c>
      <c r="R84">
        <v>1.7999999999999999E-2</v>
      </c>
      <c r="T84">
        <v>0.36784299999999998</v>
      </c>
      <c r="U84">
        <v>3.7559999999999998</v>
      </c>
      <c r="V84" s="6" t="str">
        <f t="shared" si="14"/>
        <v/>
      </c>
      <c r="W84" s="5">
        <f t="shared" si="15"/>
        <v>3.7548697469780237</v>
      </c>
      <c r="X84" s="11">
        <f t="shared" si="16"/>
        <v>3.1793427030927432</v>
      </c>
      <c r="Y84" s="11">
        <f t="shared" si="17"/>
        <v>3.1791088333868629</v>
      </c>
      <c r="AO84" s="2"/>
      <c r="AP84" s="2"/>
      <c r="AQ84" s="2"/>
      <c r="AR84" s="2"/>
      <c r="AS84" s="2"/>
      <c r="BC84" s="5"/>
    </row>
    <row r="85" spans="1:55" x14ac:dyDescent="0.2">
      <c r="A85" s="13">
        <v>44252.37777777778</v>
      </c>
      <c r="B85">
        <v>27894</v>
      </c>
      <c r="C85">
        <v>87</v>
      </c>
      <c r="D85" t="s">
        <v>169</v>
      </c>
      <c r="F85">
        <v>5.8979999999999997</v>
      </c>
      <c r="G85">
        <v>4</v>
      </c>
      <c r="H85">
        <v>230.9</v>
      </c>
      <c r="I85">
        <v>0</v>
      </c>
      <c r="J85">
        <v>29.6</v>
      </c>
      <c r="K85">
        <v>24.1</v>
      </c>
      <c r="L85">
        <v>730</v>
      </c>
      <c r="M85">
        <v>544</v>
      </c>
      <c r="N85">
        <v>78</v>
      </c>
      <c r="O85">
        <v>16.079999999999998</v>
      </c>
      <c r="P85">
        <v>15.961</v>
      </c>
      <c r="Q85">
        <v>0.11899999999999999</v>
      </c>
      <c r="R85">
        <v>5.0000000000000001E-3</v>
      </c>
      <c r="T85">
        <v>0.36855100000000002</v>
      </c>
      <c r="U85">
        <v>5.694</v>
      </c>
      <c r="V85" s="6" t="str">
        <f t="shared" si="14"/>
        <v/>
      </c>
      <c r="W85" s="5">
        <f t="shared" si="15"/>
        <v>5.6928566045010243</v>
      </c>
      <c r="X85" s="11">
        <f t="shared" si="16"/>
        <v>5.1086372211864273</v>
      </c>
      <c r="Y85" s="11">
        <f t="shared" si="17"/>
        <v>5.1083828128874984</v>
      </c>
      <c r="AO85" s="2"/>
      <c r="AP85" s="2"/>
      <c r="AQ85" s="2"/>
      <c r="AR85" s="2"/>
      <c r="AS85" s="2"/>
      <c r="BC85" s="5"/>
    </row>
    <row r="86" spans="1:55" x14ac:dyDescent="0.2">
      <c r="A86" s="13">
        <v>44252.385115740741</v>
      </c>
      <c r="B86">
        <v>27895</v>
      </c>
      <c r="C86">
        <v>88</v>
      </c>
      <c r="D86" t="s">
        <v>170</v>
      </c>
      <c r="F86">
        <v>5.8230000000000004</v>
      </c>
      <c r="G86">
        <v>4</v>
      </c>
      <c r="H86">
        <v>231.6</v>
      </c>
      <c r="I86">
        <v>0</v>
      </c>
      <c r="J86">
        <v>28.2</v>
      </c>
      <c r="K86">
        <v>23.1</v>
      </c>
      <c r="L86">
        <v>1978</v>
      </c>
      <c r="M86">
        <v>1471</v>
      </c>
      <c r="N86">
        <v>236</v>
      </c>
      <c r="O86">
        <v>42.137999999999998</v>
      </c>
      <c r="P86">
        <v>41.826999999999998</v>
      </c>
      <c r="Q86">
        <v>0.311</v>
      </c>
      <c r="R86">
        <v>1.7999999999999999E-2</v>
      </c>
      <c r="T86">
        <v>0.36820399999999998</v>
      </c>
      <c r="U86">
        <v>4.7430000000000003</v>
      </c>
      <c r="V86" s="6" t="str">
        <f t="shared" si="14"/>
        <v/>
      </c>
      <c r="W86" s="5">
        <f t="shared" si="15"/>
        <v>4.7418434620240246</v>
      </c>
      <c r="X86" s="11">
        <f t="shared" si="16"/>
        <v>4.1619127482376825</v>
      </c>
      <c r="Y86" s="11">
        <f t="shared" si="17"/>
        <v>4.1616489192520021</v>
      </c>
      <c r="AO86" s="2"/>
      <c r="AP86" s="2"/>
      <c r="AQ86" s="2"/>
      <c r="AR86" s="2"/>
      <c r="AS86" s="2"/>
      <c r="BC86" s="5"/>
    </row>
    <row r="87" spans="1:55" x14ac:dyDescent="0.2">
      <c r="A87" s="13">
        <v>44252.392453703702</v>
      </c>
      <c r="B87">
        <v>27896</v>
      </c>
      <c r="C87">
        <v>89</v>
      </c>
      <c r="D87" t="s">
        <v>171</v>
      </c>
      <c r="F87">
        <v>5.6360000000000001</v>
      </c>
      <c r="G87">
        <v>4</v>
      </c>
      <c r="H87">
        <v>231.2</v>
      </c>
      <c r="I87">
        <v>0</v>
      </c>
      <c r="J87">
        <v>29.3</v>
      </c>
      <c r="K87">
        <v>23.8</v>
      </c>
      <c r="L87">
        <v>541</v>
      </c>
      <c r="M87">
        <v>401</v>
      </c>
      <c r="N87">
        <v>54</v>
      </c>
      <c r="O87">
        <v>11.99</v>
      </c>
      <c r="P87">
        <v>11.901999999999999</v>
      </c>
      <c r="Q87">
        <v>8.7999999999999995E-2</v>
      </c>
      <c r="R87">
        <v>3.0000000000000001E-3</v>
      </c>
      <c r="T87">
        <v>0.36734099999999997</v>
      </c>
      <c r="U87">
        <v>2.379</v>
      </c>
      <c r="V87" s="6" t="str">
        <f t="shared" si="14"/>
        <v/>
      </c>
      <c r="W87" s="5">
        <f t="shared" si="15"/>
        <v>2.3778303195470247</v>
      </c>
      <c r="X87" s="11">
        <f t="shared" si="16"/>
        <v>1.8085104653968074</v>
      </c>
      <c r="Y87" s="11">
        <f t="shared" si="17"/>
        <v>1.8082426206254922</v>
      </c>
      <c r="AO87" s="2"/>
      <c r="AP87" s="2"/>
      <c r="AQ87" s="2"/>
      <c r="AR87" s="2"/>
      <c r="AS87" s="2"/>
      <c r="BC87" s="5"/>
    </row>
    <row r="88" spans="1:55" x14ac:dyDescent="0.2">
      <c r="A88" s="13">
        <v>44252.399780092594</v>
      </c>
      <c r="B88">
        <v>27897</v>
      </c>
      <c r="C88">
        <v>90</v>
      </c>
      <c r="D88" t="s">
        <v>172</v>
      </c>
      <c r="F88">
        <v>5.6130000000000004</v>
      </c>
      <c r="G88">
        <v>4</v>
      </c>
      <c r="H88">
        <v>231.6</v>
      </c>
      <c r="I88">
        <v>0</v>
      </c>
      <c r="J88">
        <v>28.2</v>
      </c>
      <c r="K88">
        <v>23</v>
      </c>
      <c r="L88">
        <v>1186</v>
      </c>
      <c r="M88">
        <v>882</v>
      </c>
      <c r="N88">
        <v>136</v>
      </c>
      <c r="O88">
        <v>25.658000000000001</v>
      </c>
      <c r="P88">
        <v>25.469000000000001</v>
      </c>
      <c r="Q88">
        <v>0.189</v>
      </c>
      <c r="R88">
        <v>0.01</v>
      </c>
      <c r="T88">
        <v>0.36833199999999999</v>
      </c>
      <c r="U88">
        <v>5.093</v>
      </c>
      <c r="V88" s="6" t="str">
        <f t="shared" si="14"/>
        <v/>
      </c>
      <c r="W88" s="5">
        <f t="shared" si="15"/>
        <v>5.0918171770700251</v>
      </c>
      <c r="X88" s="11">
        <f t="shared" si="16"/>
        <v>4.5103400265826394</v>
      </c>
      <c r="Y88" s="11">
        <f t="shared" si="17"/>
        <v>4.5100486839136238</v>
      </c>
      <c r="AO88" s="2"/>
      <c r="AP88" s="2"/>
      <c r="AQ88" s="2"/>
      <c r="AR88" s="2"/>
      <c r="AS88" s="2"/>
      <c r="BC88" s="5"/>
    </row>
    <row r="89" spans="1:55" x14ac:dyDescent="0.2">
      <c r="A89" s="13">
        <v>44252.407106481478</v>
      </c>
      <c r="B89">
        <v>27898</v>
      </c>
      <c r="C89">
        <v>91</v>
      </c>
      <c r="D89" t="s">
        <v>173</v>
      </c>
      <c r="F89">
        <v>5.7460000000000004</v>
      </c>
      <c r="G89">
        <v>4</v>
      </c>
      <c r="H89">
        <v>231.6</v>
      </c>
      <c r="I89">
        <v>0</v>
      </c>
      <c r="J89">
        <v>29</v>
      </c>
      <c r="K89">
        <v>23.7</v>
      </c>
      <c r="L89">
        <v>1894</v>
      </c>
      <c r="M89">
        <v>1407</v>
      </c>
      <c r="N89">
        <v>225</v>
      </c>
      <c r="O89">
        <v>40.479999999999997</v>
      </c>
      <c r="P89">
        <v>40.182000000000002</v>
      </c>
      <c r="Q89">
        <v>0.29799999999999999</v>
      </c>
      <c r="R89">
        <v>1.7000000000000001E-2</v>
      </c>
      <c r="T89">
        <v>0.36808800000000003</v>
      </c>
      <c r="U89">
        <v>4.4260000000000002</v>
      </c>
      <c r="V89" s="6" t="str">
        <f t="shared" si="14"/>
        <v/>
      </c>
      <c r="W89" s="5">
        <f t="shared" si="15"/>
        <v>4.4248040345930253</v>
      </c>
      <c r="X89" s="11">
        <f t="shared" si="16"/>
        <v>3.8463363643124922</v>
      </c>
      <c r="Y89" s="11">
        <f t="shared" si="17"/>
        <v>3.8460345040508628</v>
      </c>
      <c r="AO89" s="2"/>
      <c r="AP89" s="2"/>
      <c r="AQ89" s="2"/>
      <c r="AR89" s="2"/>
      <c r="AS89" s="2"/>
      <c r="BC89" s="5"/>
    </row>
    <row r="90" spans="1:55" x14ac:dyDescent="0.2">
      <c r="A90" s="13">
        <v>44252.414444444446</v>
      </c>
      <c r="B90">
        <v>27899</v>
      </c>
      <c r="C90">
        <v>92</v>
      </c>
      <c r="D90" t="s">
        <v>174</v>
      </c>
      <c r="F90">
        <v>5.92</v>
      </c>
      <c r="G90">
        <v>4</v>
      </c>
      <c r="H90">
        <v>231.8</v>
      </c>
      <c r="I90">
        <v>0</v>
      </c>
      <c r="J90">
        <v>29.3</v>
      </c>
      <c r="K90">
        <v>23.9</v>
      </c>
      <c r="L90">
        <v>1973</v>
      </c>
      <c r="M90">
        <v>1466</v>
      </c>
      <c r="N90">
        <v>236</v>
      </c>
      <c r="O90">
        <v>41.966000000000001</v>
      </c>
      <c r="P90">
        <v>41.656999999999996</v>
      </c>
      <c r="Q90">
        <v>0.309</v>
      </c>
      <c r="R90">
        <v>1.7999999999999999E-2</v>
      </c>
      <c r="T90">
        <v>0.36769600000000002</v>
      </c>
      <c r="U90">
        <v>3.3519999999999999</v>
      </c>
      <c r="V90" s="6" t="str">
        <f t="shared" si="14"/>
        <v/>
      </c>
      <c r="W90" s="5">
        <f t="shared" si="15"/>
        <v>3.3507908921160254</v>
      </c>
      <c r="X90" s="11">
        <f t="shared" si="16"/>
        <v>2.777153796947232</v>
      </c>
      <c r="Y90" s="11">
        <f t="shared" si="17"/>
        <v>2.7768429757783224</v>
      </c>
      <c r="AO90" s="2"/>
      <c r="AP90" s="2"/>
      <c r="AQ90" s="2"/>
      <c r="AR90" s="2"/>
      <c r="AS90" s="2"/>
      <c r="BC90" s="5"/>
    </row>
    <row r="91" spans="1:55" x14ac:dyDescent="0.2">
      <c r="A91" s="13">
        <v>44252.421770833331</v>
      </c>
      <c r="B91">
        <v>27900</v>
      </c>
      <c r="C91">
        <v>93</v>
      </c>
      <c r="D91" t="s">
        <v>12</v>
      </c>
      <c r="G91">
        <v>4</v>
      </c>
      <c r="H91">
        <v>232</v>
      </c>
      <c r="I91">
        <v>57</v>
      </c>
      <c r="J91">
        <v>12.6</v>
      </c>
      <c r="K91">
        <v>11.4</v>
      </c>
      <c r="L91">
        <v>3340</v>
      </c>
      <c r="M91">
        <v>2469</v>
      </c>
      <c r="N91">
        <v>402</v>
      </c>
      <c r="O91">
        <v>74.994</v>
      </c>
      <c r="P91">
        <v>74.444000000000003</v>
      </c>
      <c r="Q91">
        <v>0.55000000000000004</v>
      </c>
      <c r="R91">
        <v>3.4000000000000002E-2</v>
      </c>
      <c r="T91">
        <v>0.36601800000000001</v>
      </c>
      <c r="U91">
        <v>-1.2430000000000001</v>
      </c>
      <c r="V91" s="6" t="str">
        <f t="shared" si="14"/>
        <v/>
      </c>
      <c r="W91" s="5">
        <f t="shared" si="15"/>
        <v>-1.2442222503609741</v>
      </c>
      <c r="X91" s="11">
        <f t="shared" si="16"/>
        <v>-1.7973363813337073</v>
      </c>
      <c r="Y91" s="11">
        <f t="shared" si="17"/>
        <v>-1.7976427706595359</v>
      </c>
      <c r="AO91" s="2"/>
      <c r="AP91" s="2"/>
      <c r="AQ91" s="2"/>
      <c r="AR91" s="2"/>
      <c r="AS91" s="2"/>
      <c r="BC91" s="5"/>
    </row>
    <row r="92" spans="1:55" x14ac:dyDescent="0.2">
      <c r="A92" s="13">
        <v>44252.429224537038</v>
      </c>
      <c r="B92">
        <v>27901</v>
      </c>
      <c r="C92">
        <v>94</v>
      </c>
      <c r="D92" t="s">
        <v>175</v>
      </c>
      <c r="F92">
        <v>5.8079999999999998</v>
      </c>
      <c r="G92">
        <v>4</v>
      </c>
      <c r="H92">
        <v>230.9</v>
      </c>
      <c r="I92">
        <v>0</v>
      </c>
      <c r="J92">
        <v>29.5</v>
      </c>
      <c r="K92">
        <v>24</v>
      </c>
      <c r="L92">
        <v>848</v>
      </c>
      <c r="M92">
        <v>629</v>
      </c>
      <c r="N92">
        <v>94</v>
      </c>
      <c r="O92">
        <v>18.911000000000001</v>
      </c>
      <c r="P92">
        <v>18.771999999999998</v>
      </c>
      <c r="Q92">
        <v>0.13900000000000001</v>
      </c>
      <c r="R92">
        <v>7.0000000000000001E-3</v>
      </c>
      <c r="T92">
        <v>0.36735099999999998</v>
      </c>
      <c r="U92">
        <v>2.4060000000000001</v>
      </c>
      <c r="V92" s="6" t="str">
        <f t="shared" si="14"/>
        <v/>
      </c>
      <c r="W92" s="5">
        <f t="shared" si="15"/>
        <v>2.4047646071620266</v>
      </c>
      <c r="X92" s="11">
        <f t="shared" si="16"/>
        <v>1.8353896703122246</v>
      </c>
      <c r="Y92" s="11">
        <f t="shared" si="17"/>
        <v>1.8350563041357191</v>
      </c>
      <c r="AO92" s="2"/>
      <c r="AP92" s="2"/>
      <c r="AQ92" s="2"/>
      <c r="AR92" s="2"/>
      <c r="AS92" s="2"/>
      <c r="BC92" s="5"/>
    </row>
    <row r="93" spans="1:55" x14ac:dyDescent="0.2">
      <c r="A93" s="13">
        <v>44252.436550925922</v>
      </c>
      <c r="B93">
        <v>27902</v>
      </c>
      <c r="C93">
        <v>95</v>
      </c>
      <c r="D93" t="s">
        <v>176</v>
      </c>
      <c r="F93">
        <v>5.6349999999999998</v>
      </c>
      <c r="G93">
        <v>4</v>
      </c>
      <c r="H93">
        <v>231.6</v>
      </c>
      <c r="I93">
        <v>0</v>
      </c>
      <c r="J93">
        <v>28.3</v>
      </c>
      <c r="K93">
        <v>23.1</v>
      </c>
      <c r="L93">
        <v>2211</v>
      </c>
      <c r="M93">
        <v>1640</v>
      </c>
      <c r="N93">
        <v>265</v>
      </c>
      <c r="O93">
        <v>46.552999999999997</v>
      </c>
      <c r="P93">
        <v>46.210999999999999</v>
      </c>
      <c r="Q93">
        <v>0.34200000000000003</v>
      </c>
      <c r="R93">
        <v>0.02</v>
      </c>
      <c r="T93">
        <v>0.36747800000000003</v>
      </c>
      <c r="U93">
        <v>2.7549999999999999</v>
      </c>
      <c r="V93" s="6" t="str">
        <f t="shared" si="14"/>
        <v/>
      </c>
      <c r="W93" s="5">
        <f t="shared" si="15"/>
        <v>2.7537514646850263</v>
      </c>
      <c r="X93" s="11">
        <f t="shared" si="16"/>
        <v>2.1828277728278636</v>
      </c>
      <c r="Y93" s="11">
        <f t="shared" si="17"/>
        <v>2.1824799877800842</v>
      </c>
      <c r="AO93" s="2"/>
      <c r="AP93" s="2"/>
      <c r="AQ93" s="2"/>
      <c r="AR93" s="2"/>
      <c r="AS93" s="2"/>
      <c r="BC93" s="5"/>
    </row>
    <row r="94" spans="1:55" x14ac:dyDescent="0.2">
      <c r="A94" s="13">
        <v>44252.443888888891</v>
      </c>
      <c r="B94">
        <v>27903</v>
      </c>
      <c r="C94">
        <v>96</v>
      </c>
      <c r="D94" t="s">
        <v>177</v>
      </c>
      <c r="F94">
        <v>5.6280000000000001</v>
      </c>
      <c r="G94">
        <v>4</v>
      </c>
      <c r="H94">
        <v>231.2</v>
      </c>
      <c r="I94">
        <v>0</v>
      </c>
      <c r="J94">
        <v>29.1</v>
      </c>
      <c r="K94">
        <v>23.8</v>
      </c>
      <c r="L94">
        <v>1378</v>
      </c>
      <c r="M94">
        <v>1026</v>
      </c>
      <c r="N94">
        <v>161</v>
      </c>
      <c r="O94">
        <v>29.922999999999998</v>
      </c>
      <c r="P94">
        <v>29.702000000000002</v>
      </c>
      <c r="Q94">
        <v>0.221</v>
      </c>
      <c r="R94">
        <v>1.2E-2</v>
      </c>
      <c r="T94">
        <v>0.36887199999999998</v>
      </c>
      <c r="U94">
        <v>6.5730000000000004</v>
      </c>
      <c r="V94" s="6" t="str">
        <f t="shared" si="14"/>
        <v/>
      </c>
      <c r="W94" s="5">
        <f t="shared" si="15"/>
        <v>6.5717383222080272</v>
      </c>
      <c r="X94" s="11">
        <f t="shared" si="16"/>
        <v>5.9836791520662018</v>
      </c>
      <c r="Y94" s="11">
        <f t="shared" si="17"/>
        <v>5.9833036020230566</v>
      </c>
      <c r="AO94" s="2"/>
      <c r="AP94" s="2"/>
      <c r="AQ94" s="2"/>
      <c r="AR94" s="2"/>
      <c r="AS94" s="2"/>
      <c r="BC94" s="5"/>
    </row>
    <row r="95" spans="1:55" x14ac:dyDescent="0.2">
      <c r="A95" s="13">
        <v>44252.451215277775</v>
      </c>
      <c r="B95">
        <v>27904</v>
      </c>
      <c r="C95">
        <v>97</v>
      </c>
      <c r="D95" t="s">
        <v>178</v>
      </c>
      <c r="F95">
        <v>5.806</v>
      </c>
      <c r="G95">
        <v>4</v>
      </c>
      <c r="H95">
        <v>231.4</v>
      </c>
      <c r="I95">
        <v>0</v>
      </c>
      <c r="J95">
        <v>29.2</v>
      </c>
      <c r="K95">
        <v>23.8</v>
      </c>
      <c r="L95">
        <v>2826</v>
      </c>
      <c r="M95">
        <v>2096</v>
      </c>
      <c r="N95">
        <v>341</v>
      </c>
      <c r="O95">
        <v>58.735999999999997</v>
      </c>
      <c r="P95">
        <v>58.304000000000002</v>
      </c>
      <c r="Q95">
        <v>0.432</v>
      </c>
      <c r="R95">
        <v>2.5999999999999999E-2</v>
      </c>
      <c r="T95">
        <v>0.36726799999999998</v>
      </c>
      <c r="U95">
        <v>2.1800000000000002</v>
      </c>
      <c r="V95" s="6" t="str">
        <f t="shared" si="14"/>
        <v/>
      </c>
      <c r="W95" s="5">
        <f t="shared" si="15"/>
        <v>2.1787251797310274</v>
      </c>
      <c r="X95" s="11">
        <f t="shared" si="16"/>
        <v>1.6104005954016429</v>
      </c>
      <c r="Y95" s="11">
        <f t="shared" si="17"/>
        <v>1.6100288423450593</v>
      </c>
      <c r="AO95" s="2"/>
      <c r="AP95" s="2"/>
      <c r="AQ95" s="2"/>
      <c r="AR95" s="2"/>
      <c r="AS95" s="2"/>
      <c r="BC95" s="5"/>
    </row>
    <row r="96" spans="1:55" x14ac:dyDescent="0.2">
      <c r="A96" s="13">
        <v>44252.458541666667</v>
      </c>
      <c r="B96">
        <v>27905</v>
      </c>
      <c r="C96">
        <v>98</v>
      </c>
      <c r="D96" t="s">
        <v>179</v>
      </c>
      <c r="F96">
        <v>5.8339999999999996</v>
      </c>
      <c r="G96">
        <v>4</v>
      </c>
      <c r="H96">
        <v>231.2</v>
      </c>
      <c r="I96">
        <v>0</v>
      </c>
      <c r="J96">
        <v>29.7</v>
      </c>
      <c r="K96">
        <v>24.3</v>
      </c>
      <c r="L96">
        <v>566</v>
      </c>
      <c r="M96">
        <v>420</v>
      </c>
      <c r="N96">
        <v>57</v>
      </c>
      <c r="O96">
        <v>12.534000000000001</v>
      </c>
      <c r="P96">
        <v>12.442</v>
      </c>
      <c r="Q96">
        <v>9.1999999999999998E-2</v>
      </c>
      <c r="R96">
        <v>4.0000000000000001E-3</v>
      </c>
      <c r="T96">
        <v>0.367483</v>
      </c>
      <c r="U96">
        <v>2.7679999999999998</v>
      </c>
      <c r="V96" s="6" t="str">
        <f t="shared" si="14"/>
        <v/>
      </c>
      <c r="W96" s="5">
        <f t="shared" si="15"/>
        <v>2.766712037254027</v>
      </c>
      <c r="X96" s="11">
        <f t="shared" si="16"/>
        <v>2.1957695750054427</v>
      </c>
      <c r="Y96" s="11">
        <f t="shared" si="17"/>
        <v>2.1953824894275158</v>
      </c>
      <c r="AO96" s="2"/>
      <c r="AP96" s="2"/>
      <c r="AQ96" s="2"/>
      <c r="AR96" s="2"/>
      <c r="AS96" s="2"/>
      <c r="BC96" s="5"/>
    </row>
    <row r="97" spans="1:55" x14ac:dyDescent="0.2">
      <c r="A97" s="13">
        <v>44252.465868055559</v>
      </c>
      <c r="B97">
        <v>27906</v>
      </c>
      <c r="C97">
        <v>99</v>
      </c>
      <c r="D97" t="s">
        <v>180</v>
      </c>
      <c r="F97">
        <v>5.9420000000000002</v>
      </c>
      <c r="G97">
        <v>4</v>
      </c>
      <c r="H97">
        <v>230.7</v>
      </c>
      <c r="I97">
        <v>0</v>
      </c>
      <c r="J97">
        <v>28.1</v>
      </c>
      <c r="K97">
        <v>23</v>
      </c>
      <c r="L97">
        <v>1102</v>
      </c>
      <c r="M97">
        <v>818</v>
      </c>
      <c r="N97">
        <v>127</v>
      </c>
      <c r="O97">
        <v>24.032</v>
      </c>
      <c r="P97">
        <v>23.855</v>
      </c>
      <c r="Q97">
        <v>0.17699999999999999</v>
      </c>
      <c r="R97">
        <v>8.9999999999999993E-3</v>
      </c>
      <c r="T97">
        <v>0.36745</v>
      </c>
      <c r="U97">
        <v>2.6789999999999998</v>
      </c>
      <c r="V97" s="6" t="str">
        <f t="shared" si="14"/>
        <v/>
      </c>
      <c r="W97" s="5">
        <f t="shared" si="15"/>
        <v>2.6776988947770275</v>
      </c>
      <c r="X97" s="11">
        <f t="shared" si="16"/>
        <v>2.107167980006011</v>
      </c>
      <c r="Y97" s="11">
        <f t="shared" si="17"/>
        <v>2.1067681514271044</v>
      </c>
      <c r="AO97" s="2"/>
      <c r="AP97" s="2"/>
      <c r="AQ97" s="2"/>
      <c r="AR97" s="2"/>
      <c r="AS97" s="2"/>
      <c r="BC97" s="5"/>
    </row>
    <row r="98" spans="1:55" x14ac:dyDescent="0.2">
      <c r="A98" s="13">
        <v>44252.473194444443</v>
      </c>
      <c r="B98">
        <v>27907</v>
      </c>
      <c r="C98">
        <v>100</v>
      </c>
      <c r="D98" t="s">
        <v>181</v>
      </c>
      <c r="F98">
        <v>5.6849999999999996</v>
      </c>
      <c r="G98">
        <v>4</v>
      </c>
      <c r="H98">
        <v>231.6</v>
      </c>
      <c r="I98">
        <v>0</v>
      </c>
      <c r="J98">
        <v>28.7</v>
      </c>
      <c r="K98">
        <v>23.4</v>
      </c>
      <c r="L98">
        <v>2371</v>
      </c>
      <c r="M98">
        <v>1761</v>
      </c>
      <c r="N98">
        <v>285</v>
      </c>
      <c r="O98">
        <v>49.991</v>
      </c>
      <c r="P98">
        <v>49.622999999999998</v>
      </c>
      <c r="Q98">
        <v>0.36799999999999999</v>
      </c>
      <c r="R98">
        <v>2.1999999999999999E-2</v>
      </c>
      <c r="T98">
        <v>0.36763299999999999</v>
      </c>
      <c r="U98">
        <v>3.18</v>
      </c>
      <c r="V98" s="6" t="str">
        <f t="shared" si="14"/>
        <v/>
      </c>
      <c r="W98" s="5">
        <f t="shared" si="15"/>
        <v>3.1786857523000283</v>
      </c>
      <c r="X98" s="11">
        <f t="shared" si="16"/>
        <v>2.6059244722960102</v>
      </c>
      <c r="Y98" s="11">
        <f t="shared" si="17"/>
        <v>2.6055096419539723</v>
      </c>
      <c r="AO98" s="2"/>
      <c r="AP98" s="2"/>
      <c r="AQ98" s="2"/>
      <c r="AR98" s="2"/>
      <c r="AS98" s="2"/>
      <c r="BC98" s="5"/>
    </row>
    <row r="99" spans="1:55" x14ac:dyDescent="0.2">
      <c r="A99" s="13">
        <v>44252.480520833335</v>
      </c>
      <c r="B99">
        <v>27908</v>
      </c>
      <c r="C99">
        <v>101</v>
      </c>
      <c r="D99" t="s">
        <v>182</v>
      </c>
      <c r="F99">
        <v>5.76</v>
      </c>
      <c r="G99">
        <v>4</v>
      </c>
      <c r="H99">
        <v>231.6</v>
      </c>
      <c r="I99">
        <v>0</v>
      </c>
      <c r="J99">
        <v>29.2</v>
      </c>
      <c r="K99">
        <v>23.9</v>
      </c>
      <c r="L99">
        <v>2079</v>
      </c>
      <c r="M99">
        <v>1542</v>
      </c>
      <c r="N99">
        <v>248</v>
      </c>
      <c r="O99">
        <v>44.118000000000002</v>
      </c>
      <c r="P99">
        <v>43.792999999999999</v>
      </c>
      <c r="Q99">
        <v>0.32500000000000001</v>
      </c>
      <c r="R99">
        <v>1.9E-2</v>
      </c>
      <c r="T99">
        <v>0.36736099999999999</v>
      </c>
      <c r="U99">
        <v>2.4350000000000001</v>
      </c>
      <c r="V99" s="6" t="str">
        <f t="shared" si="14"/>
        <v/>
      </c>
      <c r="W99" s="5">
        <f t="shared" si="15"/>
        <v>2.4336726098230281</v>
      </c>
      <c r="X99" s="11">
        <f t="shared" si="16"/>
        <v>1.8642599211422066</v>
      </c>
      <c r="Y99" s="11">
        <f t="shared" si="17"/>
        <v>1.8638348586840721</v>
      </c>
      <c r="AO99" s="2"/>
      <c r="AP99" s="2"/>
      <c r="AQ99" s="2"/>
      <c r="AR99" s="2"/>
      <c r="AS99" s="2"/>
      <c r="BC99" s="5"/>
    </row>
    <row r="100" spans="1:55" x14ac:dyDescent="0.2">
      <c r="A100" s="13">
        <v>44252.487847222219</v>
      </c>
      <c r="B100">
        <v>27909</v>
      </c>
      <c r="C100">
        <v>102</v>
      </c>
      <c r="D100" t="s">
        <v>183</v>
      </c>
      <c r="F100">
        <v>5.6769999999999996</v>
      </c>
      <c r="G100">
        <v>4</v>
      </c>
      <c r="H100">
        <v>231.4</v>
      </c>
      <c r="I100">
        <v>0</v>
      </c>
      <c r="J100">
        <v>29.2</v>
      </c>
      <c r="K100">
        <v>23.9</v>
      </c>
      <c r="L100">
        <v>1253</v>
      </c>
      <c r="M100">
        <v>931</v>
      </c>
      <c r="N100">
        <v>145</v>
      </c>
      <c r="O100">
        <v>27.114000000000001</v>
      </c>
      <c r="P100">
        <v>26.914000000000001</v>
      </c>
      <c r="Q100">
        <v>0.2</v>
      </c>
      <c r="R100">
        <v>1.0999999999999999E-2</v>
      </c>
      <c r="T100">
        <v>0.36816900000000002</v>
      </c>
      <c r="U100">
        <v>4.6479999999999997</v>
      </c>
      <c r="V100" s="6" t="str">
        <f t="shared" si="14"/>
        <v/>
      </c>
      <c r="W100" s="5">
        <f t="shared" si="15"/>
        <v>4.6466594673460282</v>
      </c>
      <c r="X100" s="11">
        <f t="shared" si="16"/>
        <v>4.0673394658003872</v>
      </c>
      <c r="Y100" s="11">
        <f t="shared" si="17"/>
        <v>4.0668928346473194</v>
      </c>
      <c r="AO100" s="2"/>
      <c r="AP100" s="2"/>
      <c r="AQ100" s="2"/>
      <c r="AR100" s="2"/>
      <c r="AS100" s="2"/>
      <c r="BC100" s="5"/>
    </row>
    <row r="101" spans="1:55" x14ac:dyDescent="0.2">
      <c r="A101" s="13">
        <v>44252.495173611111</v>
      </c>
      <c r="B101">
        <v>27910</v>
      </c>
      <c r="C101">
        <v>103</v>
      </c>
      <c r="D101" t="s">
        <v>184</v>
      </c>
      <c r="F101">
        <v>5.774</v>
      </c>
      <c r="G101">
        <v>4</v>
      </c>
      <c r="H101">
        <v>231.4</v>
      </c>
      <c r="I101">
        <v>0</v>
      </c>
      <c r="J101">
        <v>29.2</v>
      </c>
      <c r="K101">
        <v>23.8</v>
      </c>
      <c r="L101">
        <v>992</v>
      </c>
      <c r="M101">
        <v>737</v>
      </c>
      <c r="N101">
        <v>112</v>
      </c>
      <c r="O101">
        <v>21.596</v>
      </c>
      <c r="P101">
        <v>21.437000000000001</v>
      </c>
      <c r="Q101">
        <v>0.159</v>
      </c>
      <c r="R101">
        <v>8.0000000000000002E-3</v>
      </c>
      <c r="T101">
        <v>0.367533</v>
      </c>
      <c r="U101">
        <v>2.907</v>
      </c>
      <c r="V101" s="6" t="str">
        <f t="shared" si="14"/>
        <v/>
      </c>
      <c r="W101" s="5">
        <f t="shared" si="15"/>
        <v>2.905646324869029</v>
      </c>
      <c r="X101" s="11">
        <f t="shared" si="16"/>
        <v>2.3341472240008443</v>
      </c>
      <c r="Y101" s="11">
        <f t="shared" si="17"/>
        <v>2.3336941884484759</v>
      </c>
      <c r="AO101" s="2"/>
      <c r="AP101" s="2"/>
      <c r="AQ101" s="2"/>
      <c r="AR101" s="2"/>
      <c r="AS101" s="2"/>
      <c r="BC101" s="5"/>
    </row>
    <row r="102" spans="1:55" x14ac:dyDescent="0.2">
      <c r="A102" s="13">
        <v>44252.502500000002</v>
      </c>
      <c r="B102">
        <v>27911</v>
      </c>
      <c r="C102">
        <v>104</v>
      </c>
      <c r="D102" t="s">
        <v>12</v>
      </c>
      <c r="G102">
        <v>4</v>
      </c>
      <c r="H102">
        <v>232.2</v>
      </c>
      <c r="I102">
        <v>57</v>
      </c>
      <c r="J102">
        <v>12.4</v>
      </c>
      <c r="K102">
        <v>11.2</v>
      </c>
      <c r="L102">
        <v>3357</v>
      </c>
      <c r="M102">
        <v>2480</v>
      </c>
      <c r="N102">
        <v>406</v>
      </c>
      <c r="O102">
        <v>75.691000000000003</v>
      </c>
      <c r="P102">
        <v>75.137</v>
      </c>
      <c r="Q102">
        <v>0.55500000000000005</v>
      </c>
      <c r="R102">
        <v>3.4000000000000002E-2</v>
      </c>
      <c r="T102">
        <v>0.36600899999999997</v>
      </c>
      <c r="U102">
        <v>-1.2669999999999999</v>
      </c>
      <c r="V102" s="6" t="str">
        <f t="shared" si="14"/>
        <v/>
      </c>
      <c r="W102" s="5">
        <f t="shared" si="15"/>
        <v>-1.2683668176079708</v>
      </c>
      <c r="X102" s="11">
        <f t="shared" si="16"/>
        <v>-1.8212296872789011</v>
      </c>
      <c r="Y102" s="11">
        <f t="shared" si="17"/>
        <v>-1.8216799096665</v>
      </c>
      <c r="AO102" s="2"/>
      <c r="AP102" s="2"/>
      <c r="AQ102" s="2"/>
      <c r="AR102" s="2"/>
      <c r="AS102" s="2"/>
      <c r="BC102" s="5"/>
    </row>
    <row r="103" spans="1:55" x14ac:dyDescent="0.2">
      <c r="A103" s="13">
        <v>44252.509826388887</v>
      </c>
      <c r="B103">
        <v>27912</v>
      </c>
      <c r="C103">
        <v>105</v>
      </c>
      <c r="D103" t="s">
        <v>185</v>
      </c>
      <c r="F103">
        <v>5.7320000000000002</v>
      </c>
      <c r="G103">
        <v>4</v>
      </c>
      <c r="H103">
        <v>231.2</v>
      </c>
      <c r="I103">
        <v>0</v>
      </c>
      <c r="J103">
        <v>29.2</v>
      </c>
      <c r="K103">
        <v>23.8</v>
      </c>
      <c r="L103">
        <v>833</v>
      </c>
      <c r="M103">
        <v>619</v>
      </c>
      <c r="N103">
        <v>92</v>
      </c>
      <c r="O103">
        <v>18.337</v>
      </c>
      <c r="P103">
        <v>18.202000000000002</v>
      </c>
      <c r="Q103">
        <v>0.13500000000000001</v>
      </c>
      <c r="R103">
        <v>6.0000000000000001E-3</v>
      </c>
      <c r="T103">
        <v>0.36792900000000001</v>
      </c>
      <c r="U103">
        <v>3.9910000000000001</v>
      </c>
      <c r="V103" s="6" t="str">
        <f t="shared" si="14"/>
        <v/>
      </c>
      <c r="W103" s="5">
        <f t="shared" si="15"/>
        <v>3.9896200399150294</v>
      </c>
      <c r="X103" s="11">
        <f t="shared" si="16"/>
        <v>3.4132886376255556</v>
      </c>
      <c r="Y103" s="11">
        <f t="shared" si="17"/>
        <v>3.412805279925351</v>
      </c>
      <c r="AO103" s="2"/>
      <c r="AP103" s="2"/>
      <c r="AQ103" s="2"/>
      <c r="AR103" s="2"/>
      <c r="AS103" s="2"/>
      <c r="BC103" s="5"/>
    </row>
    <row r="104" spans="1:55" x14ac:dyDescent="0.2">
      <c r="A104" s="13">
        <v>44252.517152777778</v>
      </c>
      <c r="B104">
        <v>27913</v>
      </c>
      <c r="C104">
        <v>106</v>
      </c>
      <c r="D104" t="s">
        <v>186</v>
      </c>
      <c r="F104">
        <v>5.6559999999999997</v>
      </c>
      <c r="G104">
        <v>4</v>
      </c>
      <c r="H104">
        <v>231.2</v>
      </c>
      <c r="I104">
        <v>0</v>
      </c>
      <c r="J104">
        <v>28.1</v>
      </c>
      <c r="K104">
        <v>23</v>
      </c>
      <c r="L104">
        <v>1728</v>
      </c>
      <c r="M104">
        <v>1285</v>
      </c>
      <c r="N104">
        <v>206</v>
      </c>
      <c r="O104">
        <v>37.127000000000002</v>
      </c>
      <c r="P104">
        <v>36.853000000000002</v>
      </c>
      <c r="Q104">
        <v>0.27400000000000002</v>
      </c>
      <c r="R104">
        <v>1.6E-2</v>
      </c>
      <c r="T104">
        <v>0.36844500000000002</v>
      </c>
      <c r="U104">
        <v>5.4020000000000001</v>
      </c>
      <c r="V104" s="6" t="str">
        <f t="shared" si="14"/>
        <v/>
      </c>
      <c r="W104" s="5">
        <f t="shared" si="15"/>
        <v>5.4006068974380295</v>
      </c>
      <c r="X104" s="11">
        <f t="shared" si="16"/>
        <v>4.8179507479387667</v>
      </c>
      <c r="Y104" s="11">
        <f t="shared" si="17"/>
        <v>4.8174488820484385</v>
      </c>
      <c r="AO104" s="2"/>
      <c r="AP104" s="2"/>
      <c r="AQ104" s="2"/>
      <c r="AR104" s="2"/>
      <c r="AS104" s="2"/>
      <c r="BC104" s="5"/>
    </row>
    <row r="105" spans="1:55" x14ac:dyDescent="0.2">
      <c r="A105" s="13">
        <v>44252.52449074074</v>
      </c>
      <c r="B105">
        <v>27914</v>
      </c>
      <c r="C105">
        <v>107</v>
      </c>
      <c r="D105" t="s">
        <v>187</v>
      </c>
      <c r="F105">
        <v>5.5949999999999998</v>
      </c>
      <c r="G105">
        <v>4</v>
      </c>
      <c r="H105">
        <v>231.4</v>
      </c>
      <c r="I105">
        <v>0</v>
      </c>
      <c r="J105">
        <v>28.9</v>
      </c>
      <c r="K105">
        <v>23.7</v>
      </c>
      <c r="L105">
        <v>1078</v>
      </c>
      <c r="M105">
        <v>803</v>
      </c>
      <c r="N105">
        <v>123</v>
      </c>
      <c r="O105">
        <v>23.581</v>
      </c>
      <c r="P105">
        <v>23.407</v>
      </c>
      <c r="Q105">
        <v>0.17399999999999999</v>
      </c>
      <c r="R105">
        <v>8.9999999999999993E-3</v>
      </c>
      <c r="T105">
        <v>0.36861899999999997</v>
      </c>
      <c r="U105">
        <v>5.8789999999999996</v>
      </c>
      <c r="V105" s="6" t="str">
        <f t="shared" si="14"/>
        <v/>
      </c>
      <c r="W105" s="5">
        <f t="shared" si="15"/>
        <v>5.8775937549610298</v>
      </c>
      <c r="X105" s="11">
        <f t="shared" si="16"/>
        <v>5.292804678626112</v>
      </c>
      <c r="Y105" s="11">
        <f t="shared" si="17"/>
        <v>5.2922878913761906</v>
      </c>
      <c r="AO105" s="2"/>
      <c r="AP105" s="2"/>
      <c r="AQ105" s="2"/>
      <c r="AR105" s="2"/>
      <c r="AS105" s="2"/>
      <c r="BC105" s="5"/>
    </row>
    <row r="106" spans="1:55" x14ac:dyDescent="0.2">
      <c r="A106" s="13">
        <v>44252.531817129631</v>
      </c>
      <c r="B106">
        <v>27915</v>
      </c>
      <c r="C106">
        <v>108</v>
      </c>
      <c r="D106" t="s">
        <v>188</v>
      </c>
      <c r="F106">
        <v>5.8550000000000004</v>
      </c>
      <c r="G106">
        <v>4</v>
      </c>
      <c r="H106">
        <v>231.4</v>
      </c>
      <c r="I106">
        <v>0</v>
      </c>
      <c r="J106">
        <v>28.1</v>
      </c>
      <c r="K106">
        <v>23</v>
      </c>
      <c r="L106">
        <v>1254</v>
      </c>
      <c r="M106">
        <v>933</v>
      </c>
      <c r="N106">
        <v>148</v>
      </c>
      <c r="O106">
        <v>27.231999999999999</v>
      </c>
      <c r="P106">
        <v>27.030999999999999</v>
      </c>
      <c r="Q106">
        <v>0.20100000000000001</v>
      </c>
      <c r="R106">
        <v>1.0999999999999999E-2</v>
      </c>
      <c r="T106">
        <v>0.36829400000000001</v>
      </c>
      <c r="U106">
        <v>4.9889999999999999</v>
      </c>
      <c r="V106" s="6" t="str">
        <f t="shared" si="14"/>
        <v/>
      </c>
      <c r="W106" s="5">
        <f t="shared" si="15"/>
        <v>4.9875806124840301</v>
      </c>
      <c r="X106" s="11">
        <f t="shared" si="16"/>
        <v>4.4068074488559432</v>
      </c>
      <c r="Y106" s="11">
        <f t="shared" si="17"/>
        <v>4.4062810059854201</v>
      </c>
      <c r="AO106" s="2"/>
      <c r="AP106" s="2"/>
      <c r="AQ106" s="2"/>
      <c r="AR106" s="2"/>
      <c r="AS106" s="2"/>
      <c r="BC106" s="5"/>
    </row>
    <row r="107" spans="1:55" x14ac:dyDescent="0.2">
      <c r="A107" s="13">
        <v>44252.539143518516</v>
      </c>
      <c r="B107">
        <v>27916</v>
      </c>
      <c r="C107">
        <v>109</v>
      </c>
      <c r="D107" t="s">
        <v>189</v>
      </c>
      <c r="F107">
        <v>5.77</v>
      </c>
      <c r="G107">
        <v>4</v>
      </c>
      <c r="H107">
        <v>231.2</v>
      </c>
      <c r="I107">
        <v>0</v>
      </c>
      <c r="J107">
        <v>28.8</v>
      </c>
      <c r="K107">
        <v>23.6</v>
      </c>
      <c r="L107">
        <v>940</v>
      </c>
      <c r="M107">
        <v>698</v>
      </c>
      <c r="N107">
        <v>106</v>
      </c>
      <c r="O107">
        <v>20.547000000000001</v>
      </c>
      <c r="P107">
        <v>20.396000000000001</v>
      </c>
      <c r="Q107">
        <v>0.151</v>
      </c>
      <c r="R107">
        <v>7.0000000000000001E-3</v>
      </c>
      <c r="T107">
        <v>0.36771999999999999</v>
      </c>
      <c r="U107">
        <v>3.4169999999999998</v>
      </c>
      <c r="V107" s="6" t="str">
        <f t="shared" si="14"/>
        <v/>
      </c>
      <c r="W107" s="5">
        <f t="shared" si="15"/>
        <v>3.4155674700070304</v>
      </c>
      <c r="X107" s="11">
        <f t="shared" si="16"/>
        <v>2.8418624935827665</v>
      </c>
      <c r="Y107" s="11">
        <f t="shared" si="17"/>
        <v>2.8413290033107614</v>
      </c>
      <c r="AO107" s="2"/>
      <c r="AP107" s="2"/>
      <c r="AQ107" s="2"/>
      <c r="AR107" s="2"/>
      <c r="AS107" s="2"/>
      <c r="BC107" s="5"/>
    </row>
    <row r="108" spans="1:55" x14ac:dyDescent="0.2">
      <c r="A108" s="13">
        <v>44252.546481481484</v>
      </c>
      <c r="B108">
        <v>27917</v>
      </c>
      <c r="C108">
        <v>110</v>
      </c>
      <c r="D108" t="s">
        <v>190</v>
      </c>
      <c r="F108">
        <v>5.9550000000000001</v>
      </c>
      <c r="G108">
        <v>4</v>
      </c>
      <c r="H108">
        <v>231.4</v>
      </c>
      <c r="I108">
        <v>0</v>
      </c>
      <c r="J108">
        <v>28.1</v>
      </c>
      <c r="K108">
        <v>23</v>
      </c>
      <c r="L108">
        <v>1947</v>
      </c>
      <c r="M108">
        <v>1447</v>
      </c>
      <c r="N108">
        <v>235</v>
      </c>
      <c r="O108">
        <v>41.338999999999999</v>
      </c>
      <c r="P108">
        <v>41.034999999999997</v>
      </c>
      <c r="Q108">
        <v>0.30499999999999999</v>
      </c>
      <c r="R108">
        <v>1.7999999999999999E-2</v>
      </c>
      <c r="T108">
        <v>0.36791699999999999</v>
      </c>
      <c r="U108">
        <v>3.9569999999999999</v>
      </c>
      <c r="V108" s="6" t="str">
        <f t="shared" si="14"/>
        <v/>
      </c>
      <c r="W108" s="5">
        <f t="shared" si="15"/>
        <v>3.9555543275300304</v>
      </c>
      <c r="X108" s="11">
        <f t="shared" si="16"/>
        <v>3.3794411672308797</v>
      </c>
      <c r="Y108" s="11">
        <f t="shared" si="17"/>
        <v>3.3788925226758693</v>
      </c>
      <c r="AO108" s="2"/>
      <c r="AP108" s="2"/>
      <c r="AQ108" s="2"/>
      <c r="AR108" s="2"/>
      <c r="AS108" s="2"/>
      <c r="BC108" s="5"/>
    </row>
    <row r="109" spans="1:55" x14ac:dyDescent="0.2">
      <c r="A109" s="13">
        <v>44252.553819444445</v>
      </c>
      <c r="B109">
        <v>27918</v>
      </c>
      <c r="C109">
        <v>111</v>
      </c>
      <c r="D109" t="s">
        <v>191</v>
      </c>
      <c r="F109">
        <v>5.6680000000000001</v>
      </c>
      <c r="G109">
        <v>4</v>
      </c>
      <c r="H109">
        <v>231.6</v>
      </c>
      <c r="I109">
        <v>0</v>
      </c>
      <c r="J109">
        <v>28.9</v>
      </c>
      <c r="K109">
        <v>23.6</v>
      </c>
      <c r="L109">
        <v>2319</v>
      </c>
      <c r="M109">
        <v>1723</v>
      </c>
      <c r="N109">
        <v>279</v>
      </c>
      <c r="O109">
        <v>48.424999999999997</v>
      </c>
      <c r="P109">
        <v>48.069000000000003</v>
      </c>
      <c r="Q109">
        <v>0.35699999999999998</v>
      </c>
      <c r="R109">
        <v>2.1000000000000001E-2</v>
      </c>
      <c r="T109">
        <v>0.36790800000000001</v>
      </c>
      <c r="U109">
        <v>3.9340000000000002</v>
      </c>
      <c r="V109" s="6" t="str">
        <f t="shared" si="14"/>
        <v/>
      </c>
      <c r="W109" s="5">
        <f t="shared" si="15"/>
        <v>3.9325411850530312</v>
      </c>
      <c r="X109" s="11">
        <f t="shared" si="16"/>
        <v>3.3565443439360934</v>
      </c>
      <c r="Y109" s="11">
        <f t="shared" si="17"/>
        <v>3.3559827041643757</v>
      </c>
      <c r="AO109" s="2"/>
      <c r="AP109" s="2"/>
      <c r="AQ109" s="2"/>
      <c r="AR109" s="2"/>
      <c r="AS109" s="2"/>
      <c r="BC109" s="5"/>
    </row>
    <row r="110" spans="1:55" x14ac:dyDescent="0.2">
      <c r="A110" s="13">
        <v>44252.561145833337</v>
      </c>
      <c r="B110">
        <v>27919</v>
      </c>
      <c r="C110">
        <v>112</v>
      </c>
      <c r="D110" t="s">
        <v>192</v>
      </c>
      <c r="F110">
        <v>5.6050000000000004</v>
      </c>
      <c r="G110">
        <v>4</v>
      </c>
      <c r="H110">
        <v>230.9</v>
      </c>
      <c r="I110">
        <v>0</v>
      </c>
      <c r="J110">
        <v>29.4</v>
      </c>
      <c r="K110">
        <v>24.1</v>
      </c>
      <c r="L110">
        <v>1088</v>
      </c>
      <c r="M110">
        <v>808</v>
      </c>
      <c r="N110">
        <v>125</v>
      </c>
      <c r="O110">
        <v>23.672999999999998</v>
      </c>
      <c r="P110">
        <v>23.498999999999999</v>
      </c>
      <c r="Q110">
        <v>0.17399999999999999</v>
      </c>
      <c r="R110">
        <v>8.9999999999999993E-3</v>
      </c>
      <c r="T110">
        <v>0.36748399999999998</v>
      </c>
      <c r="U110">
        <v>2.7719999999999998</v>
      </c>
      <c r="V110" s="6" t="str">
        <f t="shared" si="14"/>
        <v/>
      </c>
      <c r="W110" s="5">
        <f t="shared" si="15"/>
        <v>2.7705280425760312</v>
      </c>
      <c r="X110" s="11">
        <f t="shared" si="16"/>
        <v>2.1997516677191697</v>
      </c>
      <c r="Y110" s="11">
        <f t="shared" si="17"/>
        <v>2.199181396572385</v>
      </c>
      <c r="AO110" s="2"/>
      <c r="AP110" s="2"/>
      <c r="AQ110" s="2"/>
      <c r="AR110" s="2"/>
      <c r="AS110" s="2"/>
      <c r="BC110" s="5"/>
    </row>
    <row r="111" spans="1:55" x14ac:dyDescent="0.2">
      <c r="A111" s="13">
        <v>44252.568472222221</v>
      </c>
      <c r="B111">
        <v>27920</v>
      </c>
      <c r="C111">
        <v>113</v>
      </c>
      <c r="D111" t="s">
        <v>193</v>
      </c>
      <c r="F111">
        <v>5.827</v>
      </c>
      <c r="G111">
        <v>4</v>
      </c>
      <c r="H111">
        <v>231.2</v>
      </c>
      <c r="I111">
        <v>0</v>
      </c>
      <c r="J111">
        <v>28.9</v>
      </c>
      <c r="K111">
        <v>23.6</v>
      </c>
      <c r="L111">
        <v>1381</v>
      </c>
      <c r="M111">
        <v>1026</v>
      </c>
      <c r="N111">
        <v>162</v>
      </c>
      <c r="O111">
        <v>29.856999999999999</v>
      </c>
      <c r="P111">
        <v>29.638000000000002</v>
      </c>
      <c r="Q111">
        <v>0.22</v>
      </c>
      <c r="R111">
        <v>1.2E-2</v>
      </c>
      <c r="T111">
        <v>0.36766599999999999</v>
      </c>
      <c r="U111">
        <v>3.2709999999999999</v>
      </c>
      <c r="V111" s="6" t="str">
        <f t="shared" si="14"/>
        <v/>
      </c>
      <c r="W111" s="5">
        <f t="shared" si="15"/>
        <v>3.2695149000990313</v>
      </c>
      <c r="X111" s="11">
        <f t="shared" si="16"/>
        <v>2.6965167598689277</v>
      </c>
      <c r="Y111" s="11">
        <f t="shared" si="17"/>
        <v>2.6959314948586552</v>
      </c>
      <c r="AO111" s="2"/>
      <c r="AP111" s="2"/>
      <c r="AQ111" s="2"/>
      <c r="AR111" s="2"/>
      <c r="AS111" s="2"/>
      <c r="BC111" s="5"/>
    </row>
    <row r="112" spans="1:55" x14ac:dyDescent="0.2">
      <c r="A112" s="13">
        <v>44252.575810185182</v>
      </c>
      <c r="B112">
        <v>27921</v>
      </c>
      <c r="C112">
        <v>114</v>
      </c>
      <c r="D112" t="s">
        <v>194</v>
      </c>
      <c r="F112">
        <v>5.7709999999999999</v>
      </c>
      <c r="G112">
        <v>4</v>
      </c>
      <c r="H112">
        <v>231.6</v>
      </c>
      <c r="I112">
        <v>0</v>
      </c>
      <c r="J112">
        <v>29</v>
      </c>
      <c r="K112">
        <v>23.7</v>
      </c>
      <c r="L112">
        <v>1635</v>
      </c>
      <c r="M112">
        <v>1213</v>
      </c>
      <c r="N112">
        <v>194</v>
      </c>
      <c r="O112">
        <v>35.058</v>
      </c>
      <c r="P112">
        <v>34.799999999999997</v>
      </c>
      <c r="Q112">
        <v>0.25800000000000001</v>
      </c>
      <c r="R112">
        <v>1.4999999999999999E-2</v>
      </c>
      <c r="T112">
        <v>0.36741299999999999</v>
      </c>
      <c r="U112">
        <v>2.5760000000000001</v>
      </c>
      <c r="V112" s="6" t="str">
        <f t="shared" si="14"/>
        <v/>
      </c>
      <c r="W112" s="5">
        <f t="shared" si="15"/>
        <v>2.5745017576220319</v>
      </c>
      <c r="X112" s="11">
        <f t="shared" si="16"/>
        <v>2.0046289787225078</v>
      </c>
      <c r="Y112" s="11">
        <f t="shared" si="17"/>
        <v>2.0040332900658768</v>
      </c>
      <c r="AO112" s="2"/>
      <c r="AP112" s="2"/>
      <c r="AQ112" s="2"/>
      <c r="AR112" s="2"/>
      <c r="AS112" s="2"/>
      <c r="BC112" s="5"/>
    </row>
    <row r="113" spans="1:55" x14ac:dyDescent="0.2">
      <c r="A113" s="13">
        <v>44252.583136574074</v>
      </c>
      <c r="B113">
        <v>27922</v>
      </c>
      <c r="C113">
        <v>115</v>
      </c>
      <c r="D113" t="s">
        <v>12</v>
      </c>
      <c r="G113">
        <v>4</v>
      </c>
      <c r="H113">
        <v>232.2</v>
      </c>
      <c r="I113">
        <v>57</v>
      </c>
      <c r="J113">
        <v>12.4</v>
      </c>
      <c r="K113">
        <v>11.3</v>
      </c>
      <c r="L113">
        <v>3446</v>
      </c>
      <c r="M113">
        <v>2546</v>
      </c>
      <c r="N113">
        <v>421</v>
      </c>
      <c r="O113">
        <v>77.34</v>
      </c>
      <c r="P113">
        <v>76.774000000000001</v>
      </c>
      <c r="Q113">
        <v>0.56699999999999995</v>
      </c>
      <c r="R113">
        <v>3.5000000000000003E-2</v>
      </c>
      <c r="T113">
        <v>0.366012</v>
      </c>
      <c r="U113">
        <v>-1.26</v>
      </c>
      <c r="V113" s="6" t="str">
        <f t="shared" si="14"/>
        <v/>
      </c>
      <c r="W113" s="5">
        <f t="shared" si="15"/>
        <v>-1.2615113848549679</v>
      </c>
      <c r="X113" s="11">
        <f t="shared" si="16"/>
        <v>-1.8142608059164331</v>
      </c>
      <c r="Y113" s="11">
        <f t="shared" si="17"/>
        <v>-1.8148549788458013</v>
      </c>
      <c r="AO113" s="2"/>
      <c r="AP113" s="2"/>
      <c r="AQ113" s="2"/>
      <c r="AR113" s="2"/>
      <c r="AS113" s="2"/>
      <c r="BC113" s="5"/>
    </row>
    <row r="114" spans="1:55" x14ac:dyDescent="0.2">
      <c r="A114" s="13">
        <v>44252.590451388889</v>
      </c>
      <c r="B114">
        <v>27923</v>
      </c>
      <c r="C114">
        <v>116</v>
      </c>
      <c r="D114" t="s">
        <v>195</v>
      </c>
      <c r="F114">
        <v>5.8040000000000003</v>
      </c>
      <c r="G114">
        <v>4</v>
      </c>
      <c r="H114">
        <v>230.7</v>
      </c>
      <c r="I114">
        <v>0</v>
      </c>
      <c r="J114">
        <v>29.3</v>
      </c>
      <c r="K114">
        <v>23.9</v>
      </c>
      <c r="L114">
        <v>843</v>
      </c>
      <c r="M114">
        <v>626</v>
      </c>
      <c r="N114">
        <v>94</v>
      </c>
      <c r="O114">
        <v>18.466000000000001</v>
      </c>
      <c r="P114">
        <v>18.329999999999998</v>
      </c>
      <c r="Q114">
        <v>0.13600000000000001</v>
      </c>
      <c r="R114">
        <v>6.0000000000000001E-3</v>
      </c>
      <c r="T114">
        <v>0.36771199999999998</v>
      </c>
      <c r="U114">
        <v>3.3959999999999999</v>
      </c>
      <c r="V114" s="6" t="str">
        <f t="shared" si="14"/>
        <v/>
      </c>
      <c r="W114" s="5">
        <f t="shared" si="15"/>
        <v>3.3944754726680322</v>
      </c>
      <c r="X114" s="11">
        <f t="shared" si="16"/>
        <v>2.8209566105626891</v>
      </c>
      <c r="Y114" s="11">
        <f t="shared" si="17"/>
        <v>2.8203316160830809</v>
      </c>
      <c r="AO114" s="2"/>
      <c r="AP114" s="2"/>
      <c r="AQ114" s="2"/>
      <c r="AR114" s="2"/>
      <c r="AS114" s="2"/>
      <c r="BC114" s="5"/>
    </row>
    <row r="115" spans="1:55" x14ac:dyDescent="0.2">
      <c r="A115" s="13">
        <v>44252.59778935185</v>
      </c>
      <c r="B115">
        <v>27924</v>
      </c>
      <c r="C115">
        <v>117</v>
      </c>
      <c r="D115" t="s">
        <v>196</v>
      </c>
      <c r="F115">
        <v>5.6890000000000001</v>
      </c>
      <c r="G115">
        <v>4</v>
      </c>
      <c r="H115">
        <v>231.2</v>
      </c>
      <c r="I115">
        <v>0</v>
      </c>
      <c r="J115">
        <v>28</v>
      </c>
      <c r="K115">
        <v>22.9</v>
      </c>
      <c r="L115">
        <v>2491</v>
      </c>
      <c r="M115">
        <v>1851</v>
      </c>
      <c r="N115">
        <v>303</v>
      </c>
      <c r="O115">
        <v>52.250999999999998</v>
      </c>
      <c r="P115">
        <v>51.866</v>
      </c>
      <c r="Q115">
        <v>0.38500000000000001</v>
      </c>
      <c r="R115">
        <v>2.3E-2</v>
      </c>
      <c r="T115">
        <v>0.367952</v>
      </c>
      <c r="U115">
        <v>4.0529999999999999</v>
      </c>
      <c r="V115" s="6" t="str">
        <f t="shared" si="14"/>
        <v/>
      </c>
      <c r="W115" s="5">
        <f t="shared" si="15"/>
        <v>4.0514623301910326</v>
      </c>
      <c r="X115" s="11">
        <f t="shared" si="16"/>
        <v>3.4750104723094637</v>
      </c>
      <c r="Y115" s="11">
        <f t="shared" si="17"/>
        <v>3.4743698751193506</v>
      </c>
      <c r="AO115" s="2"/>
      <c r="AP115" s="2"/>
      <c r="AQ115" s="2"/>
      <c r="AR115" s="2"/>
      <c r="AS115" s="2"/>
      <c r="BC115" s="5"/>
    </row>
    <row r="116" spans="1:55" x14ac:dyDescent="0.2">
      <c r="A116" s="13">
        <v>44252.605127314811</v>
      </c>
      <c r="B116">
        <v>27925</v>
      </c>
      <c r="C116">
        <v>118</v>
      </c>
      <c r="D116" t="s">
        <v>197</v>
      </c>
      <c r="F116">
        <v>5.6379999999999999</v>
      </c>
      <c r="G116">
        <v>4</v>
      </c>
      <c r="H116">
        <v>230.7</v>
      </c>
      <c r="I116">
        <v>0</v>
      </c>
      <c r="J116">
        <v>29.1</v>
      </c>
      <c r="K116">
        <v>23.8</v>
      </c>
      <c r="L116">
        <v>750</v>
      </c>
      <c r="M116">
        <v>557</v>
      </c>
      <c r="N116">
        <v>81</v>
      </c>
      <c r="O116">
        <v>16.465</v>
      </c>
      <c r="P116">
        <v>16.343</v>
      </c>
      <c r="Q116">
        <v>0.121</v>
      </c>
      <c r="R116">
        <v>5.0000000000000001E-3</v>
      </c>
      <c r="T116">
        <v>0.36797000000000002</v>
      </c>
      <c r="U116">
        <v>4.1020000000000003</v>
      </c>
      <c r="V116" s="6" t="str">
        <f t="shared" si="14"/>
        <v/>
      </c>
      <c r="W116" s="5">
        <f t="shared" si="15"/>
        <v>4.100449187714033</v>
      </c>
      <c r="X116" s="11">
        <f t="shared" si="16"/>
        <v>3.5237906108751531</v>
      </c>
      <c r="Y116" s="11">
        <f t="shared" si="17"/>
        <v>3.5231367421847608</v>
      </c>
      <c r="AO116" s="2"/>
      <c r="AP116" s="2"/>
      <c r="AQ116" s="2"/>
      <c r="AR116" s="2"/>
      <c r="AS116" s="2"/>
      <c r="BC116" s="5"/>
    </row>
    <row r="117" spans="1:55" x14ac:dyDescent="0.2">
      <c r="A117" s="13">
        <v>44252.612453703703</v>
      </c>
      <c r="B117">
        <v>27926</v>
      </c>
      <c r="C117">
        <v>119</v>
      </c>
      <c r="D117" t="s">
        <v>198</v>
      </c>
      <c r="F117">
        <v>5.7649999999999997</v>
      </c>
      <c r="G117">
        <v>4</v>
      </c>
      <c r="H117">
        <v>231.4</v>
      </c>
      <c r="I117">
        <v>0</v>
      </c>
      <c r="J117">
        <v>27.9</v>
      </c>
      <c r="K117">
        <v>22.8</v>
      </c>
      <c r="L117">
        <v>980</v>
      </c>
      <c r="M117">
        <v>727</v>
      </c>
      <c r="N117">
        <v>112</v>
      </c>
      <c r="O117">
        <v>21.395</v>
      </c>
      <c r="P117">
        <v>21.238</v>
      </c>
      <c r="Q117">
        <v>0.157</v>
      </c>
      <c r="R117">
        <v>8.0000000000000002E-3</v>
      </c>
      <c r="T117">
        <v>0.367338</v>
      </c>
      <c r="U117">
        <v>2.371</v>
      </c>
      <c r="V117" s="6" t="str">
        <f t="shared" si="14"/>
        <v/>
      </c>
      <c r="W117" s="5">
        <f t="shared" si="15"/>
        <v>2.3694360452370331</v>
      </c>
      <c r="X117" s="11">
        <f t="shared" si="16"/>
        <v>1.8005462554463065</v>
      </c>
      <c r="Y117" s="11">
        <f t="shared" si="17"/>
        <v>1.799885932344182</v>
      </c>
      <c r="AO117" s="2"/>
      <c r="AP117" s="2"/>
      <c r="AQ117" s="2"/>
      <c r="AR117" s="2"/>
      <c r="AS117" s="2"/>
      <c r="BC117" s="5"/>
    </row>
    <row r="118" spans="1:55" x14ac:dyDescent="0.2">
      <c r="A118" s="13">
        <v>44252.619780092595</v>
      </c>
      <c r="B118">
        <v>27927</v>
      </c>
      <c r="C118">
        <v>120</v>
      </c>
      <c r="D118" t="s">
        <v>102</v>
      </c>
      <c r="G118">
        <v>4</v>
      </c>
      <c r="H118">
        <v>231.2</v>
      </c>
      <c r="I118">
        <v>0</v>
      </c>
      <c r="J118">
        <v>27.8</v>
      </c>
      <c r="K118">
        <v>22.8</v>
      </c>
      <c r="L118">
        <v>1073</v>
      </c>
      <c r="M118">
        <v>797</v>
      </c>
      <c r="N118">
        <v>125</v>
      </c>
      <c r="O118">
        <v>23.585000000000001</v>
      </c>
      <c r="P118">
        <v>23.411999999999999</v>
      </c>
      <c r="Q118">
        <v>0.17399999999999999</v>
      </c>
      <c r="R118">
        <v>8.9999999999999993E-3</v>
      </c>
      <c r="T118">
        <v>0.36765599999999998</v>
      </c>
      <c r="U118">
        <v>3.2410000000000001</v>
      </c>
      <c r="V118" s="6" t="str">
        <f t="shared" si="14"/>
        <v/>
      </c>
      <c r="W118" s="5">
        <f t="shared" si="15"/>
        <v>3.2394229027600336</v>
      </c>
      <c r="X118" s="11">
        <f t="shared" si="16"/>
        <v>2.6666511776597872</v>
      </c>
      <c r="Y118" s="11">
        <f t="shared" si="17"/>
        <v>2.6659744427666965</v>
      </c>
      <c r="AO118" s="2"/>
      <c r="AP118" s="2"/>
      <c r="AQ118" s="2"/>
      <c r="AR118" s="2"/>
      <c r="AS118" s="2"/>
      <c r="BC118" s="5"/>
    </row>
    <row r="119" spans="1:55" x14ac:dyDescent="0.2">
      <c r="A119" s="13">
        <v>44252.627106481479</v>
      </c>
      <c r="B119">
        <v>27928</v>
      </c>
      <c r="C119">
        <v>121</v>
      </c>
      <c r="D119" t="s">
        <v>11</v>
      </c>
      <c r="E119" t="s">
        <v>57</v>
      </c>
      <c r="G119">
        <v>4</v>
      </c>
      <c r="H119">
        <v>231.2</v>
      </c>
      <c r="I119">
        <v>50</v>
      </c>
      <c r="J119">
        <v>14</v>
      </c>
      <c r="K119">
        <v>12.5</v>
      </c>
      <c r="L119">
        <v>3073</v>
      </c>
      <c r="M119">
        <v>2275</v>
      </c>
      <c r="N119">
        <v>378</v>
      </c>
      <c r="O119">
        <v>70.09</v>
      </c>
      <c r="P119">
        <v>69.575000000000003</v>
      </c>
      <c r="Q119">
        <v>0.51500000000000001</v>
      </c>
      <c r="R119">
        <v>3.2000000000000001E-2</v>
      </c>
      <c r="T119">
        <v>0.36657400000000001</v>
      </c>
      <c r="U119">
        <v>0.28000000000000003</v>
      </c>
      <c r="V119" s="6" t="str">
        <f t="shared" si="14"/>
        <v/>
      </c>
      <c r="W119" s="5">
        <f t="shared" si="15"/>
        <v>0.27840976028303382</v>
      </c>
      <c r="X119" s="11">
        <f t="shared" si="16"/>
        <v>-0.28111615053569494</v>
      </c>
      <c r="Y119" s="11">
        <f t="shared" si="17"/>
        <v>-0.28179467103063871</v>
      </c>
      <c r="AO119" s="2"/>
      <c r="AP119" s="2"/>
      <c r="AQ119" s="2"/>
      <c r="AR119" s="2"/>
      <c r="AS119" s="2"/>
      <c r="BC119" s="5"/>
    </row>
    <row r="120" spans="1:55" x14ac:dyDescent="0.2">
      <c r="A120" s="13">
        <v>44252.641770833332</v>
      </c>
      <c r="B120">
        <v>27930</v>
      </c>
      <c r="C120">
        <v>123</v>
      </c>
      <c r="D120" t="s">
        <v>14</v>
      </c>
      <c r="G120">
        <v>4</v>
      </c>
      <c r="H120">
        <v>230.7</v>
      </c>
      <c r="I120">
        <v>0</v>
      </c>
      <c r="J120">
        <v>27.1</v>
      </c>
      <c r="K120">
        <v>22.2</v>
      </c>
      <c r="L120">
        <v>2197</v>
      </c>
      <c r="M120">
        <v>1642</v>
      </c>
      <c r="N120">
        <v>269</v>
      </c>
      <c r="O120">
        <v>49.122999999999998</v>
      </c>
      <c r="P120">
        <v>48.759</v>
      </c>
      <c r="Q120">
        <v>0.36399999999999999</v>
      </c>
      <c r="R120">
        <v>2.1999999999999999E-2</v>
      </c>
      <c r="T120">
        <v>0.36997799999999997</v>
      </c>
      <c r="U120">
        <v>9.6020000000000003</v>
      </c>
      <c r="V120" s="6" t="str">
        <f t="shared" si="14"/>
        <v/>
      </c>
      <c r="W120" s="5">
        <f t="shared" si="15"/>
        <v>9.6003834753290338</v>
      </c>
      <c r="X120" s="11">
        <f t="shared" si="16"/>
        <v>8.9989938708034742</v>
      </c>
      <c r="Y120" s="11">
        <f t="shared" si="17"/>
        <v>8.9982533381527219</v>
      </c>
      <c r="AO120" s="2"/>
      <c r="AP120" s="2"/>
      <c r="AQ120" s="2"/>
      <c r="AR120" s="2"/>
      <c r="AS120" s="2"/>
      <c r="BC120" s="5"/>
    </row>
    <row r="121" spans="1:55" x14ac:dyDescent="0.2">
      <c r="A121" s="13">
        <v>44252.649097222224</v>
      </c>
      <c r="B121">
        <v>27931</v>
      </c>
      <c r="C121">
        <v>124</v>
      </c>
      <c r="D121" t="s">
        <v>12</v>
      </c>
      <c r="G121">
        <v>4</v>
      </c>
      <c r="H121">
        <v>231.8</v>
      </c>
      <c r="I121">
        <v>57</v>
      </c>
      <c r="J121">
        <v>12</v>
      </c>
      <c r="K121">
        <v>10.9</v>
      </c>
      <c r="L121">
        <v>3164</v>
      </c>
      <c r="M121">
        <v>2339</v>
      </c>
      <c r="N121">
        <v>388</v>
      </c>
      <c r="O121">
        <v>71.271000000000001</v>
      </c>
      <c r="P121">
        <v>70.748000000000005</v>
      </c>
      <c r="Q121">
        <v>0.52300000000000002</v>
      </c>
      <c r="R121">
        <v>3.3000000000000002E-2</v>
      </c>
      <c r="T121">
        <v>0.36602600000000002</v>
      </c>
      <c r="U121">
        <v>-1.2210000000000001</v>
      </c>
      <c r="V121" s="6" t="str">
        <f t="shared" si="14"/>
        <v/>
      </c>
      <c r="W121" s="5">
        <f t="shared" si="15"/>
        <v>-1.2226296671479655</v>
      </c>
      <c r="X121" s="11">
        <f t="shared" si="16"/>
        <v>-1.7754341881440041</v>
      </c>
      <c r="Y121" s="11">
        <f t="shared" si="17"/>
        <v>-1.776146264788963</v>
      </c>
      <c r="AO121" s="2"/>
      <c r="AP121" s="2"/>
      <c r="AQ121" s="2"/>
      <c r="AR121" s="2"/>
      <c r="AS121" s="2"/>
      <c r="BC121" s="5"/>
    </row>
    <row r="122" spans="1:55" x14ac:dyDescent="0.2">
      <c r="A122" s="13">
        <v>44252.656423611108</v>
      </c>
      <c r="B122">
        <v>27932</v>
      </c>
      <c r="C122">
        <v>125</v>
      </c>
      <c r="D122" t="s">
        <v>12</v>
      </c>
      <c r="G122">
        <v>4</v>
      </c>
      <c r="H122">
        <v>232.2</v>
      </c>
      <c r="I122">
        <v>57</v>
      </c>
      <c r="J122">
        <v>12.4</v>
      </c>
      <c r="K122">
        <v>11.2</v>
      </c>
      <c r="L122">
        <v>3286</v>
      </c>
      <c r="M122">
        <v>2429</v>
      </c>
      <c r="N122">
        <v>403</v>
      </c>
      <c r="O122">
        <v>73.921000000000006</v>
      </c>
      <c r="P122">
        <v>73.379000000000005</v>
      </c>
      <c r="Q122">
        <v>0.54200000000000004</v>
      </c>
      <c r="R122">
        <v>3.4000000000000002E-2</v>
      </c>
      <c r="T122">
        <v>0.36600500000000002</v>
      </c>
      <c r="U122">
        <v>-1.2789999999999999</v>
      </c>
      <c r="V122" s="6" t="str">
        <f t="shared" si="14"/>
        <v/>
      </c>
      <c r="W122" s="5">
        <f t="shared" si="15"/>
        <v>-1.2806428096249649</v>
      </c>
      <c r="X122" s="11">
        <f t="shared" si="16"/>
        <v>-1.8331763419279241</v>
      </c>
      <c r="Y122" s="11">
        <f t="shared" si="17"/>
        <v>-1.833901282925126</v>
      </c>
      <c r="AO122" s="2"/>
      <c r="AP122" s="2"/>
      <c r="AQ122" s="2"/>
      <c r="AR122" s="2"/>
      <c r="AS122" s="2"/>
      <c r="BC122" s="5"/>
    </row>
    <row r="123" spans="1:55" x14ac:dyDescent="0.2">
      <c r="A123" s="13"/>
      <c r="V123" s="6" t="str">
        <f t="shared" si="14"/>
        <v/>
      </c>
      <c r="W123" s="5" t="str">
        <f t="shared" si="15"/>
        <v/>
      </c>
      <c r="X123" s="11" t="str">
        <f t="shared" si="16"/>
        <v/>
      </c>
      <c r="Y123" s="11" t="str">
        <f t="shared" si="17"/>
        <v/>
      </c>
      <c r="AO123" s="2"/>
      <c r="AP123" s="2"/>
      <c r="AQ123" s="2"/>
      <c r="AR123" s="2"/>
      <c r="AS123" s="2"/>
      <c r="BC123" s="5"/>
    </row>
    <row r="124" spans="1:55" x14ac:dyDescent="0.2">
      <c r="A124" s="13"/>
      <c r="V124" s="6" t="str">
        <f t="shared" si="14"/>
        <v/>
      </c>
      <c r="W124" s="5" t="str">
        <f t="shared" si="15"/>
        <v/>
      </c>
      <c r="X124" s="11" t="str">
        <f t="shared" si="16"/>
        <v/>
      </c>
      <c r="Y124" s="11" t="str">
        <f t="shared" si="17"/>
        <v/>
      </c>
      <c r="AO124" s="2"/>
      <c r="AP124" s="2"/>
      <c r="AQ124" s="2"/>
      <c r="AR124" s="2"/>
      <c r="AS124" s="2"/>
      <c r="BC124" s="5"/>
    </row>
    <row r="125" spans="1:55" x14ac:dyDescent="0.2">
      <c r="A125" s="13"/>
      <c r="V125" s="6" t="str">
        <f t="shared" si="14"/>
        <v/>
      </c>
      <c r="W125" s="5" t="str">
        <f t="shared" si="15"/>
        <v/>
      </c>
      <c r="X125" s="11" t="str">
        <f t="shared" si="16"/>
        <v/>
      </c>
      <c r="Y125" s="11" t="str">
        <f t="shared" si="17"/>
        <v/>
      </c>
      <c r="AO125" s="2"/>
      <c r="AP125" s="2"/>
      <c r="AQ125" s="2"/>
      <c r="AR125" s="2"/>
      <c r="AS125" s="2"/>
      <c r="BC125" s="5"/>
    </row>
    <row r="126" spans="1:55" x14ac:dyDescent="0.2">
      <c r="A126" s="13"/>
      <c r="V126" s="6" t="str">
        <f t="shared" si="14"/>
        <v/>
      </c>
      <c r="W126" s="5" t="str">
        <f t="shared" si="15"/>
        <v/>
      </c>
      <c r="X126" s="11" t="str">
        <f t="shared" si="16"/>
        <v/>
      </c>
      <c r="Y126" s="11" t="str">
        <f t="shared" si="17"/>
        <v/>
      </c>
      <c r="AO126" s="2"/>
      <c r="AP126" s="2"/>
      <c r="AQ126" s="2"/>
      <c r="AR126" s="2"/>
      <c r="AS126" s="2"/>
      <c r="BC126" s="5"/>
    </row>
    <row r="127" spans="1:55" x14ac:dyDescent="0.2">
      <c r="A127" s="13"/>
      <c r="V127" s="6" t="str">
        <f t="shared" si="14"/>
        <v/>
      </c>
      <c r="W127" s="5" t="str">
        <f t="shared" si="15"/>
        <v/>
      </c>
      <c r="X127" s="11" t="str">
        <f t="shared" si="16"/>
        <v/>
      </c>
      <c r="Y127" s="11" t="str">
        <f t="shared" si="17"/>
        <v/>
      </c>
      <c r="AO127" s="2"/>
      <c r="AP127" s="2"/>
      <c r="AQ127" s="2"/>
      <c r="AR127" s="2"/>
      <c r="AS127" s="2"/>
      <c r="BC127" s="5"/>
    </row>
    <row r="128" spans="1:55" x14ac:dyDescent="0.2">
      <c r="A128" s="13"/>
      <c r="V128" s="6" t="str">
        <f t="shared" si="14"/>
        <v/>
      </c>
      <c r="W128" s="5" t="str">
        <f t="shared" si="15"/>
        <v/>
      </c>
      <c r="X128" s="11" t="str">
        <f t="shared" si="16"/>
        <v/>
      </c>
      <c r="Y128" s="11" t="str">
        <f t="shared" si="17"/>
        <v/>
      </c>
      <c r="AO128" s="2"/>
      <c r="AP128" s="2"/>
      <c r="AQ128" s="2"/>
      <c r="AR128" s="2"/>
      <c r="AS128" s="2"/>
      <c r="BC128" s="5"/>
    </row>
    <row r="129" spans="1:55" x14ac:dyDescent="0.2">
      <c r="A129" s="13"/>
      <c r="V129" s="6" t="str">
        <f t="shared" si="14"/>
        <v/>
      </c>
      <c r="W129" s="5" t="str">
        <f t="shared" si="15"/>
        <v/>
      </c>
      <c r="X129" s="11" t="str">
        <f t="shared" si="16"/>
        <v/>
      </c>
      <c r="Y129" s="11" t="str">
        <f t="shared" si="17"/>
        <v/>
      </c>
      <c r="AO129" s="2"/>
      <c r="AP129" s="2"/>
      <c r="AQ129" s="2"/>
      <c r="AR129" s="2"/>
      <c r="AS129" s="2"/>
      <c r="BC129" s="5"/>
    </row>
    <row r="130" spans="1:55" x14ac:dyDescent="0.2">
      <c r="A130" s="13"/>
      <c r="V130" s="6" t="str">
        <f t="shared" si="14"/>
        <v/>
      </c>
      <c r="W130" s="5" t="str">
        <f t="shared" si="15"/>
        <v/>
      </c>
      <c r="X130" s="11" t="str">
        <f t="shared" si="16"/>
        <v/>
      </c>
      <c r="Y130" s="11" t="str">
        <f t="shared" si="17"/>
        <v/>
      </c>
      <c r="AO130" s="2"/>
      <c r="AP130" s="2"/>
      <c r="AQ130" s="2"/>
      <c r="AR130" s="2"/>
      <c r="AS130" s="2"/>
      <c r="BC130" s="5"/>
    </row>
    <row r="131" spans="1:55" x14ac:dyDescent="0.2">
      <c r="A131" s="13"/>
      <c r="W131" s="5" t="str">
        <f t="shared" ref="W131:W147" si="18">IF(NOT(ISBLANK(U131)),U131-C131*$AA$3,"")</f>
        <v/>
      </c>
      <c r="X131" s="11" t="str">
        <f t="shared" ref="X131:X147" si="19">IF(ISNUMBER(U131),(U131+1000)/((U131*$AT$1+$AU$1)/1000+1)-1000,"")</f>
        <v/>
      </c>
      <c r="Y131" s="11" t="str">
        <f>IF(ISNUMBER(W131),(W131+1000)/((W131*$AT$2+$AU$2)/1000+1)-1000,"")</f>
        <v/>
      </c>
    </row>
    <row r="132" spans="1:55" x14ac:dyDescent="0.2">
      <c r="A132" s="13"/>
      <c r="W132" s="5" t="str">
        <f t="shared" si="18"/>
        <v/>
      </c>
      <c r="X132" s="11" t="str">
        <f t="shared" si="19"/>
        <v/>
      </c>
      <c r="Y132" s="11" t="str">
        <f t="shared" ref="Y132:Y147" si="20">IF(ISNUMBER(W132),(W132+1000)/((W132*$AT$2+$AU$2)/1000+1)-1000,"")</f>
        <v/>
      </c>
    </row>
    <row r="133" spans="1:55" x14ac:dyDescent="0.2">
      <c r="A133" s="13"/>
      <c r="W133" s="5" t="str">
        <f t="shared" si="18"/>
        <v/>
      </c>
      <c r="X133" s="11" t="str">
        <f t="shared" si="19"/>
        <v/>
      </c>
      <c r="Y133" s="11" t="str">
        <f t="shared" si="20"/>
        <v/>
      </c>
    </row>
    <row r="134" spans="1:55" x14ac:dyDescent="0.2">
      <c r="A134" s="13"/>
      <c r="W134" s="5" t="str">
        <f t="shared" si="18"/>
        <v/>
      </c>
      <c r="X134" s="11" t="str">
        <f t="shared" si="19"/>
        <v/>
      </c>
      <c r="Y134" s="11" t="str">
        <f t="shared" si="20"/>
        <v/>
      </c>
    </row>
    <row r="135" spans="1:55" x14ac:dyDescent="0.2">
      <c r="A135" s="13"/>
      <c r="W135" s="5" t="str">
        <f t="shared" si="18"/>
        <v/>
      </c>
      <c r="X135" s="11" t="str">
        <f t="shared" si="19"/>
        <v/>
      </c>
      <c r="Y135" s="11" t="str">
        <f t="shared" si="20"/>
        <v/>
      </c>
    </row>
    <row r="136" spans="1:55" x14ac:dyDescent="0.2">
      <c r="A136" s="13"/>
      <c r="W136" s="5" t="str">
        <f t="shared" si="18"/>
        <v/>
      </c>
      <c r="X136" s="11" t="str">
        <f t="shared" si="19"/>
        <v/>
      </c>
      <c r="Y136" s="11" t="str">
        <f t="shared" si="20"/>
        <v/>
      </c>
    </row>
    <row r="137" spans="1:55" x14ac:dyDescent="0.2">
      <c r="A137" s="13"/>
      <c r="W137" s="5" t="str">
        <f t="shared" si="18"/>
        <v/>
      </c>
      <c r="X137" s="11" t="str">
        <f t="shared" si="19"/>
        <v/>
      </c>
      <c r="Y137" s="11" t="str">
        <f t="shared" si="20"/>
        <v/>
      </c>
    </row>
    <row r="138" spans="1:55" x14ac:dyDescent="0.2">
      <c r="A138" s="13"/>
      <c r="W138" s="5" t="str">
        <f t="shared" si="18"/>
        <v/>
      </c>
      <c r="X138" s="11" t="str">
        <f t="shared" si="19"/>
        <v/>
      </c>
      <c r="Y138" s="11" t="str">
        <f t="shared" si="20"/>
        <v/>
      </c>
    </row>
    <row r="139" spans="1:55" x14ac:dyDescent="0.2">
      <c r="A139" s="13"/>
      <c r="W139" s="5" t="str">
        <f t="shared" si="18"/>
        <v/>
      </c>
      <c r="X139" s="11" t="str">
        <f t="shared" si="19"/>
        <v/>
      </c>
      <c r="Y139" s="11" t="str">
        <f t="shared" si="20"/>
        <v/>
      </c>
    </row>
    <row r="140" spans="1:55" x14ac:dyDescent="0.2">
      <c r="A140" s="13"/>
      <c r="W140" s="5" t="str">
        <f t="shared" si="18"/>
        <v/>
      </c>
      <c r="X140" s="11" t="str">
        <f t="shared" si="19"/>
        <v/>
      </c>
      <c r="Y140" s="11" t="str">
        <f t="shared" si="20"/>
        <v/>
      </c>
    </row>
    <row r="141" spans="1:55" x14ac:dyDescent="0.2">
      <c r="A141" s="13"/>
      <c r="W141" s="5" t="str">
        <f t="shared" si="18"/>
        <v/>
      </c>
      <c r="X141" s="11" t="str">
        <f t="shared" si="19"/>
        <v/>
      </c>
      <c r="Y141" s="11" t="str">
        <f t="shared" si="20"/>
        <v/>
      </c>
    </row>
    <row r="142" spans="1:55" x14ac:dyDescent="0.2">
      <c r="A142" s="13"/>
      <c r="W142" s="5" t="str">
        <f t="shared" si="18"/>
        <v/>
      </c>
      <c r="X142" s="11" t="str">
        <f t="shared" si="19"/>
        <v/>
      </c>
      <c r="Y142" s="11" t="str">
        <f t="shared" si="20"/>
        <v/>
      </c>
    </row>
    <row r="143" spans="1:55" x14ac:dyDescent="0.2">
      <c r="A143" s="13"/>
      <c r="W143" s="5" t="str">
        <f t="shared" si="18"/>
        <v/>
      </c>
      <c r="X143" s="11" t="str">
        <f t="shared" si="19"/>
        <v/>
      </c>
      <c r="Y143" s="11" t="str">
        <f t="shared" si="20"/>
        <v/>
      </c>
    </row>
    <row r="144" spans="1:55" x14ac:dyDescent="0.2">
      <c r="A144" s="13"/>
      <c r="W144" s="5" t="str">
        <f t="shared" si="18"/>
        <v/>
      </c>
      <c r="X144" s="11" t="str">
        <f t="shared" si="19"/>
        <v/>
      </c>
      <c r="Y144" s="11" t="str">
        <f t="shared" si="20"/>
        <v/>
      </c>
    </row>
    <row r="145" spans="1:25" x14ac:dyDescent="0.2">
      <c r="A145" s="13"/>
      <c r="W145" s="5" t="str">
        <f t="shared" si="18"/>
        <v/>
      </c>
      <c r="X145" s="11" t="str">
        <f t="shared" si="19"/>
        <v/>
      </c>
      <c r="Y145" s="11" t="str">
        <f t="shared" si="20"/>
        <v/>
      </c>
    </row>
    <row r="146" spans="1:25" x14ac:dyDescent="0.2">
      <c r="A146" s="13"/>
      <c r="W146" s="5" t="str">
        <f t="shared" si="18"/>
        <v/>
      </c>
      <c r="X146" s="11" t="str">
        <f t="shared" si="19"/>
        <v/>
      </c>
      <c r="Y146" s="11" t="str">
        <f t="shared" si="20"/>
        <v/>
      </c>
    </row>
    <row r="147" spans="1:25" x14ac:dyDescent="0.2">
      <c r="A147" s="13"/>
      <c r="W147" s="5" t="str">
        <f t="shared" si="18"/>
        <v/>
      </c>
      <c r="X147" s="11" t="str">
        <f t="shared" si="19"/>
        <v/>
      </c>
      <c r="Y147" s="11" t="str">
        <f t="shared" si="20"/>
        <v/>
      </c>
    </row>
    <row r="148" spans="1:25" x14ac:dyDescent="0.2">
      <c r="A148" s="13"/>
    </row>
    <row r="149" spans="1:25" x14ac:dyDescent="0.2">
      <c r="A149" s="13"/>
    </row>
    <row r="150" spans="1:25" x14ac:dyDescent="0.2">
      <c r="A150" s="13"/>
    </row>
    <row r="151" spans="1:25" x14ac:dyDescent="0.2">
      <c r="A151" s="13"/>
    </row>
    <row r="152" spans="1:25" x14ac:dyDescent="0.2">
      <c r="A152" s="13"/>
    </row>
    <row r="153" spans="1:25" x14ac:dyDescent="0.2">
      <c r="A153" s="13"/>
    </row>
    <row r="154" spans="1:25" x14ac:dyDescent="0.2">
      <c r="A154" s="13"/>
    </row>
    <row r="155" spans="1:25" x14ac:dyDescent="0.2">
      <c r="A155" s="13"/>
    </row>
    <row r="156" spans="1:25" x14ac:dyDescent="0.2">
      <c r="A156" s="13"/>
    </row>
    <row r="157" spans="1:25" x14ac:dyDescent="0.2">
      <c r="A157" s="13"/>
    </row>
    <row r="158" spans="1:25" x14ac:dyDescent="0.2">
      <c r="A158" s="13"/>
    </row>
    <row r="159" spans="1:25" x14ac:dyDescent="0.2">
      <c r="A159" s="13"/>
    </row>
    <row r="160" spans="1:25" x14ac:dyDescent="0.2">
      <c r="A160" s="13"/>
    </row>
    <row r="161" spans="1:1" x14ac:dyDescent="0.2">
      <c r="A161" s="13"/>
    </row>
    <row r="162" spans="1:1" x14ac:dyDescent="0.2">
      <c r="A162" s="13"/>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row r="169" spans="1:1" x14ac:dyDescent="0.2">
      <c r="A169" s="13"/>
    </row>
    <row r="170" spans="1:1" x14ac:dyDescent="0.2">
      <c r="A170" s="13"/>
    </row>
    <row r="171" spans="1:1" x14ac:dyDescent="0.2">
      <c r="A171" s="13"/>
    </row>
    <row r="172" spans="1:1" x14ac:dyDescent="0.2">
      <c r="A172" s="13"/>
    </row>
    <row r="173" spans="1:1" x14ac:dyDescent="0.2">
      <c r="A173" s="13"/>
    </row>
    <row r="174" spans="1:1" x14ac:dyDescent="0.2">
      <c r="A174" s="13"/>
    </row>
    <row r="175" spans="1:1" x14ac:dyDescent="0.2">
      <c r="A175" s="13"/>
    </row>
    <row r="176" spans="1:1" x14ac:dyDescent="0.2">
      <c r="A176" s="13"/>
    </row>
    <row r="177" spans="1:1" x14ac:dyDescent="0.2">
      <c r="A177" s="13"/>
    </row>
    <row r="178" spans="1:1" x14ac:dyDescent="0.2">
      <c r="A178" s="13"/>
    </row>
    <row r="179" spans="1:1" x14ac:dyDescent="0.2">
      <c r="A179" s="13"/>
    </row>
    <row r="180" spans="1:1" x14ac:dyDescent="0.2">
      <c r="A180" s="13"/>
    </row>
    <row r="181" spans="1:1" x14ac:dyDescent="0.2">
      <c r="A181" s="13"/>
    </row>
    <row r="182" spans="1:1" x14ac:dyDescent="0.2">
      <c r="A182" s="13"/>
    </row>
    <row r="183" spans="1:1" x14ac:dyDescent="0.2">
      <c r="A183" s="13"/>
    </row>
    <row r="184" spans="1:1" x14ac:dyDescent="0.2">
      <c r="A184" s="13"/>
    </row>
    <row r="185" spans="1:1" x14ac:dyDescent="0.2">
      <c r="A185" s="13"/>
    </row>
    <row r="186" spans="1:1" x14ac:dyDescent="0.2">
      <c r="A186" s="13"/>
    </row>
    <row r="187" spans="1:1" x14ac:dyDescent="0.2">
      <c r="A187" s="13"/>
    </row>
    <row r="188" spans="1:1" x14ac:dyDescent="0.2">
      <c r="A188" s="13"/>
    </row>
    <row r="189" spans="1:1" x14ac:dyDescent="0.2">
      <c r="A189" s="13"/>
    </row>
    <row r="190" spans="1:1" x14ac:dyDescent="0.2">
      <c r="A190" s="13"/>
    </row>
    <row r="191" spans="1:1" x14ac:dyDescent="0.2">
      <c r="A191" s="13"/>
    </row>
    <row r="192" spans="1:1" x14ac:dyDescent="0.2">
      <c r="A192" s="13"/>
    </row>
    <row r="193" spans="1:1" x14ac:dyDescent="0.2">
      <c r="A193" s="13"/>
    </row>
    <row r="194" spans="1:1" x14ac:dyDescent="0.2">
      <c r="A194" s="13"/>
    </row>
    <row r="195" spans="1:1" x14ac:dyDescent="0.2">
      <c r="A195" s="13"/>
    </row>
    <row r="196" spans="1:1" x14ac:dyDescent="0.2">
      <c r="A196" s="13"/>
    </row>
    <row r="197" spans="1:1" x14ac:dyDescent="0.2">
      <c r="A197" s="13"/>
    </row>
    <row r="198" spans="1:1" x14ac:dyDescent="0.2">
      <c r="A198" s="13"/>
    </row>
    <row r="199" spans="1:1" x14ac:dyDescent="0.2">
      <c r="A199" s="13"/>
    </row>
    <row r="200" spans="1:1" x14ac:dyDescent="0.2">
      <c r="A200" s="13"/>
    </row>
    <row r="201" spans="1:1" x14ac:dyDescent="0.2">
      <c r="A201" s="13"/>
    </row>
    <row r="202" spans="1:1" x14ac:dyDescent="0.2">
      <c r="A202" s="13"/>
    </row>
    <row r="203" spans="1:1" x14ac:dyDescent="0.2">
      <c r="A203" s="13"/>
    </row>
    <row r="204" spans="1:1" x14ac:dyDescent="0.2">
      <c r="A204" s="13"/>
    </row>
    <row r="205" spans="1:1" x14ac:dyDescent="0.2">
      <c r="A205" s="13"/>
    </row>
    <row r="206" spans="1:1" x14ac:dyDescent="0.2">
      <c r="A206" s="13"/>
    </row>
    <row r="207" spans="1:1" x14ac:dyDescent="0.2">
      <c r="A207" s="13"/>
    </row>
    <row r="208" spans="1:1" x14ac:dyDescent="0.2">
      <c r="A208" s="13"/>
    </row>
    <row r="209" spans="1:1" x14ac:dyDescent="0.2">
      <c r="A209" s="13"/>
    </row>
    <row r="210" spans="1:1" x14ac:dyDescent="0.2">
      <c r="A210" s="13"/>
    </row>
    <row r="211" spans="1:1" x14ac:dyDescent="0.2">
      <c r="A211" s="13"/>
    </row>
    <row r="212" spans="1:1" x14ac:dyDescent="0.2">
      <c r="A212" s="13"/>
    </row>
    <row r="213" spans="1:1" x14ac:dyDescent="0.2">
      <c r="A213" s="13"/>
    </row>
    <row r="214" spans="1:1" x14ac:dyDescent="0.2">
      <c r="A214" s="13"/>
    </row>
    <row r="215" spans="1:1" x14ac:dyDescent="0.2">
      <c r="A215" s="13"/>
    </row>
    <row r="216" spans="1:1" x14ac:dyDescent="0.2">
      <c r="A216" s="13"/>
    </row>
    <row r="217" spans="1:1" x14ac:dyDescent="0.2">
      <c r="A217" s="13"/>
    </row>
    <row r="218" spans="1:1" x14ac:dyDescent="0.2">
      <c r="A218" s="13"/>
    </row>
    <row r="219" spans="1:1" x14ac:dyDescent="0.2">
      <c r="A219" s="13"/>
    </row>
    <row r="220" spans="1:1" x14ac:dyDescent="0.2">
      <c r="A220" s="13"/>
    </row>
    <row r="221" spans="1:1" x14ac:dyDescent="0.2">
      <c r="A221" s="13"/>
    </row>
    <row r="222" spans="1:1" x14ac:dyDescent="0.2">
      <c r="A222" s="13"/>
    </row>
    <row r="223" spans="1:1" x14ac:dyDescent="0.2">
      <c r="A223" s="13"/>
    </row>
    <row r="224" spans="1:1" x14ac:dyDescent="0.2">
      <c r="A224" s="13"/>
    </row>
    <row r="225" spans="1:1" x14ac:dyDescent="0.2">
      <c r="A225" s="13"/>
    </row>
    <row r="226" spans="1:1" x14ac:dyDescent="0.2">
      <c r="A226" s="13"/>
    </row>
    <row r="227" spans="1:1" x14ac:dyDescent="0.2">
      <c r="A227" s="13"/>
    </row>
    <row r="228" spans="1:1" x14ac:dyDescent="0.2">
      <c r="A228" s="13"/>
    </row>
    <row r="229" spans="1:1" x14ac:dyDescent="0.2">
      <c r="A229" s="13"/>
    </row>
    <row r="230" spans="1:1" x14ac:dyDescent="0.2">
      <c r="A230" s="13"/>
    </row>
    <row r="231" spans="1:1" x14ac:dyDescent="0.2">
      <c r="A231" s="13"/>
    </row>
    <row r="232" spans="1:1" x14ac:dyDescent="0.2">
      <c r="A232" s="13"/>
    </row>
    <row r="233" spans="1:1" x14ac:dyDescent="0.2">
      <c r="A233" s="13"/>
    </row>
    <row r="234" spans="1:1" x14ac:dyDescent="0.2">
      <c r="A234" s="13"/>
    </row>
    <row r="235" spans="1:1" x14ac:dyDescent="0.2">
      <c r="A235" s="13"/>
    </row>
    <row r="236" spans="1:1" x14ac:dyDescent="0.2">
      <c r="A236" s="13"/>
    </row>
    <row r="237" spans="1:1" x14ac:dyDescent="0.2">
      <c r="A237" s="13"/>
    </row>
    <row r="238" spans="1:1" x14ac:dyDescent="0.2">
      <c r="A238" s="13"/>
    </row>
    <row r="239" spans="1:1" x14ac:dyDescent="0.2">
      <c r="A239" s="13"/>
    </row>
    <row r="240" spans="1:1" x14ac:dyDescent="0.2">
      <c r="A240" s="13"/>
    </row>
    <row r="241" spans="1:1" x14ac:dyDescent="0.2">
      <c r="A241" s="13"/>
    </row>
    <row r="242" spans="1:1" x14ac:dyDescent="0.2">
      <c r="A242" s="13"/>
    </row>
    <row r="243" spans="1:1" x14ac:dyDescent="0.2">
      <c r="A243" s="13"/>
    </row>
    <row r="244" spans="1:1" x14ac:dyDescent="0.2">
      <c r="A244" s="13"/>
    </row>
    <row r="245" spans="1:1" x14ac:dyDescent="0.2">
      <c r="A245" s="13"/>
    </row>
    <row r="246" spans="1:1" x14ac:dyDescent="0.2">
      <c r="A246" s="13"/>
    </row>
    <row r="247" spans="1:1" x14ac:dyDescent="0.2">
      <c r="A247" s="13"/>
    </row>
    <row r="248" spans="1:1" x14ac:dyDescent="0.2">
      <c r="A248" s="13"/>
    </row>
    <row r="249" spans="1:1" x14ac:dyDescent="0.2">
      <c r="A249" s="13"/>
    </row>
    <row r="250" spans="1:1" x14ac:dyDescent="0.2">
      <c r="A250" s="13"/>
    </row>
    <row r="251" spans="1:1" x14ac:dyDescent="0.2">
      <c r="A251" s="13"/>
    </row>
    <row r="252" spans="1:1" x14ac:dyDescent="0.2">
      <c r="A252" s="13"/>
    </row>
    <row r="253" spans="1:1" x14ac:dyDescent="0.2">
      <c r="A253" s="13"/>
    </row>
    <row r="254" spans="1:1" x14ac:dyDescent="0.2">
      <c r="A254" s="13"/>
    </row>
    <row r="255" spans="1:1" x14ac:dyDescent="0.2">
      <c r="A255" s="13"/>
    </row>
    <row r="256" spans="1:1" x14ac:dyDescent="0.2">
      <c r="A256" s="13"/>
    </row>
    <row r="257" spans="1:1" x14ac:dyDescent="0.2">
      <c r="A257" s="13"/>
    </row>
    <row r="258" spans="1:1" x14ac:dyDescent="0.2">
      <c r="A258" s="13"/>
    </row>
    <row r="259" spans="1:1" x14ac:dyDescent="0.2">
      <c r="A259" s="13"/>
    </row>
    <row r="260" spans="1:1" x14ac:dyDescent="0.2">
      <c r="A260" s="13"/>
    </row>
    <row r="261" spans="1:1" x14ac:dyDescent="0.2">
      <c r="A261" s="13"/>
    </row>
    <row r="262" spans="1:1" x14ac:dyDescent="0.2">
      <c r="A262" s="13"/>
    </row>
    <row r="263" spans="1:1" x14ac:dyDescent="0.2">
      <c r="A263" s="13"/>
    </row>
    <row r="264" spans="1:1" x14ac:dyDescent="0.2">
      <c r="A264" s="13"/>
    </row>
    <row r="265" spans="1:1" x14ac:dyDescent="0.2">
      <c r="A265" s="13"/>
    </row>
    <row r="266" spans="1:1" x14ac:dyDescent="0.2">
      <c r="A266" s="13"/>
    </row>
    <row r="267" spans="1:1" x14ac:dyDescent="0.2">
      <c r="A267" s="13"/>
    </row>
    <row r="268" spans="1:1" x14ac:dyDescent="0.2">
      <c r="A268" s="13"/>
    </row>
    <row r="269" spans="1:1" x14ac:dyDescent="0.2">
      <c r="A269" s="13"/>
    </row>
    <row r="270" spans="1:1" x14ac:dyDescent="0.2">
      <c r="A270" s="13"/>
    </row>
    <row r="271" spans="1:1" x14ac:dyDescent="0.2">
      <c r="A271" s="13"/>
    </row>
    <row r="272" spans="1:1" x14ac:dyDescent="0.2">
      <c r="A272" s="13"/>
    </row>
    <row r="273" spans="1:1" x14ac:dyDescent="0.2">
      <c r="A273" s="13"/>
    </row>
    <row r="274" spans="1:1" x14ac:dyDescent="0.2">
      <c r="A274" s="13"/>
    </row>
    <row r="275" spans="1:1" x14ac:dyDescent="0.2">
      <c r="A275" s="13"/>
    </row>
    <row r="276" spans="1:1" x14ac:dyDescent="0.2">
      <c r="A276" s="13"/>
    </row>
    <row r="277" spans="1:1" x14ac:dyDescent="0.2">
      <c r="A277" s="13"/>
    </row>
    <row r="278" spans="1:1" x14ac:dyDescent="0.2">
      <c r="A278" s="13"/>
    </row>
    <row r="279" spans="1:1" x14ac:dyDescent="0.2">
      <c r="A279" s="13"/>
    </row>
    <row r="280" spans="1:1" x14ac:dyDescent="0.2">
      <c r="A280" s="13"/>
    </row>
    <row r="281" spans="1:1" x14ac:dyDescent="0.2">
      <c r="A281" s="13"/>
    </row>
    <row r="282" spans="1:1" x14ac:dyDescent="0.2">
      <c r="A282" s="13"/>
    </row>
    <row r="283" spans="1:1" x14ac:dyDescent="0.2">
      <c r="A283" s="13"/>
    </row>
    <row r="284" spans="1:1" x14ac:dyDescent="0.2">
      <c r="A284" s="13"/>
    </row>
    <row r="285" spans="1:1" x14ac:dyDescent="0.2">
      <c r="A285" s="13"/>
    </row>
    <row r="286" spans="1:1" x14ac:dyDescent="0.2">
      <c r="A286" s="13"/>
    </row>
    <row r="287" spans="1:1" x14ac:dyDescent="0.2">
      <c r="A287" s="13"/>
    </row>
    <row r="288" spans="1:1" x14ac:dyDescent="0.2">
      <c r="A288" s="13"/>
    </row>
    <row r="289" spans="1:1" x14ac:dyDescent="0.2">
      <c r="A289" s="13"/>
    </row>
    <row r="290" spans="1:1" x14ac:dyDescent="0.2">
      <c r="A290" s="13"/>
    </row>
    <row r="291" spans="1:1" x14ac:dyDescent="0.2">
      <c r="A291" s="13"/>
    </row>
    <row r="292" spans="1:1" x14ac:dyDescent="0.2">
      <c r="A292" s="13"/>
    </row>
    <row r="293" spans="1:1" x14ac:dyDescent="0.2">
      <c r="A293" s="13"/>
    </row>
    <row r="294" spans="1:1" x14ac:dyDescent="0.2">
      <c r="A294" s="13"/>
    </row>
    <row r="295" spans="1:1" x14ac:dyDescent="0.2">
      <c r="A295" s="13"/>
    </row>
    <row r="296" spans="1:1" x14ac:dyDescent="0.2">
      <c r="A296" s="13"/>
    </row>
    <row r="297" spans="1:1" x14ac:dyDescent="0.2">
      <c r="A297" s="13"/>
    </row>
    <row r="298" spans="1:1" x14ac:dyDescent="0.2">
      <c r="A298" s="13"/>
    </row>
    <row r="299" spans="1:1" x14ac:dyDescent="0.2">
      <c r="A299" s="13"/>
    </row>
    <row r="300" spans="1:1" x14ac:dyDescent="0.2">
      <c r="A300" s="13"/>
    </row>
    <row r="301" spans="1:1" x14ac:dyDescent="0.2">
      <c r="A301" s="13"/>
    </row>
    <row r="302" spans="1:1" x14ac:dyDescent="0.2">
      <c r="A302" s="13"/>
    </row>
    <row r="303" spans="1:1" x14ac:dyDescent="0.2">
      <c r="A303" s="13"/>
    </row>
    <row r="304" spans="1:1" x14ac:dyDescent="0.2">
      <c r="A304" s="13"/>
    </row>
    <row r="305" spans="1:1" x14ac:dyDescent="0.2">
      <c r="A305" s="13"/>
    </row>
    <row r="306" spans="1:1" x14ac:dyDescent="0.2">
      <c r="A306" s="13"/>
    </row>
    <row r="307" spans="1:1" x14ac:dyDescent="0.2">
      <c r="A307" s="13"/>
    </row>
    <row r="308" spans="1:1" x14ac:dyDescent="0.2">
      <c r="A308" s="13"/>
    </row>
    <row r="309" spans="1:1" x14ac:dyDescent="0.2">
      <c r="A309" s="13"/>
    </row>
    <row r="310" spans="1:1" x14ac:dyDescent="0.2">
      <c r="A310" s="13"/>
    </row>
    <row r="311" spans="1:1" x14ac:dyDescent="0.2">
      <c r="A311" s="13"/>
    </row>
  </sheetData>
  <conditionalFormatting sqref="BV2:BV25">
    <cfRule type="cellIs" dxfId="3" priority="1" operator="equal">
      <formula>FALSE</formula>
    </cfRule>
  </conditionalFormatting>
  <dataValidations count="1">
    <dataValidation promptTitle="Reference" prompt="Select two" sqref="AX2" xr:uid="{00000000-0002-0000-0400-000000000000}"/>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autoFill="0" autoPict="0" macro="[0]!d15N_ref">
                <anchor moveWithCells="1" sizeWithCells="1">
                  <from>
                    <xdr:col>36</xdr:col>
                    <xdr:colOff>101600</xdr:colOff>
                    <xdr:row>3</xdr:row>
                    <xdr:rowOff>127000</xdr:rowOff>
                  </from>
                  <to>
                    <xdr:col>38</xdr:col>
                    <xdr:colOff>0</xdr:colOff>
                    <xdr:row>6</xdr:row>
                    <xdr:rowOff>12700</xdr:rowOff>
                  </to>
                </anchor>
              </controlPr>
            </control>
          </mc:Choice>
        </mc:AlternateContent>
        <mc:AlternateContent xmlns:mc="http://schemas.openxmlformats.org/markup-compatibility/2006">
          <mc:Choice Requires="x14">
            <control shapeId="4099" r:id="rId4" name="Button 3">
              <controlPr defaultSize="0" autoFill="0" autoPict="0" macro="[0]!d15N_drift">
                <anchor moveWithCells="1" sizeWithCells="1">
                  <from>
                    <xdr:col>26</xdr:col>
                    <xdr:colOff>12700</xdr:colOff>
                    <xdr:row>3</xdr:row>
                    <xdr:rowOff>12700</xdr:rowOff>
                  </from>
                  <to>
                    <xdr:col>27</xdr:col>
                    <xdr:colOff>114300</xdr:colOff>
                    <xdr:row>5</xdr:row>
                    <xdr:rowOff>139700</xdr:rowOff>
                  </to>
                </anchor>
              </controlPr>
            </control>
          </mc:Choice>
        </mc:AlternateContent>
        <mc:AlternateContent xmlns:mc="http://schemas.openxmlformats.org/markup-compatibility/2006">
          <mc:Choice Requires="x14">
            <control shapeId="4101" r:id="rId5" name="Button 5">
              <controlPr defaultSize="0" autoFill="0" autoPict="0" macro="[0]!N_qc">
                <anchor moveWithCells="1" sizeWithCells="1">
                  <from>
                    <xdr:col>47</xdr:col>
                    <xdr:colOff>838200</xdr:colOff>
                    <xdr:row>3</xdr:row>
                    <xdr:rowOff>0</xdr:rowOff>
                  </from>
                  <to>
                    <xdr:col>49</xdr:col>
                    <xdr:colOff>596900</xdr:colOff>
                    <xdr:row>5</xdr:row>
                    <xdr:rowOff>190500</xdr:rowOff>
                  </to>
                </anchor>
              </controlPr>
            </control>
          </mc:Choice>
        </mc:AlternateContent>
        <mc:AlternateContent xmlns:mc="http://schemas.openxmlformats.org/markup-compatibility/2006">
          <mc:Choice Requires="x14">
            <control shapeId="4103" r:id="rId6" name="Button 7">
              <controlPr defaultSize="0" print="0" autoFill="0" autoPict="0" macro="[0]!d15N_lincheck" altText="d15N_x000a_Linearity Check">
                <anchor moveWithCells="1" sizeWithCells="1">
                  <from>
                    <xdr:col>61</xdr:col>
                    <xdr:colOff>12700</xdr:colOff>
                    <xdr:row>6</xdr:row>
                    <xdr:rowOff>203200</xdr:rowOff>
                  </from>
                  <to>
                    <xdr:col>63</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promptTitle="Reference" prompt="Select two" xr:uid="{00000000-0002-0000-0400-000001000000}">
          <x14:formula1>
            <xm:f>References!$A$2:$A$6</xm:f>
          </x14:formula1>
          <xm:sqref>AA2 AW2 AK2:AK3 BJ2:BJ5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B147"/>
  <sheetViews>
    <sheetView topLeftCell="BJ1" zoomScale="60" zoomScaleNormal="60" workbookViewId="0">
      <pane ySplit="1" topLeftCell="A2" activePane="bottomLeft" state="frozen"/>
      <selection pane="bottomLeft" activeCell="BI13" sqref="BI13"/>
    </sheetView>
  </sheetViews>
  <sheetFormatPr baseColWidth="10" defaultColWidth="11" defaultRowHeight="16" x14ac:dyDescent="0.2"/>
  <cols>
    <col min="1" max="1" width="19.6640625" bestFit="1" customWidth="1"/>
    <col min="2" max="2" width="11.33203125" bestFit="1" customWidth="1"/>
    <col min="3" max="3" width="6.6640625" bestFit="1" customWidth="1"/>
    <col min="4" max="4" width="14.83203125" customWidth="1"/>
    <col min="5" max="5" width="14.1640625" bestFit="1" customWidth="1"/>
    <col min="6" max="6" width="10.5" bestFit="1" customWidth="1"/>
    <col min="7" max="7" width="11.6640625" bestFit="1" customWidth="1"/>
    <col min="8" max="8" width="7.6640625" bestFit="1" customWidth="1"/>
    <col min="9" max="9" width="19.83203125" bestFit="1" customWidth="1"/>
    <col min="10" max="12" width="10.5" bestFit="1" customWidth="1"/>
    <col min="13" max="15" width="11.6640625" bestFit="1" customWidth="1"/>
    <col min="16" max="19" width="10.6640625" bestFit="1" customWidth="1"/>
    <col min="20" max="20" width="8.1640625" bestFit="1" customWidth="1"/>
    <col min="21" max="21" width="17" bestFit="1" customWidth="1"/>
    <col min="22" max="22" width="13" bestFit="1" customWidth="1"/>
    <col min="23" max="23" width="9.5" bestFit="1" customWidth="1"/>
    <col min="24" max="24" width="24.83203125" bestFit="1" customWidth="1"/>
    <col min="25" max="25" width="38.5" bestFit="1" customWidth="1"/>
    <col min="26" max="26" width="18.6640625" bestFit="1" customWidth="1"/>
    <col min="28" max="28" width="12.6640625" bestFit="1" customWidth="1"/>
    <col min="29" max="29" width="4.6640625" bestFit="1" customWidth="1"/>
    <col min="30" max="30" width="7.6640625" bestFit="1" customWidth="1"/>
    <col min="31" max="31" width="10" bestFit="1" customWidth="1"/>
    <col min="32" max="32" width="9.5" bestFit="1" customWidth="1"/>
    <col min="33" max="33" width="13" bestFit="1" customWidth="1"/>
    <col min="34" max="34" width="6.6640625" bestFit="1" customWidth="1"/>
    <col min="35" max="36" width="12.6640625" bestFit="1" customWidth="1"/>
    <col min="38" max="38" width="10" bestFit="1" customWidth="1"/>
    <col min="39" max="39" width="10.1640625" bestFit="1" customWidth="1"/>
    <col min="40" max="40" width="7.6640625" bestFit="1" customWidth="1"/>
    <col min="41" max="41" width="10" bestFit="1" customWidth="1"/>
    <col min="42" max="42" width="9.5" bestFit="1" customWidth="1"/>
    <col min="43" max="43" width="18" bestFit="1" customWidth="1"/>
    <col min="44" max="44" width="13" bestFit="1" customWidth="1"/>
    <col min="45" max="45" width="12.6640625" bestFit="1" customWidth="1"/>
    <col min="46" max="46" width="14.1640625" bestFit="1" customWidth="1"/>
    <col min="47" max="48" width="12.6640625" bestFit="1" customWidth="1"/>
    <col min="50" max="54" width="11.6640625" customWidth="1"/>
    <col min="55" max="55" width="24.5" customWidth="1"/>
    <col min="56" max="56" width="18.6640625" bestFit="1" customWidth="1"/>
    <col min="57" max="57" width="12.1640625" bestFit="1" customWidth="1"/>
    <col min="58" max="58" width="16.1640625" bestFit="1" customWidth="1"/>
    <col min="59" max="59" width="11" style="5"/>
    <col min="63" max="63" width="10.6640625" bestFit="1" customWidth="1"/>
    <col min="64" max="64" width="9.1640625" bestFit="1" customWidth="1"/>
    <col min="65" max="65" width="22.6640625" bestFit="1" customWidth="1"/>
    <col min="66" max="66" width="9.1640625" bestFit="1" customWidth="1"/>
    <col min="67" max="67" width="10.83203125" bestFit="1" customWidth="1"/>
    <col min="68" max="68" width="8.83203125" bestFit="1" customWidth="1"/>
    <col min="69" max="69" width="10.83203125" bestFit="1" customWidth="1"/>
    <col min="70" max="70" width="20.83203125" bestFit="1" customWidth="1"/>
    <col min="71" max="71" width="20.33203125" bestFit="1" customWidth="1"/>
    <col min="72" max="72" width="26.1640625" bestFit="1" customWidth="1"/>
    <col min="73" max="73" width="9.1640625" bestFit="1" customWidth="1"/>
    <col min="74" max="74" width="16.83203125" bestFit="1" customWidth="1"/>
    <col min="75" max="75" width="16.83203125" customWidth="1"/>
    <col min="76" max="76" width="14.83203125" bestFit="1" customWidth="1"/>
    <col min="77" max="77" width="17.1640625" bestFit="1" customWidth="1"/>
    <col min="78" max="78" width="27.33203125" bestFit="1" customWidth="1"/>
    <col min="79" max="79" width="27.6640625" bestFit="1" customWidth="1"/>
    <col min="80" max="80" width="22" bestFit="1" customWidth="1"/>
  </cols>
  <sheetData>
    <row r="1" spans="1:80" s="9" customFormat="1" ht="32.25" customHeight="1" x14ac:dyDescent="0.2">
      <c r="A1" s="54" t="s">
        <v>39</v>
      </c>
      <c r="B1" s="54" t="s">
        <v>40</v>
      </c>
      <c r="C1" s="54" t="s">
        <v>0</v>
      </c>
      <c r="D1" s="54" t="s">
        <v>1</v>
      </c>
      <c r="E1" s="54" t="s">
        <v>41</v>
      </c>
      <c r="F1" s="54" t="s">
        <v>2</v>
      </c>
      <c r="G1" s="54" t="s">
        <v>47</v>
      </c>
      <c r="H1" s="54" t="s">
        <v>3</v>
      </c>
      <c r="I1" s="54" t="s">
        <v>4</v>
      </c>
      <c r="J1" s="54" t="s">
        <v>96</v>
      </c>
      <c r="K1" s="54" t="s">
        <v>97</v>
      </c>
      <c r="L1" s="54" t="s">
        <v>98</v>
      </c>
      <c r="M1" s="54" t="s">
        <v>51</v>
      </c>
      <c r="N1" s="54" t="s">
        <v>52</v>
      </c>
      <c r="O1" s="54" t="s">
        <v>53</v>
      </c>
      <c r="P1" s="54" t="s">
        <v>5</v>
      </c>
      <c r="Q1" s="54" t="s">
        <v>7</v>
      </c>
      <c r="R1" s="54" t="s">
        <v>8</v>
      </c>
      <c r="S1" s="54" t="s">
        <v>6</v>
      </c>
      <c r="T1" s="54" t="s">
        <v>9</v>
      </c>
      <c r="U1" s="54" t="s">
        <v>38</v>
      </c>
      <c r="V1" s="54" t="s">
        <v>10</v>
      </c>
      <c r="W1" s="40"/>
      <c r="X1" s="41" t="s">
        <v>34</v>
      </c>
      <c r="Y1" s="38" t="s">
        <v>78</v>
      </c>
      <c r="Z1" s="39" t="s">
        <v>76</v>
      </c>
      <c r="AB1" s="40" t="s">
        <v>1</v>
      </c>
      <c r="AC1" s="40" t="s">
        <v>0</v>
      </c>
      <c r="AD1" s="9" t="s">
        <v>40</v>
      </c>
      <c r="AE1" s="40" t="s">
        <v>1</v>
      </c>
      <c r="AF1" s="40" t="s">
        <v>10</v>
      </c>
      <c r="AG1" s="42"/>
      <c r="AH1" s="42"/>
      <c r="AL1" s="40" t="s">
        <v>1</v>
      </c>
      <c r="AM1" s="9" t="s">
        <v>40</v>
      </c>
      <c r="AN1" s="9" t="s">
        <v>40</v>
      </c>
      <c r="AO1" s="40" t="s">
        <v>1</v>
      </c>
      <c r="AP1" s="40" t="s">
        <v>10</v>
      </c>
      <c r="AQ1" s="42" t="s">
        <v>34</v>
      </c>
      <c r="AR1" s="42" t="s">
        <v>27</v>
      </c>
      <c r="AS1" s="42" t="s">
        <v>28</v>
      </c>
      <c r="AT1" s="42" t="s">
        <v>54</v>
      </c>
      <c r="AU1" s="9">
        <f>SLOPE(AS2:AS15,AP2:AP15)</f>
        <v>-1.94259161529435E-2</v>
      </c>
      <c r="AV1" s="9">
        <f>INTERCEPT(AS2:AS15,AP2:AP15)</f>
        <v>-0.21314182942830417</v>
      </c>
      <c r="AX1" s="40" t="s">
        <v>1</v>
      </c>
      <c r="AY1" s="40" t="s">
        <v>41</v>
      </c>
      <c r="AZ1" s="9" t="s">
        <v>40</v>
      </c>
      <c r="BA1" s="9" t="s">
        <v>40</v>
      </c>
      <c r="BB1" s="40" t="s">
        <v>1</v>
      </c>
      <c r="BC1" s="38" t="s">
        <v>78</v>
      </c>
      <c r="BD1" s="39" t="s">
        <v>76</v>
      </c>
      <c r="BF1" s="9" t="s">
        <v>86</v>
      </c>
      <c r="BG1" s="44">
        <f>_xlfn.STDEV.S(BC2:BC4)</f>
        <v>2.9943003176658527E-2</v>
      </c>
      <c r="BK1" s="40" t="s">
        <v>1</v>
      </c>
      <c r="BL1" s="9" t="s">
        <v>40</v>
      </c>
      <c r="BM1" s="9" t="s">
        <v>18</v>
      </c>
      <c r="BN1" s="9" t="s">
        <v>40</v>
      </c>
      <c r="BO1" s="40" t="s">
        <v>1</v>
      </c>
      <c r="BP1" s="9" t="s">
        <v>5</v>
      </c>
      <c r="BQ1" s="9" t="s">
        <v>10</v>
      </c>
      <c r="BR1" s="9" t="s">
        <v>34</v>
      </c>
      <c r="BS1" s="38" t="s">
        <v>78</v>
      </c>
      <c r="BT1" s="39" t="s">
        <v>76</v>
      </c>
      <c r="BU1" s="9" t="s">
        <v>40</v>
      </c>
      <c r="BV1" s="9" t="s">
        <v>19</v>
      </c>
      <c r="BW1" s="9" t="s">
        <v>99</v>
      </c>
      <c r="BX1" s="42" t="s">
        <v>27</v>
      </c>
      <c r="BY1" s="9" t="s">
        <v>72</v>
      </c>
      <c r="BZ1" s="9" t="s">
        <v>73</v>
      </c>
      <c r="CA1" s="9" t="s">
        <v>89</v>
      </c>
      <c r="CB1" s="9" t="s">
        <v>90</v>
      </c>
    </row>
    <row r="2" spans="1:80" x14ac:dyDescent="0.2">
      <c r="A2" s="13">
        <v>44251.747349537036</v>
      </c>
      <c r="B2">
        <v>27808</v>
      </c>
      <c r="C2">
        <v>1</v>
      </c>
      <c r="D2" t="s">
        <v>100</v>
      </c>
      <c r="G2">
        <v>5</v>
      </c>
      <c r="H2">
        <v>348.2</v>
      </c>
      <c r="I2">
        <v>78</v>
      </c>
      <c r="J2">
        <v>1.9</v>
      </c>
      <c r="K2">
        <v>2.4</v>
      </c>
      <c r="L2">
        <v>2.9</v>
      </c>
      <c r="M2">
        <v>3696</v>
      </c>
      <c r="N2">
        <v>4344</v>
      </c>
      <c r="O2">
        <v>5344</v>
      </c>
      <c r="P2">
        <v>101.212</v>
      </c>
      <c r="Q2">
        <v>99.608999999999995</v>
      </c>
      <c r="R2">
        <v>1.17</v>
      </c>
      <c r="S2">
        <v>0.433</v>
      </c>
      <c r="U2">
        <v>1.073963</v>
      </c>
      <c r="V2">
        <v>-28.978000000000002</v>
      </c>
      <c r="W2" s="1"/>
      <c r="X2" s="5">
        <f>IF(ISNUMBER(V2),V2-B2*$AB$3,"")</f>
        <v>-34.093472909941937</v>
      </c>
      <c r="Y2" s="11">
        <f>IF(ISNUMBER(V2),(V2+1000)/((V2*$AU$1+$AV$1)/1000+1)-1000,"")</f>
        <v>-29.3175276145937</v>
      </c>
      <c r="Z2" s="11">
        <f>IF(ISNUMBER(X2),(X2+1000)/((X2*$AU$2+$AV$2)/1000+1)-1000,"")</f>
        <v>-29.304656479752566</v>
      </c>
      <c r="AB2" t="s">
        <v>12</v>
      </c>
      <c r="AC2" t="str">
        <f>"&gt;=0"</f>
        <v>&gt;=0</v>
      </c>
      <c r="AD2">
        <v>27812</v>
      </c>
      <c r="AE2" t="s">
        <v>12</v>
      </c>
      <c r="AF2">
        <v>-31.867000000000001</v>
      </c>
      <c r="AL2" t="s">
        <v>11</v>
      </c>
      <c r="AM2" t="str">
        <f>IF(AL2="Urea","&gt;"&amp;MAX('Elemental analysis'!A6:A9)-100,"&gt;=0")</f>
        <v>&gt;20514</v>
      </c>
      <c r="AN2">
        <v>27813</v>
      </c>
      <c r="AO2" t="s">
        <v>11</v>
      </c>
      <c r="AP2">
        <v>-41.055999999999997</v>
      </c>
      <c r="AQ2" s="5">
        <v>-46.172392694340296</v>
      </c>
      <c r="AR2" s="5">
        <f>IF(ISBLANK(AO2),"",VLOOKUP(AO2,refs[#All],5,FALSE))</f>
        <v>-41.61</v>
      </c>
      <c r="AS2" s="2">
        <f>IF(ISBLANK(AP2),"",((AP2+1000)/(AR2+1000)-1)*1000)</f>
        <v>0.57805277600975202</v>
      </c>
      <c r="AT2" s="2">
        <f>IF(ISBLANK(AQ2),"",((AQ2+1000)/(AR2+1000)-1)*1000)</f>
        <v>-4.7604761050723532</v>
      </c>
      <c r="AU2">
        <f>SLOPE(AT2:AT15,AQ2:AQ15)</f>
        <v>-1.3919524723256409E-2</v>
      </c>
      <c r="AV2">
        <f>INTERCEPT(AT2:AT15,AQ2:AQ15)</f>
        <v>-5.4079525999442826</v>
      </c>
      <c r="AX2" t="s">
        <v>14</v>
      </c>
      <c r="AY2" t="s">
        <v>57</v>
      </c>
      <c r="AZ2" t="str">
        <f>AM2</f>
        <v>&gt;20514</v>
      </c>
      <c r="BA2">
        <v>27815</v>
      </c>
      <c r="BB2" t="s">
        <v>14</v>
      </c>
      <c r="BC2" s="11">
        <v>0.70364224543197906</v>
      </c>
      <c r="BD2" s="11">
        <v>-29.406803012814748</v>
      </c>
      <c r="BF2" s="36" t="s">
        <v>29</v>
      </c>
      <c r="BG2" s="45">
        <f>_xlfn.STDEV.S(BD2:BD4)</f>
        <v>8.5437347628646798E-2</v>
      </c>
      <c r="BK2" t="s">
        <v>12</v>
      </c>
      <c r="BL2" t="str">
        <f>"&gt;=0"</f>
        <v>&gt;=0</v>
      </c>
      <c r="BM2" t="s">
        <v>21</v>
      </c>
      <c r="BN2">
        <v>27812</v>
      </c>
      <c r="BO2" t="s">
        <v>12</v>
      </c>
      <c r="BP2">
        <v>76.225999999999999</v>
      </c>
      <c r="BQ2">
        <v>-31.867000000000001</v>
      </c>
      <c r="BR2" s="5">
        <v>-36.983208737460629</v>
      </c>
      <c r="BS2" s="11">
        <v>0.54457476196978405</v>
      </c>
      <c r="BT2" s="11">
        <v>-32.247838786860939</v>
      </c>
      <c r="BU2">
        <v>27812</v>
      </c>
      <c r="BV2">
        <v>1278369</v>
      </c>
      <c r="BW2" t="b">
        <f>BN2=BU2</f>
        <v>1</v>
      </c>
      <c r="BX2" s="2">
        <f>IF(ISBLANK(BO2),"",VLOOKUP(BO2,refs[#All],5,FALSE))</f>
        <v>-32.15</v>
      </c>
      <c r="BY2" s="2">
        <f>IF(ISBLANK($BO2),"",((BQ2+1000)/($BX2+1000)-1)*1000)</f>
        <v>0.29240068192382118</v>
      </c>
      <c r="BZ2" s="2">
        <f>IF(ISBLANK($BO2),"",((BR2+1000)/($BX2+1000)-1)*1000)</f>
        <v>-4.9937580590593278</v>
      </c>
      <c r="CA2" s="2">
        <f>IF(ISBLANK($BO2),"",((BS2+1000)/($BX2+1000)-1)*1000)</f>
        <v>33.780621751273273</v>
      </c>
      <c r="CB2" s="2">
        <f>IF(ISBLANK($BO2),"",((BT2+1000)/($BX2+1000)-1)*1000)</f>
        <v>-0.1010887915079417</v>
      </c>
    </row>
    <row r="3" spans="1:80" x14ac:dyDescent="0.2">
      <c r="A3" s="13">
        <v>44251.754675925928</v>
      </c>
      <c r="B3">
        <v>27809</v>
      </c>
      <c r="C3">
        <v>2</v>
      </c>
      <c r="D3" t="s">
        <v>100</v>
      </c>
      <c r="G3">
        <v>5</v>
      </c>
      <c r="H3">
        <v>348.6</v>
      </c>
      <c r="I3">
        <v>78</v>
      </c>
      <c r="J3">
        <v>2</v>
      </c>
      <c r="K3">
        <v>2.6</v>
      </c>
      <c r="L3">
        <v>3.1</v>
      </c>
      <c r="M3">
        <v>3406</v>
      </c>
      <c r="N3">
        <v>4002</v>
      </c>
      <c r="O3">
        <v>4928</v>
      </c>
      <c r="P3">
        <v>92.866</v>
      </c>
      <c r="Q3">
        <v>91.394999999999996</v>
      </c>
      <c r="R3">
        <v>1.073</v>
      </c>
      <c r="S3">
        <v>0.39700000000000002</v>
      </c>
      <c r="U3">
        <v>1.073844</v>
      </c>
      <c r="V3">
        <v>-29.087</v>
      </c>
      <c r="W3" s="1"/>
      <c r="X3" s="5">
        <f t="shared" ref="X3:X66" si="0">IF(ISNUMBER(V3),V3-B3*$AB$3,"")</f>
        <v>-34.202656866821606</v>
      </c>
      <c r="Y3" s="11">
        <f t="shared" ref="Y3:Y66" si="1">IF(ISNUMBER(S3),(S3+1000)/((S3*$AU$1+$AV$1)/1000+1)-1000,"")</f>
        <v>0.61799040374307879</v>
      </c>
      <c r="Z3" s="11">
        <f t="shared" ref="Z3:Z66" si="2">IF(ISNUMBER(X3),(X3+1000)/((X3*$AU$2+$AV$2)/1000+1)-1000,"")</f>
        <v>-29.415864150067364</v>
      </c>
      <c r="AB3">
        <f>SLOPE(AF2:AF18,AD2:AD18)</f>
        <v>1.8395687967282564E-4</v>
      </c>
      <c r="AC3" s="1"/>
      <c r="AD3">
        <v>27823</v>
      </c>
      <c r="AE3" t="s">
        <v>12</v>
      </c>
      <c r="AF3">
        <v>-31.838999999999999</v>
      </c>
      <c r="AL3" t="s">
        <v>13</v>
      </c>
      <c r="AM3" t="str">
        <f>AM2</f>
        <v>&gt;20514</v>
      </c>
      <c r="AN3">
        <v>27814</v>
      </c>
      <c r="AO3" t="s">
        <v>13</v>
      </c>
      <c r="AP3">
        <v>-11.361000000000001</v>
      </c>
      <c r="AQ3" s="5">
        <v>-16.477576651219973</v>
      </c>
      <c r="AR3" s="5">
        <f>IF(ISBLANK(AO3),"",VLOOKUP(AO3,refs[#All],5,FALSE))</f>
        <v>-11.38</v>
      </c>
      <c r="AS3" s="2">
        <f t="shared" ref="AS3:AS15" si="3">IF(ISBLANK(AP3),"",((AP3+1000)/(AR3+1000)-1)*1000)</f>
        <v>1.9218708907420279E-2</v>
      </c>
      <c r="AT3" s="2">
        <f t="shared" ref="AT3:AT15" si="4">IF(ISBLANK(AQ3),"",((AQ3+1000)/(AR3+1000)-1)*1000)</f>
        <v>-5.1562548311989698</v>
      </c>
      <c r="BA3">
        <v>27871</v>
      </c>
      <c r="BB3" t="s">
        <v>14</v>
      </c>
      <c r="BC3" s="11">
        <v>0.65571796622384682</v>
      </c>
      <c r="BD3" s="11">
        <v>-29.355164937556765</v>
      </c>
      <c r="BK3" t="s">
        <v>14</v>
      </c>
      <c r="BL3" t="str">
        <f>"&gt;=0"</f>
        <v>&gt;=0</v>
      </c>
      <c r="BM3" t="s">
        <v>21</v>
      </c>
      <c r="BN3">
        <v>27813</v>
      </c>
      <c r="BO3" t="s">
        <v>11</v>
      </c>
      <c r="BP3">
        <v>103.789</v>
      </c>
      <c r="BQ3">
        <v>-41.055999999999997</v>
      </c>
      <c r="BR3" s="5">
        <v>-46.172392694340296</v>
      </c>
      <c r="BS3" s="11">
        <v>0.6689736091626628</v>
      </c>
      <c r="BT3" s="11">
        <v>-41.605398181018472</v>
      </c>
      <c r="BU3">
        <v>27813</v>
      </c>
      <c r="BV3">
        <v>154705</v>
      </c>
      <c r="BW3" t="b">
        <f t="shared" ref="BW3:BW25" si="5">BN3=BU3</f>
        <v>1</v>
      </c>
      <c r="BX3" s="2">
        <f>IF(ISBLANK(BO3),"",VLOOKUP(BO3,refs[#All],5,FALSE))</f>
        <v>-41.61</v>
      </c>
      <c r="BY3" s="2">
        <f t="shared" ref="BY3:BY8" si="6">IF(ISBLANK($BO3),"",((BQ3+1000)/($BX3+1000)-1)*1000)</f>
        <v>0.57805277600975202</v>
      </c>
      <c r="BZ3" s="2">
        <f t="shared" ref="BZ3:BZ8" si="7">IF(ISBLANK($BO3),"",((BR3+1000)/($BX3+1000)-1)*1000)</f>
        <v>-4.7604761050723532</v>
      </c>
      <c r="CA3" s="2">
        <f t="shared" ref="CA3:CA8" si="8">IF(ISBLANK($BO3),"",((BS3+1000)/($BX3+1000)-1)*1000)</f>
        <v>44.114581338664529</v>
      </c>
      <c r="CB3" s="2">
        <f t="shared" ref="CB3:CB8" si="9">IF(ISBLANK($BO3),"",((BT3+1000)/($BX3+1000)-1)*1000)</f>
        <v>4.8016141460660577E-3</v>
      </c>
    </row>
    <row r="4" spans="1:80" x14ac:dyDescent="0.2">
      <c r="A4" s="13">
        <v>44251.762002314812</v>
      </c>
      <c r="B4">
        <v>27810</v>
      </c>
      <c r="C4">
        <v>3</v>
      </c>
      <c r="D4" t="s">
        <v>100</v>
      </c>
      <c r="G4">
        <v>5</v>
      </c>
      <c r="H4">
        <v>348.8</v>
      </c>
      <c r="I4">
        <v>78</v>
      </c>
      <c r="J4">
        <v>2</v>
      </c>
      <c r="K4">
        <v>2.6</v>
      </c>
      <c r="L4">
        <v>3.2</v>
      </c>
      <c r="M4">
        <v>2739</v>
      </c>
      <c r="N4">
        <v>3217</v>
      </c>
      <c r="O4">
        <v>3967</v>
      </c>
      <c r="P4">
        <v>74.186999999999998</v>
      </c>
      <c r="Q4">
        <v>73.012</v>
      </c>
      <c r="R4">
        <v>0.85699999999999998</v>
      </c>
      <c r="S4">
        <v>0.318</v>
      </c>
      <c r="U4">
        <v>1.073747</v>
      </c>
      <c r="V4">
        <v>-29.175000000000001</v>
      </c>
      <c r="W4" s="1"/>
      <c r="X4" s="5">
        <f t="shared" si="0"/>
        <v>-34.290840823701281</v>
      </c>
      <c r="Y4" s="11">
        <f t="shared" si="1"/>
        <v>0.53743714108679796</v>
      </c>
      <c r="Z4" s="11">
        <f t="shared" si="2"/>
        <v>-29.505682339559598</v>
      </c>
      <c r="AC4" s="1"/>
      <c r="AD4">
        <v>27834</v>
      </c>
      <c r="AE4" t="s">
        <v>12</v>
      </c>
      <c r="AF4">
        <v>-31.855</v>
      </c>
      <c r="AN4">
        <v>27869</v>
      </c>
      <c r="AO4" t="s">
        <v>11</v>
      </c>
      <c r="AP4">
        <v>-41.043999999999997</v>
      </c>
      <c r="AQ4" s="5">
        <v>-46.170694279601975</v>
      </c>
      <c r="AR4" s="5">
        <f>IF(ISBLANK(AO4),"",VLOOKUP(AO4,refs[#All],5,FALSE))</f>
        <v>-41.61</v>
      </c>
      <c r="AS4" s="2">
        <f t="shared" si="3"/>
        <v>0.5905737747682327</v>
      </c>
      <c r="AT4" s="2">
        <f t="shared" si="4"/>
        <v>-4.7587039510031959</v>
      </c>
      <c r="BA4">
        <v>27930</v>
      </c>
      <c r="BB4" t="s">
        <v>14</v>
      </c>
      <c r="BC4" s="11">
        <v>0.71077991152662889</v>
      </c>
      <c r="BD4" s="11">
        <v>-29.239921035342604</v>
      </c>
      <c r="BK4" t="s">
        <v>13</v>
      </c>
      <c r="BL4" t="str">
        <f>"&gt;=0"</f>
        <v>&gt;=0</v>
      </c>
      <c r="BM4" t="s">
        <v>21</v>
      </c>
      <c r="BN4">
        <v>27814</v>
      </c>
      <c r="BO4" t="s">
        <v>13</v>
      </c>
      <c r="BP4">
        <v>103.16500000000001</v>
      </c>
      <c r="BQ4">
        <v>-11.361000000000001</v>
      </c>
      <c r="BR4" s="5">
        <v>-16.477576651219973</v>
      </c>
      <c r="BS4" s="11">
        <v>0.66387528416294117</v>
      </c>
      <c r="BT4" s="11">
        <v>-11.357801513316076</v>
      </c>
      <c r="BU4">
        <v>27814</v>
      </c>
      <c r="BV4">
        <v>589206</v>
      </c>
      <c r="BW4" t="b">
        <f t="shared" si="5"/>
        <v>1</v>
      </c>
      <c r="BX4" s="2">
        <f>IF(ISBLANK(BO4),"",VLOOKUP(BO4,refs[#All],5,FALSE))</f>
        <v>-11.38</v>
      </c>
      <c r="BY4" s="2">
        <f t="shared" si="6"/>
        <v>1.9218708907420279E-2</v>
      </c>
      <c r="BZ4" s="2">
        <f t="shared" si="7"/>
        <v>-5.1562548311989698</v>
      </c>
      <c r="CA4" s="2">
        <f t="shared" si="8"/>
        <v>12.182512273839263</v>
      </c>
      <c r="CB4" s="2">
        <f t="shared" si="9"/>
        <v>2.2454013355988067E-2</v>
      </c>
    </row>
    <row r="5" spans="1:80" x14ac:dyDescent="0.2">
      <c r="A5" s="13">
        <v>44251.776666666665</v>
      </c>
      <c r="B5">
        <v>27812</v>
      </c>
      <c r="C5">
        <v>5</v>
      </c>
      <c r="D5" t="s">
        <v>12</v>
      </c>
      <c r="G5">
        <v>5</v>
      </c>
      <c r="H5">
        <v>326.89999999999998</v>
      </c>
      <c r="I5">
        <v>89</v>
      </c>
      <c r="J5">
        <v>1.1000000000000001</v>
      </c>
      <c r="K5">
        <v>1.4</v>
      </c>
      <c r="L5">
        <v>1.8</v>
      </c>
      <c r="M5">
        <v>4071</v>
      </c>
      <c r="N5">
        <v>4775</v>
      </c>
      <c r="O5">
        <v>5861</v>
      </c>
      <c r="P5">
        <v>76.225999999999999</v>
      </c>
      <c r="Q5">
        <v>75.022999999999996</v>
      </c>
      <c r="R5">
        <v>0.878</v>
      </c>
      <c r="S5">
        <v>0.32500000000000001</v>
      </c>
      <c r="U5">
        <v>1.0708009999999999</v>
      </c>
      <c r="V5">
        <v>-31.867000000000001</v>
      </c>
      <c r="W5" s="1"/>
      <c r="X5" s="5">
        <f t="shared" si="0"/>
        <v>-36.983208737460629</v>
      </c>
      <c r="Y5" s="11">
        <f t="shared" si="1"/>
        <v>0.54457476196978405</v>
      </c>
      <c r="Z5" s="11">
        <f t="shared" si="2"/>
        <v>-32.247838786860939</v>
      </c>
      <c r="AC5" s="1"/>
      <c r="AD5">
        <v>27845</v>
      </c>
      <c r="AE5" t="s">
        <v>12</v>
      </c>
      <c r="AF5">
        <v>-31.838000000000001</v>
      </c>
      <c r="AN5">
        <v>27870</v>
      </c>
      <c r="AO5" t="s">
        <v>13</v>
      </c>
      <c r="AP5">
        <v>-11.35</v>
      </c>
      <c r="AQ5" s="5">
        <v>-16.47687823648165</v>
      </c>
      <c r="AR5" s="5">
        <f>IF(ISBLANK(AO5),"",VLOOKUP(AO5,refs[#All],5,FALSE))</f>
        <v>-11.38</v>
      </c>
      <c r="AS5" s="2">
        <f t="shared" si="3"/>
        <v>3.034532985379812E-2</v>
      </c>
      <c r="AT5" s="2">
        <f t="shared" si="4"/>
        <v>-5.1555483770120425</v>
      </c>
      <c r="BC5" s="11"/>
      <c r="BD5" s="11"/>
      <c r="BK5" t="s">
        <v>11</v>
      </c>
      <c r="BL5" t="str">
        <f>"&gt;=0"</f>
        <v>&gt;=0</v>
      </c>
      <c r="BM5" t="s">
        <v>21</v>
      </c>
      <c r="BN5">
        <v>27815</v>
      </c>
      <c r="BO5" t="s">
        <v>14</v>
      </c>
      <c r="BP5">
        <v>112.39100000000001</v>
      </c>
      <c r="BQ5">
        <v>-29.077000000000002</v>
      </c>
      <c r="BR5" s="5">
        <v>-34.193760608099645</v>
      </c>
      <c r="BS5" s="11">
        <v>0.70364224543197906</v>
      </c>
      <c r="BT5" s="11">
        <v>-29.406803012814748</v>
      </c>
      <c r="BU5">
        <v>27815</v>
      </c>
      <c r="BV5">
        <v>660524</v>
      </c>
      <c r="BW5" t="b">
        <f t="shared" si="5"/>
        <v>1</v>
      </c>
      <c r="BX5" s="2">
        <f>IF(ISBLANK(BO5),"",VLOOKUP(BO5,refs[#All],5,FALSE))</f>
        <v>-29.21</v>
      </c>
      <c r="BY5" s="2">
        <f t="shared" si="6"/>
        <v>0.13700182325737664</v>
      </c>
      <c r="BZ5" s="2">
        <f t="shared" si="7"/>
        <v>-5.1337164660736345</v>
      </c>
      <c r="CA5" s="2">
        <f t="shared" si="8"/>
        <v>30.813710736031563</v>
      </c>
      <c r="CB5" s="2">
        <f t="shared" si="9"/>
        <v>-0.20272459833203804</v>
      </c>
    </row>
    <row r="6" spans="1:80" x14ac:dyDescent="0.2">
      <c r="A6" s="13">
        <v>44251.784004629626</v>
      </c>
      <c r="B6">
        <v>27813</v>
      </c>
      <c r="C6">
        <v>6</v>
      </c>
      <c r="D6" t="s">
        <v>11</v>
      </c>
      <c r="G6">
        <v>5</v>
      </c>
      <c r="H6">
        <v>348.2</v>
      </c>
      <c r="I6">
        <v>33</v>
      </c>
      <c r="J6">
        <v>2.8</v>
      </c>
      <c r="K6">
        <v>3.4</v>
      </c>
      <c r="L6">
        <v>4.3</v>
      </c>
      <c r="M6">
        <v>4055</v>
      </c>
      <c r="N6">
        <v>4709</v>
      </c>
      <c r="O6">
        <v>5914</v>
      </c>
      <c r="P6">
        <v>103.789</v>
      </c>
      <c r="Q6">
        <v>102.155</v>
      </c>
      <c r="R6">
        <v>1.1859999999999999</v>
      </c>
      <c r="S6">
        <v>0.44700000000000001</v>
      </c>
      <c r="U6">
        <v>1.060746</v>
      </c>
      <c r="V6">
        <v>-41.055999999999997</v>
      </c>
      <c r="W6" s="1"/>
      <c r="X6" s="5">
        <f t="shared" si="0"/>
        <v>-46.172392694340296</v>
      </c>
      <c r="Y6" s="11">
        <f t="shared" si="1"/>
        <v>0.6689736091626628</v>
      </c>
      <c r="Z6" s="11">
        <f t="shared" si="2"/>
        <v>-41.605398181018472</v>
      </c>
      <c r="AC6" s="1"/>
      <c r="AD6">
        <v>27856</v>
      </c>
      <c r="AE6" t="s">
        <v>12</v>
      </c>
      <c r="AF6">
        <v>-31.818000000000001</v>
      </c>
      <c r="AN6">
        <v>27928</v>
      </c>
      <c r="AO6" t="s">
        <v>11</v>
      </c>
      <c r="AP6">
        <v>-41.05</v>
      </c>
      <c r="AQ6" s="5">
        <v>-46.187547735502669</v>
      </c>
      <c r="AR6" s="5">
        <f>IF(ISBLANK(AO6),"",VLOOKUP(AO6,refs[#All],5,FALSE))</f>
        <v>-41.61</v>
      </c>
      <c r="AS6" s="2">
        <f t="shared" si="3"/>
        <v>0.58431327538910338</v>
      </c>
      <c r="AT6" s="2">
        <f t="shared" si="4"/>
        <v>-4.7762891260371143</v>
      </c>
      <c r="BC6" s="11"/>
      <c r="BD6" s="11"/>
      <c r="BN6">
        <v>27823</v>
      </c>
      <c r="BO6" t="s">
        <v>12</v>
      </c>
      <c r="BP6">
        <v>75.483999999999995</v>
      </c>
      <c r="BQ6">
        <v>-31.838999999999999</v>
      </c>
      <c r="BR6" s="5">
        <v>-36.95723226313703</v>
      </c>
      <c r="BS6" s="11">
        <v>0.54151578135360978</v>
      </c>
      <c r="BT6" s="11">
        <v>-32.221382930130858</v>
      </c>
      <c r="BU6">
        <v>27823</v>
      </c>
      <c r="BV6">
        <v>1253277</v>
      </c>
      <c r="BW6" t="b">
        <f t="shared" si="5"/>
        <v>1</v>
      </c>
      <c r="BX6" s="2">
        <f>IF(ISBLANK(BO6),"",VLOOKUP(BO6,refs[#All],5,FALSE))</f>
        <v>-32.15</v>
      </c>
      <c r="BY6" s="2">
        <f t="shared" si="6"/>
        <v>0.32133078472917909</v>
      </c>
      <c r="BZ6" s="2">
        <f t="shared" si="7"/>
        <v>-4.9669186993201997</v>
      </c>
      <c r="CA6" s="2">
        <f t="shared" si="8"/>
        <v>33.777461157569412</v>
      </c>
      <c r="CB6" s="2">
        <f t="shared" si="9"/>
        <v>-7.3754125257896597E-2</v>
      </c>
    </row>
    <row r="7" spans="1:80" x14ac:dyDescent="0.2">
      <c r="A7" s="13">
        <v>44251.791331018518</v>
      </c>
      <c r="B7">
        <v>27814</v>
      </c>
      <c r="C7">
        <v>7</v>
      </c>
      <c r="D7" t="s">
        <v>13</v>
      </c>
      <c r="G7">
        <v>4</v>
      </c>
      <c r="H7">
        <v>347.8</v>
      </c>
      <c r="I7">
        <v>78</v>
      </c>
      <c r="J7">
        <v>2</v>
      </c>
      <c r="K7">
        <v>2.6</v>
      </c>
      <c r="L7">
        <v>3.1</v>
      </c>
      <c r="M7">
        <v>3808</v>
      </c>
      <c r="N7">
        <v>4550</v>
      </c>
      <c r="O7">
        <v>5518</v>
      </c>
      <c r="P7">
        <v>103.16500000000001</v>
      </c>
      <c r="Q7">
        <v>101.511</v>
      </c>
      <c r="R7">
        <v>1.212</v>
      </c>
      <c r="S7">
        <v>0.442</v>
      </c>
      <c r="U7">
        <v>1.093234</v>
      </c>
      <c r="V7">
        <v>-11.361000000000001</v>
      </c>
      <c r="W7" s="1"/>
      <c r="X7" s="5">
        <f t="shared" si="0"/>
        <v>-16.477576651219973</v>
      </c>
      <c r="Y7" s="11">
        <f t="shared" si="1"/>
        <v>0.66387528416294117</v>
      </c>
      <c r="Z7" s="11">
        <f t="shared" si="2"/>
        <v>-11.357801513316076</v>
      </c>
      <c r="AC7" s="1"/>
      <c r="AD7">
        <v>27867</v>
      </c>
      <c r="AE7" t="s">
        <v>12</v>
      </c>
      <c r="AF7">
        <v>-31.736999999999998</v>
      </c>
      <c r="AN7">
        <v>27929</v>
      </c>
      <c r="AO7" t="s">
        <v>13</v>
      </c>
      <c r="AP7">
        <v>-11.406000000000001</v>
      </c>
      <c r="AQ7" s="5">
        <v>-16.543731692382348</v>
      </c>
      <c r="AR7" s="5">
        <f>IF(ISBLANK(AO7),"",VLOOKUP(AO7,refs[#All],5,FALSE))</f>
        <v>-11.38</v>
      </c>
      <c r="AS7" s="2">
        <f t="shared" si="3"/>
        <v>-2.6299285873165879E-2</v>
      </c>
      <c r="AT7" s="2">
        <f t="shared" si="4"/>
        <v>-5.2231713827176618</v>
      </c>
      <c r="BC7" s="11"/>
      <c r="BD7" s="11"/>
      <c r="BN7">
        <v>27834</v>
      </c>
      <c r="BO7" t="s">
        <v>12</v>
      </c>
      <c r="BP7">
        <v>73.962000000000003</v>
      </c>
      <c r="BQ7">
        <v>-31.855</v>
      </c>
      <c r="BR7" s="5">
        <v>-36.975255788813428</v>
      </c>
      <c r="BS7" s="11">
        <v>0.53437816130281135</v>
      </c>
      <c r="BT7" s="11">
        <v>-32.239739072699422</v>
      </c>
      <c r="BU7">
        <v>27834</v>
      </c>
      <c r="BV7">
        <v>1232387</v>
      </c>
      <c r="BW7" t="b">
        <f t="shared" si="5"/>
        <v>1</v>
      </c>
      <c r="BX7" s="2">
        <f>IF(ISBLANK(BO7),"",VLOOKUP(BO7,refs[#All],5,FALSE))</f>
        <v>-32.15</v>
      </c>
      <c r="BY7" s="2">
        <f t="shared" si="6"/>
        <v>0.30479929741167311</v>
      </c>
      <c r="BZ7" s="2">
        <f t="shared" si="7"/>
        <v>-4.9855409297034914</v>
      </c>
      <c r="CA7" s="2">
        <f t="shared" si="8"/>
        <v>33.770086440360281</v>
      </c>
      <c r="CB7" s="2">
        <f t="shared" si="9"/>
        <v>-9.2720021387049378E-2</v>
      </c>
    </row>
    <row r="8" spans="1:80" x14ac:dyDescent="0.2">
      <c r="A8" s="13">
        <v>44251.798668981479</v>
      </c>
      <c r="B8">
        <v>27815</v>
      </c>
      <c r="C8">
        <v>8</v>
      </c>
      <c r="D8" t="s">
        <v>14</v>
      </c>
      <c r="E8" t="s">
        <v>57</v>
      </c>
      <c r="G8">
        <v>5</v>
      </c>
      <c r="H8">
        <v>347.8</v>
      </c>
      <c r="I8">
        <v>78</v>
      </c>
      <c r="J8">
        <v>1.9</v>
      </c>
      <c r="K8">
        <v>2.5</v>
      </c>
      <c r="L8">
        <v>3.1</v>
      </c>
      <c r="M8">
        <v>4118</v>
      </c>
      <c r="N8">
        <v>4839</v>
      </c>
      <c r="O8">
        <v>5961</v>
      </c>
      <c r="P8">
        <v>112.39100000000001</v>
      </c>
      <c r="Q8">
        <v>110.611</v>
      </c>
      <c r="R8">
        <v>1.298</v>
      </c>
      <c r="S8">
        <v>0.48099999999999998</v>
      </c>
      <c r="U8">
        <v>1.073855</v>
      </c>
      <c r="V8">
        <v>-29.077000000000002</v>
      </c>
      <c r="W8" s="1"/>
      <c r="X8" s="5">
        <f t="shared" si="0"/>
        <v>-34.193760608099645</v>
      </c>
      <c r="Y8" s="11">
        <f t="shared" si="1"/>
        <v>0.70364224543197906</v>
      </c>
      <c r="Z8" s="11">
        <f t="shared" si="2"/>
        <v>-29.406803012814748</v>
      </c>
      <c r="AC8" s="1"/>
      <c r="AD8">
        <v>27878</v>
      </c>
      <c r="AE8" t="s">
        <v>12</v>
      </c>
      <c r="AF8">
        <v>-31.794</v>
      </c>
      <c r="AQ8" s="5"/>
      <c r="AR8" s="5" t="str">
        <f>IF(ISBLANK(AO8),"",VLOOKUP(AO8,refs[#All],5,FALSE))</f>
        <v/>
      </c>
      <c r="AS8" s="2" t="str">
        <f t="shared" si="3"/>
        <v/>
      </c>
      <c r="AT8" s="2" t="str">
        <f t="shared" si="4"/>
        <v/>
      </c>
      <c r="BC8" s="11"/>
      <c r="BD8" s="11"/>
      <c r="BN8">
        <v>27845</v>
      </c>
      <c r="BO8" t="s">
        <v>12</v>
      </c>
      <c r="BP8">
        <v>77.206999999999994</v>
      </c>
      <c r="BQ8">
        <v>-31.838000000000001</v>
      </c>
      <c r="BR8" s="5">
        <v>-36.960279314489831</v>
      </c>
      <c r="BS8" s="11">
        <v>0.54865340334595203</v>
      </c>
      <c r="BT8" s="11">
        <v>-32.224486214236663</v>
      </c>
      <c r="BU8">
        <v>27845</v>
      </c>
      <c r="BV8">
        <v>1282204</v>
      </c>
      <c r="BW8" t="b">
        <f t="shared" si="5"/>
        <v>1</v>
      </c>
      <c r="BX8" s="2">
        <f>IF(ISBLANK(BO8),"",VLOOKUP(BO8,refs[#All],5,FALSE))</f>
        <v>-32.15</v>
      </c>
      <c r="BY8" s="2">
        <f t="shared" si="6"/>
        <v>0.32236400268637055</v>
      </c>
      <c r="BZ8" s="2">
        <f t="shared" si="7"/>
        <v>-4.9700669674948017</v>
      </c>
      <c r="CA8" s="2">
        <f t="shared" si="8"/>
        <v>33.784835876784491</v>
      </c>
      <c r="CB8" s="2">
        <f t="shared" si="9"/>
        <v>-7.6960494122757517E-2</v>
      </c>
    </row>
    <row r="9" spans="1:80" x14ac:dyDescent="0.2">
      <c r="A9" s="13">
        <v>44251.805995370371</v>
      </c>
      <c r="B9">
        <v>27816</v>
      </c>
      <c r="C9">
        <v>9</v>
      </c>
      <c r="D9" t="s">
        <v>102</v>
      </c>
      <c r="G9">
        <v>5</v>
      </c>
      <c r="H9">
        <v>328.5</v>
      </c>
      <c r="I9">
        <v>89</v>
      </c>
      <c r="J9">
        <v>1.3</v>
      </c>
      <c r="K9">
        <v>1.6</v>
      </c>
      <c r="L9">
        <v>2.1</v>
      </c>
      <c r="M9">
        <v>3191</v>
      </c>
      <c r="N9">
        <v>3746</v>
      </c>
      <c r="O9">
        <v>4605</v>
      </c>
      <c r="P9">
        <v>59.079000000000001</v>
      </c>
      <c r="Q9">
        <v>58.145000000000003</v>
      </c>
      <c r="R9">
        <v>0.68100000000000005</v>
      </c>
      <c r="S9">
        <v>0.252</v>
      </c>
      <c r="U9">
        <v>1.0721799999999999</v>
      </c>
      <c r="V9">
        <v>-30.608000000000001</v>
      </c>
      <c r="W9" s="1"/>
      <c r="X9" s="5">
        <f t="shared" si="0"/>
        <v>-35.724944564979317</v>
      </c>
      <c r="Y9" s="11">
        <f t="shared" si="1"/>
        <v>0.47013966821702979</v>
      </c>
      <c r="Z9" s="11">
        <f t="shared" si="2"/>
        <v>-30.966331909858695</v>
      </c>
      <c r="AC9" s="1"/>
      <c r="AD9">
        <v>27889</v>
      </c>
      <c r="AE9" t="s">
        <v>12</v>
      </c>
      <c r="AF9">
        <v>-31.835999999999999</v>
      </c>
      <c r="AQ9" s="5"/>
      <c r="AR9" s="5" t="str">
        <f>IF(ISBLANK(AO9),"",VLOOKUP(AO9,refs[#All],5,FALSE))</f>
        <v/>
      </c>
      <c r="AS9" s="2" t="str">
        <f t="shared" si="3"/>
        <v/>
      </c>
      <c r="AT9" s="2" t="str">
        <f t="shared" si="4"/>
        <v/>
      </c>
      <c r="BC9" s="11"/>
      <c r="BD9" s="11"/>
      <c r="BN9">
        <v>27856</v>
      </c>
      <c r="BO9" t="s">
        <v>12</v>
      </c>
      <c r="BP9">
        <v>73.075000000000003</v>
      </c>
      <c r="BQ9">
        <v>-31.818000000000001</v>
      </c>
      <c r="BR9" s="5">
        <v>-36.942302840166235</v>
      </c>
      <c r="BS9" s="11">
        <v>0.53029952214558307</v>
      </c>
      <c r="BT9" s="11">
        <v>-32.206177983675843</v>
      </c>
      <c r="BU9">
        <v>27856</v>
      </c>
      <c r="BV9">
        <v>1212805</v>
      </c>
      <c r="BW9" t="b">
        <f t="shared" si="5"/>
        <v>1</v>
      </c>
      <c r="BX9" s="2">
        <f>IF(ISBLANK(BO9),"",VLOOKUP(BO9,refs[#All],5,FALSE))</f>
        <v>-32.15</v>
      </c>
      <c r="BY9" s="2">
        <f t="shared" ref="BY9:BY25" si="10">IF(ISBLANK($BO9),"",((BQ9+1000)/($BX9+1000)-1)*1000)</f>
        <v>0.34302836183286445</v>
      </c>
      <c r="BZ9" s="2">
        <f t="shared" ref="BZ9:BZ25" si="11">IF(ISBLANK($BO9),"",((BR9+1000)/($BX9+1000)-1)*1000)</f>
        <v>-4.9514933514142045</v>
      </c>
      <c r="CA9" s="2">
        <f t="shared" ref="CA9:CA25" si="12">IF(ISBLANK($BO9),"",((BS9+1000)/($BX9+1000)-1)*1000)</f>
        <v>33.765872317141678</v>
      </c>
      <c r="CB9" s="2">
        <f t="shared" ref="CB9:CB25" si="13">IF(ISBLANK($BO9),"",((BT9+1000)/($BX9+1000)-1)*1000)</f>
        <v>-5.8044101540422055E-2</v>
      </c>
    </row>
    <row r="10" spans="1:80" x14ac:dyDescent="0.2">
      <c r="A10" s="13">
        <v>44251.813321759262</v>
      </c>
      <c r="B10">
        <v>27817</v>
      </c>
      <c r="C10">
        <v>10</v>
      </c>
      <c r="D10" t="s">
        <v>103</v>
      </c>
      <c r="F10">
        <v>5.4130000000000003</v>
      </c>
      <c r="G10">
        <v>5</v>
      </c>
      <c r="H10">
        <v>326.89999999999998</v>
      </c>
      <c r="I10">
        <v>89</v>
      </c>
      <c r="J10">
        <v>1.3</v>
      </c>
      <c r="K10">
        <v>1.6</v>
      </c>
      <c r="L10">
        <v>2.1</v>
      </c>
      <c r="M10">
        <v>4232</v>
      </c>
      <c r="N10">
        <v>4993</v>
      </c>
      <c r="O10">
        <v>6095</v>
      </c>
      <c r="P10">
        <v>79.213999999999999</v>
      </c>
      <c r="Q10">
        <v>77.959000000000003</v>
      </c>
      <c r="R10">
        <v>0.91800000000000004</v>
      </c>
      <c r="S10">
        <v>0.33700000000000002</v>
      </c>
      <c r="U10">
        <v>1.0772170000000001</v>
      </c>
      <c r="V10">
        <v>-26.004000000000001</v>
      </c>
      <c r="W10" s="1"/>
      <c r="X10" s="5">
        <f t="shared" si="0"/>
        <v>-31.121128521858992</v>
      </c>
      <c r="Y10" s="11">
        <f t="shared" si="1"/>
        <v>0.55681068800049616</v>
      </c>
      <c r="Z10" s="11">
        <f t="shared" si="2"/>
        <v>-26.277089487176568</v>
      </c>
      <c r="AC10" s="1"/>
      <c r="AD10">
        <v>27900</v>
      </c>
      <c r="AE10" t="s">
        <v>12</v>
      </c>
      <c r="AF10">
        <v>-31.814</v>
      </c>
      <c r="AQ10" s="5"/>
      <c r="AR10" s="5" t="str">
        <f>IF(ISBLANK(AO10),"",VLOOKUP(AO10,refs[#All],5,FALSE))</f>
        <v/>
      </c>
      <c r="AS10" s="2" t="str">
        <f t="shared" si="3"/>
        <v/>
      </c>
      <c r="AT10" s="2" t="str">
        <f t="shared" si="4"/>
        <v/>
      </c>
      <c r="BC10" s="11"/>
      <c r="BD10" s="11"/>
      <c r="BN10">
        <v>27867</v>
      </c>
      <c r="BO10" t="s">
        <v>12</v>
      </c>
      <c r="BP10">
        <v>78.198999999999998</v>
      </c>
      <c r="BQ10">
        <v>-31.736999999999998</v>
      </c>
      <c r="BR10" s="5">
        <v>-36.863326365842632</v>
      </c>
      <c r="BS10" s="11">
        <v>0.55273204535626519</v>
      </c>
      <c r="BT10" s="11">
        <v>-32.125743887662793</v>
      </c>
      <c r="BU10">
        <v>27867</v>
      </c>
      <c r="BV10">
        <v>1303636</v>
      </c>
      <c r="BW10" t="b">
        <f t="shared" si="5"/>
        <v>1</v>
      </c>
      <c r="BX10" s="2">
        <f>IF(ISBLANK(BO10),"",VLOOKUP(BO10,refs[#All],5,FALSE))</f>
        <v>-32.15</v>
      </c>
      <c r="BY10" s="2">
        <f t="shared" si="10"/>
        <v>0.42671901637647558</v>
      </c>
      <c r="BZ10" s="2">
        <f t="shared" si="11"/>
        <v>-4.8698934399367122</v>
      </c>
      <c r="CA10" s="2">
        <f t="shared" si="12"/>
        <v>33.789050002951186</v>
      </c>
      <c r="CB10" s="2">
        <f t="shared" si="13"/>
        <v>2.5061850841723299E-2</v>
      </c>
    </row>
    <row r="11" spans="1:80" x14ac:dyDescent="0.2">
      <c r="A11" s="13">
        <v>44251.820648148147</v>
      </c>
      <c r="B11">
        <v>27818</v>
      </c>
      <c r="C11">
        <v>11</v>
      </c>
      <c r="D11" t="s">
        <v>104</v>
      </c>
      <c r="F11">
        <v>6.4379999999999997</v>
      </c>
      <c r="G11">
        <v>5</v>
      </c>
      <c r="H11">
        <v>328.3</v>
      </c>
      <c r="I11">
        <v>89</v>
      </c>
      <c r="J11">
        <v>1.4</v>
      </c>
      <c r="K11">
        <v>1.8</v>
      </c>
      <c r="L11">
        <v>2.2999999999999998</v>
      </c>
      <c r="M11">
        <v>3208</v>
      </c>
      <c r="N11">
        <v>3782</v>
      </c>
      <c r="O11">
        <v>4634</v>
      </c>
      <c r="P11">
        <v>58.691000000000003</v>
      </c>
      <c r="Q11">
        <v>57.76</v>
      </c>
      <c r="R11">
        <v>0.68</v>
      </c>
      <c r="S11">
        <v>0.251</v>
      </c>
      <c r="U11">
        <v>1.0770839999999999</v>
      </c>
      <c r="V11">
        <v>-26.125</v>
      </c>
      <c r="W11" s="1"/>
      <c r="X11" s="5">
        <f t="shared" si="0"/>
        <v>-31.242312478738665</v>
      </c>
      <c r="Y11" s="11">
        <f t="shared" si="1"/>
        <v>0.46912001086457167</v>
      </c>
      <c r="Z11" s="11">
        <f t="shared" si="2"/>
        <v>-26.400529820306929</v>
      </c>
      <c r="AC11" s="1"/>
      <c r="AD11">
        <v>27911</v>
      </c>
      <c r="AE11" t="s">
        <v>12</v>
      </c>
      <c r="AF11">
        <v>-31.869</v>
      </c>
      <c r="AQ11" s="5"/>
      <c r="AR11" s="5" t="str">
        <f>IF(ISBLANK(AO11),"",VLOOKUP(AO11,refs[#All],5,FALSE))</f>
        <v/>
      </c>
      <c r="AS11" s="2" t="str">
        <f t="shared" si="3"/>
        <v/>
      </c>
      <c r="AT11" s="2" t="str">
        <f t="shared" si="4"/>
        <v/>
      </c>
      <c r="BC11" s="11"/>
      <c r="BD11" s="11"/>
      <c r="BN11">
        <v>27869</v>
      </c>
      <c r="BO11" t="s">
        <v>11</v>
      </c>
      <c r="BP11">
        <v>95.257999999999996</v>
      </c>
      <c r="BQ11">
        <v>-41.043999999999997</v>
      </c>
      <c r="BR11" s="5">
        <v>-46.170694279601975</v>
      </c>
      <c r="BS11" s="11">
        <v>0.63124602762241011</v>
      </c>
      <c r="BT11" s="11">
        <v>-41.603668868095042</v>
      </c>
      <c r="BU11">
        <v>27869</v>
      </c>
      <c r="BV11">
        <v>227086</v>
      </c>
      <c r="BW11" t="b">
        <f t="shared" si="5"/>
        <v>1</v>
      </c>
      <c r="BX11" s="2">
        <f>IF(ISBLANK(BO11),"",VLOOKUP(BO11,refs[#All],5,FALSE))</f>
        <v>-41.61</v>
      </c>
      <c r="BY11" s="2">
        <f t="shared" si="10"/>
        <v>0.5905737747682327</v>
      </c>
      <c r="BZ11" s="2">
        <f t="shared" si="11"/>
        <v>-4.7587039510031959</v>
      </c>
      <c r="CA11" s="2">
        <f t="shared" si="12"/>
        <v>44.07521575519624</v>
      </c>
      <c r="CB11" s="2">
        <f t="shared" si="13"/>
        <v>6.606007893372734E-3</v>
      </c>
    </row>
    <row r="12" spans="1:80" x14ac:dyDescent="0.2">
      <c r="A12" s="13">
        <v>44251.827986111108</v>
      </c>
      <c r="B12">
        <v>27819</v>
      </c>
      <c r="C12">
        <v>12</v>
      </c>
      <c r="D12" t="s">
        <v>105</v>
      </c>
      <c r="F12">
        <v>6.3029999999999999</v>
      </c>
      <c r="G12">
        <v>5</v>
      </c>
      <c r="H12">
        <v>326</v>
      </c>
      <c r="I12">
        <v>89</v>
      </c>
      <c r="J12">
        <v>1.3</v>
      </c>
      <c r="K12">
        <v>1.7</v>
      </c>
      <c r="L12">
        <v>2.2000000000000002</v>
      </c>
      <c r="M12">
        <v>5255</v>
      </c>
      <c r="N12">
        <v>6210</v>
      </c>
      <c r="O12">
        <v>7563</v>
      </c>
      <c r="P12">
        <v>99.659000000000006</v>
      </c>
      <c r="Q12">
        <v>98.078999999999994</v>
      </c>
      <c r="R12">
        <v>1.1559999999999999</v>
      </c>
      <c r="S12">
        <v>0.42399999999999999</v>
      </c>
      <c r="U12">
        <v>1.0788070000000001</v>
      </c>
      <c r="V12">
        <v>-24.55</v>
      </c>
      <c r="W12" s="1"/>
      <c r="X12" s="5">
        <f t="shared" si="0"/>
        <v>-29.667496435618336</v>
      </c>
      <c r="Y12" s="11">
        <f t="shared" si="1"/>
        <v>0.64552132236622128</v>
      </c>
      <c r="Z12" s="11">
        <f t="shared" si="2"/>
        <v>-24.7963589786184</v>
      </c>
      <c r="AC12" s="1"/>
      <c r="AD12">
        <v>27922</v>
      </c>
      <c r="AE12" t="s">
        <v>12</v>
      </c>
      <c r="AF12">
        <v>-31.777999999999999</v>
      </c>
      <c r="AQ12" s="5"/>
      <c r="AR12" s="5" t="str">
        <f>IF(ISBLANK(AO12),"",VLOOKUP(AO12,refs[#All],5,FALSE))</f>
        <v/>
      </c>
      <c r="AS12" s="2" t="str">
        <f t="shared" si="3"/>
        <v/>
      </c>
      <c r="AT12" s="2" t="str">
        <f t="shared" si="4"/>
        <v/>
      </c>
      <c r="BC12" s="11"/>
      <c r="BD12" s="11"/>
      <c r="BN12">
        <v>27870</v>
      </c>
      <c r="BO12" t="s">
        <v>13</v>
      </c>
      <c r="BP12">
        <v>106.111</v>
      </c>
      <c r="BQ12">
        <v>-11.35</v>
      </c>
      <c r="BR12" s="5">
        <v>-16.47687823648165</v>
      </c>
      <c r="BS12" s="11">
        <v>0.67611126582653469</v>
      </c>
      <c r="BT12" s="11">
        <v>-11.357089801721372</v>
      </c>
      <c r="BU12">
        <v>27870</v>
      </c>
      <c r="BV12">
        <v>603461</v>
      </c>
      <c r="BW12" t="b">
        <f t="shared" si="5"/>
        <v>1</v>
      </c>
      <c r="BX12" s="2">
        <f>IF(ISBLANK(BO12),"",VLOOKUP(BO12,refs[#All],5,FALSE))</f>
        <v>-11.38</v>
      </c>
      <c r="BY12" s="2">
        <f t="shared" si="10"/>
        <v>3.034532985379812E-2</v>
      </c>
      <c r="BZ12" s="2">
        <f t="shared" si="11"/>
        <v>-5.1555483770120425</v>
      </c>
      <c r="CA12" s="2">
        <f t="shared" si="12"/>
        <v>12.194889103828155</v>
      </c>
      <c r="CB12" s="2">
        <f t="shared" si="13"/>
        <v>2.3173917459207161E-2</v>
      </c>
    </row>
    <row r="13" spans="1:80" x14ac:dyDescent="0.2">
      <c r="A13" s="13">
        <v>44251.835312499999</v>
      </c>
      <c r="B13">
        <v>27820</v>
      </c>
      <c r="C13">
        <v>13</v>
      </c>
      <c r="D13" t="s">
        <v>106</v>
      </c>
      <c r="F13">
        <v>5.7480000000000002</v>
      </c>
      <c r="G13">
        <v>5</v>
      </c>
      <c r="H13">
        <v>326.7</v>
      </c>
      <c r="I13">
        <v>89</v>
      </c>
      <c r="J13">
        <v>1.3</v>
      </c>
      <c r="K13">
        <v>1.7</v>
      </c>
      <c r="L13">
        <v>2.2000000000000002</v>
      </c>
      <c r="M13">
        <v>4583</v>
      </c>
      <c r="N13">
        <v>5407</v>
      </c>
      <c r="O13">
        <v>6602</v>
      </c>
      <c r="P13">
        <v>85.756</v>
      </c>
      <c r="Q13">
        <v>84.397999999999996</v>
      </c>
      <c r="R13">
        <v>0.99299999999999999</v>
      </c>
      <c r="S13">
        <v>0.36499999999999999</v>
      </c>
      <c r="U13">
        <v>1.077013</v>
      </c>
      <c r="V13">
        <v>-26.19</v>
      </c>
      <c r="W13" s="1"/>
      <c r="X13" s="5">
        <f t="shared" si="0"/>
        <v>-31.30768039249801</v>
      </c>
      <c r="Y13" s="11">
        <f t="shared" si="1"/>
        <v>0.58536120426197158</v>
      </c>
      <c r="Z13" s="11">
        <f t="shared" si="2"/>
        <v>-26.467114673620586</v>
      </c>
      <c r="AC13" s="1"/>
      <c r="AD13">
        <v>27931</v>
      </c>
      <c r="AE13" t="s">
        <v>12</v>
      </c>
      <c r="AF13">
        <v>-31.786999999999999</v>
      </c>
      <c r="AN13" s="1"/>
      <c r="AO13" s="1"/>
      <c r="AP13" s="12"/>
      <c r="AQ13" s="12"/>
      <c r="AR13" s="5" t="str">
        <f>IF(ISBLANK(AO13),"",VLOOKUP(AO13,refs[#All],5,FALSE))</f>
        <v/>
      </c>
      <c r="AS13" s="2" t="str">
        <f t="shared" si="3"/>
        <v/>
      </c>
      <c r="AT13" s="2" t="str">
        <f t="shared" si="4"/>
        <v/>
      </c>
      <c r="BC13" s="11"/>
      <c r="BD13" s="11"/>
      <c r="BN13">
        <v>27871</v>
      </c>
      <c r="BO13" t="s">
        <v>14</v>
      </c>
      <c r="BP13">
        <v>101.34399999999999</v>
      </c>
      <c r="BQ13">
        <v>-29.015999999999998</v>
      </c>
      <c r="BR13" s="5">
        <v>-34.143062193361324</v>
      </c>
      <c r="BS13" s="11">
        <v>0.65571796622384682</v>
      </c>
      <c r="BT13" s="11">
        <v>-29.355164937556765</v>
      </c>
      <c r="BU13">
        <v>27871</v>
      </c>
      <c r="BV13">
        <v>577165</v>
      </c>
      <c r="BW13" t="b">
        <f t="shared" si="5"/>
        <v>1</v>
      </c>
      <c r="BX13" s="2">
        <f>IF(ISBLANK(BO13),"",VLOOKUP(BO13,refs[#All],5,FALSE))</f>
        <v>-29.21</v>
      </c>
      <c r="BY13" s="2">
        <f t="shared" si="10"/>
        <v>0.199837245954404</v>
      </c>
      <c r="BZ13" s="2">
        <f t="shared" si="11"/>
        <v>-5.0814925919727694</v>
      </c>
      <c r="CA13" s="2">
        <f t="shared" si="12"/>
        <v>30.764344468138248</v>
      </c>
      <c r="CB13" s="2">
        <f t="shared" si="13"/>
        <v>-0.14953279036322709</v>
      </c>
    </row>
    <row r="14" spans="1:80" x14ac:dyDescent="0.2">
      <c r="A14" s="13">
        <v>44251.842638888891</v>
      </c>
      <c r="B14">
        <v>27821</v>
      </c>
      <c r="C14">
        <v>14</v>
      </c>
      <c r="D14" t="s">
        <v>107</v>
      </c>
      <c r="F14">
        <v>5.915</v>
      </c>
      <c r="G14">
        <v>5</v>
      </c>
      <c r="H14">
        <v>347.1</v>
      </c>
      <c r="I14">
        <v>79</v>
      </c>
      <c r="J14">
        <v>2.1</v>
      </c>
      <c r="K14">
        <v>2.7</v>
      </c>
      <c r="L14">
        <v>3.3</v>
      </c>
      <c r="M14">
        <v>4518</v>
      </c>
      <c r="N14">
        <v>5325</v>
      </c>
      <c r="O14">
        <v>6541</v>
      </c>
      <c r="P14">
        <v>122.131</v>
      </c>
      <c r="Q14">
        <v>120.194</v>
      </c>
      <c r="R14">
        <v>1.415</v>
      </c>
      <c r="S14">
        <v>0.52300000000000002</v>
      </c>
      <c r="U14">
        <v>1.0770839999999999</v>
      </c>
      <c r="V14">
        <v>-26.126000000000001</v>
      </c>
      <c r="W14" s="1"/>
      <c r="X14" s="5">
        <f t="shared" si="0"/>
        <v>-31.243864349377684</v>
      </c>
      <c r="Y14" s="11">
        <f t="shared" si="1"/>
        <v>0.74646827112337633</v>
      </c>
      <c r="Z14" s="11">
        <f t="shared" si="2"/>
        <v>-26.402110583179137</v>
      </c>
      <c r="AD14">
        <v>27932</v>
      </c>
      <c r="AE14" t="s">
        <v>12</v>
      </c>
      <c r="AF14">
        <v>-31.884</v>
      </c>
      <c r="AP14" s="5"/>
      <c r="AQ14" s="5"/>
      <c r="AR14" s="5" t="str">
        <f>IF(ISBLANK(AO14),"",VLOOKUP(AO14,refs[#All],5,FALSE))</f>
        <v/>
      </c>
      <c r="AS14" s="2" t="str">
        <f t="shared" si="3"/>
        <v/>
      </c>
      <c r="AT14" s="2" t="str">
        <f t="shared" si="4"/>
        <v/>
      </c>
      <c r="BA14" s="1"/>
      <c r="BB14" s="14"/>
      <c r="BC14" s="11"/>
      <c r="BD14" s="11"/>
      <c r="BN14">
        <v>27878</v>
      </c>
      <c r="BO14" t="s">
        <v>12</v>
      </c>
      <c r="BP14">
        <v>72.731999999999999</v>
      </c>
      <c r="BQ14">
        <v>-31.794</v>
      </c>
      <c r="BR14" s="5">
        <v>-36.922349891519033</v>
      </c>
      <c r="BS14" s="11">
        <v>0.52927986245515513</v>
      </c>
      <c r="BT14" s="11">
        <v>-32.185856792131858</v>
      </c>
      <c r="BU14">
        <v>27878</v>
      </c>
      <c r="BV14">
        <v>1215117</v>
      </c>
      <c r="BW14" t="b">
        <f t="shared" si="5"/>
        <v>1</v>
      </c>
      <c r="BX14" s="2">
        <f>IF(ISBLANK(BO14),"",VLOOKUP(BO14,refs[#All],5,FALSE))</f>
        <v>-32.15</v>
      </c>
      <c r="BY14" s="2">
        <f t="shared" si="10"/>
        <v>0.36782559280879035</v>
      </c>
      <c r="BZ14" s="2">
        <f t="shared" si="11"/>
        <v>-4.9308776065702942</v>
      </c>
      <c r="CA14" s="2">
        <f t="shared" si="12"/>
        <v>33.764818786439221</v>
      </c>
      <c r="CB14" s="2">
        <f t="shared" si="13"/>
        <v>-3.7047881522811466E-2</v>
      </c>
    </row>
    <row r="15" spans="1:80" x14ac:dyDescent="0.2">
      <c r="A15" s="13">
        <v>44251.849965277775</v>
      </c>
      <c r="B15">
        <v>27822</v>
      </c>
      <c r="C15">
        <v>15</v>
      </c>
      <c r="D15" t="s">
        <v>108</v>
      </c>
      <c r="F15">
        <v>5.6639999999999997</v>
      </c>
      <c r="G15">
        <v>5</v>
      </c>
      <c r="H15">
        <v>326.2</v>
      </c>
      <c r="I15">
        <v>89</v>
      </c>
      <c r="J15">
        <v>1.3</v>
      </c>
      <c r="K15">
        <v>1.8</v>
      </c>
      <c r="L15">
        <v>2.2999999999999998</v>
      </c>
      <c r="M15">
        <v>5011</v>
      </c>
      <c r="N15">
        <v>5922</v>
      </c>
      <c r="O15">
        <v>7208</v>
      </c>
      <c r="P15">
        <v>94.445999999999998</v>
      </c>
      <c r="Q15">
        <v>92.947999999999993</v>
      </c>
      <c r="R15">
        <v>1.0960000000000001</v>
      </c>
      <c r="S15">
        <v>0.40200000000000002</v>
      </c>
      <c r="U15">
        <v>1.078902</v>
      </c>
      <c r="V15">
        <v>-24.463000000000001</v>
      </c>
      <c r="W15" s="1"/>
      <c r="X15" s="5">
        <f t="shared" si="0"/>
        <v>-29.581048306257358</v>
      </c>
      <c r="Y15" s="11">
        <f t="shared" si="1"/>
        <v>0.62308871982736491</v>
      </c>
      <c r="Z15" s="11">
        <f t="shared" si="2"/>
        <v>-24.708297397122237</v>
      </c>
      <c r="AD15" s="1"/>
      <c r="AE15" s="14"/>
      <c r="AF15" s="14"/>
      <c r="AP15" s="5"/>
      <c r="AQ15" s="5"/>
      <c r="AR15" s="5" t="str">
        <f>IF(ISBLANK(AO15),"",VLOOKUP(AO15,refs[#All],5,FALSE))</f>
        <v/>
      </c>
      <c r="AS15" s="2" t="str">
        <f t="shared" si="3"/>
        <v/>
      </c>
      <c r="AT15" s="2" t="str">
        <f t="shared" si="4"/>
        <v/>
      </c>
      <c r="BA15" s="1"/>
      <c r="BB15" s="14"/>
      <c r="BC15" s="11"/>
      <c r="BD15" s="11"/>
      <c r="BN15">
        <v>27889</v>
      </c>
      <c r="BO15" t="s">
        <v>12</v>
      </c>
      <c r="BP15">
        <v>74.894999999999996</v>
      </c>
      <c r="BQ15">
        <v>-31.835999999999999</v>
      </c>
      <c r="BR15" s="5">
        <v>-36.966373417195435</v>
      </c>
      <c r="BS15" s="11">
        <v>0.53845680109407112</v>
      </c>
      <c r="BT15" s="11">
        <v>-32.230692781654739</v>
      </c>
      <c r="BU15">
        <v>27889</v>
      </c>
      <c r="BV15">
        <v>1243322</v>
      </c>
      <c r="BW15" t="b">
        <f t="shared" si="5"/>
        <v>1</v>
      </c>
      <c r="BX15" s="2">
        <f>IF(ISBLANK(BO15),"",VLOOKUP(BO15,refs[#All],5,FALSE))</f>
        <v>-32.15</v>
      </c>
      <c r="BY15" s="2">
        <f t="shared" si="10"/>
        <v>0.32443043860097553</v>
      </c>
      <c r="BZ15" s="2">
        <f t="shared" si="11"/>
        <v>-4.9763635038440057</v>
      </c>
      <c r="CA15" s="2">
        <f t="shared" si="12"/>
        <v>33.774300564234139</v>
      </c>
      <c r="CB15" s="2">
        <f t="shared" si="13"/>
        <v>-8.3373231032468631E-2</v>
      </c>
    </row>
    <row r="16" spans="1:80" x14ac:dyDescent="0.2">
      <c r="A16" s="13">
        <v>44251.857291666667</v>
      </c>
      <c r="B16">
        <v>27823</v>
      </c>
      <c r="C16">
        <v>16</v>
      </c>
      <c r="D16" t="s">
        <v>12</v>
      </c>
      <c r="G16">
        <v>5</v>
      </c>
      <c r="H16">
        <v>326</v>
      </c>
      <c r="I16">
        <v>89</v>
      </c>
      <c r="J16">
        <v>1.2</v>
      </c>
      <c r="K16">
        <v>1.6</v>
      </c>
      <c r="L16">
        <v>2.2000000000000002</v>
      </c>
      <c r="M16">
        <v>4087</v>
      </c>
      <c r="N16">
        <v>4794</v>
      </c>
      <c r="O16">
        <v>5890</v>
      </c>
      <c r="P16">
        <v>75.483999999999995</v>
      </c>
      <c r="Q16">
        <v>74.292000000000002</v>
      </c>
      <c r="R16">
        <v>0.87</v>
      </c>
      <c r="S16">
        <v>0.32200000000000001</v>
      </c>
      <c r="U16">
        <v>1.070832</v>
      </c>
      <c r="V16">
        <v>-31.838999999999999</v>
      </c>
      <c r="W16" s="1"/>
      <c r="X16" s="5">
        <f t="shared" si="0"/>
        <v>-36.95723226313703</v>
      </c>
      <c r="Y16" s="11">
        <f t="shared" si="1"/>
        <v>0.54151578135360978</v>
      </c>
      <c r="Z16" s="11">
        <f t="shared" si="2"/>
        <v>-32.221382930130858</v>
      </c>
      <c r="AD16" s="1"/>
      <c r="AE16" s="14"/>
      <c r="AF16" s="14"/>
      <c r="AP16" s="5"/>
      <c r="AQ16" s="5"/>
      <c r="AR16" s="5"/>
      <c r="AS16" s="5"/>
      <c r="AT16" s="5"/>
      <c r="BA16" s="1"/>
      <c r="BB16" s="14"/>
      <c r="BC16" s="11"/>
      <c r="BD16" s="11"/>
      <c r="BN16">
        <v>27900</v>
      </c>
      <c r="BO16" t="s">
        <v>12</v>
      </c>
      <c r="BP16">
        <v>76.497</v>
      </c>
      <c r="BQ16">
        <v>-31.814</v>
      </c>
      <c r="BR16" s="5">
        <v>-36.946396942871836</v>
      </c>
      <c r="BS16" s="11">
        <v>0.54559442225433941</v>
      </c>
      <c r="BT16" s="11">
        <v>-32.210347643948467</v>
      </c>
      <c r="BU16">
        <v>27900</v>
      </c>
      <c r="BV16">
        <v>1272400</v>
      </c>
      <c r="BW16" t="b">
        <f t="shared" si="5"/>
        <v>1</v>
      </c>
      <c r="BX16" s="2">
        <f>IF(ISBLANK(BO16),"",VLOOKUP(BO16,refs[#All],5,FALSE))</f>
        <v>-32.15</v>
      </c>
      <c r="BY16" s="2">
        <f t="shared" si="10"/>
        <v>0.34716123366229645</v>
      </c>
      <c r="BZ16" s="2">
        <f t="shared" si="11"/>
        <v>-4.9557234518488036</v>
      </c>
      <c r="CA16" s="2">
        <f t="shared" si="12"/>
        <v>33.781675282589461</v>
      </c>
      <c r="CB16" s="2">
        <f t="shared" si="13"/>
        <v>-6.2352269409982064E-2</v>
      </c>
    </row>
    <row r="17" spans="1:80" x14ac:dyDescent="0.2">
      <c r="A17" s="13">
        <v>44251.864618055559</v>
      </c>
      <c r="B17">
        <v>27824</v>
      </c>
      <c r="C17">
        <v>17</v>
      </c>
      <c r="D17" t="s">
        <v>109</v>
      </c>
      <c r="F17">
        <v>5.9850000000000003</v>
      </c>
      <c r="G17">
        <v>5</v>
      </c>
      <c r="H17">
        <v>325.60000000000002</v>
      </c>
      <c r="I17">
        <v>89</v>
      </c>
      <c r="J17">
        <v>1.3</v>
      </c>
      <c r="K17">
        <v>1.7</v>
      </c>
      <c r="L17">
        <v>2.2999999999999998</v>
      </c>
      <c r="M17">
        <v>5638</v>
      </c>
      <c r="N17">
        <v>6657</v>
      </c>
      <c r="O17">
        <v>8094</v>
      </c>
      <c r="P17">
        <v>107.71599999999999</v>
      </c>
      <c r="Q17">
        <v>106.01</v>
      </c>
      <c r="R17">
        <v>1.248</v>
      </c>
      <c r="S17">
        <v>0.45700000000000002</v>
      </c>
      <c r="U17">
        <v>1.077807</v>
      </c>
      <c r="V17">
        <v>-25.463999999999999</v>
      </c>
      <c r="W17" s="1"/>
      <c r="X17" s="5">
        <f t="shared" si="0"/>
        <v>-30.5824162200167</v>
      </c>
      <c r="Y17" s="11">
        <f t="shared" si="1"/>
        <v>0.67917026213387999</v>
      </c>
      <c r="Z17" s="11">
        <f t="shared" si="2"/>
        <v>-25.728341603440981</v>
      </c>
      <c r="AD17" s="1"/>
      <c r="AE17" s="14"/>
      <c r="AF17" s="14"/>
      <c r="AP17" s="5"/>
      <c r="AQ17" s="5"/>
      <c r="AR17" s="5"/>
      <c r="AS17" s="5"/>
      <c r="AT17" s="5"/>
      <c r="BA17" s="1"/>
      <c r="BB17" s="14"/>
      <c r="BC17" s="11"/>
      <c r="BD17" s="11"/>
      <c r="BN17">
        <v>27911</v>
      </c>
      <c r="BO17" t="s">
        <v>12</v>
      </c>
      <c r="BP17">
        <v>77.349999999999994</v>
      </c>
      <c r="BQ17">
        <v>-31.869</v>
      </c>
      <c r="BR17" s="5">
        <v>-37.003420468548235</v>
      </c>
      <c r="BS17" s="11">
        <v>0.54967306378910052</v>
      </c>
      <c r="BT17" s="11">
        <v>-32.268423501699203</v>
      </c>
      <c r="BU17">
        <v>27911</v>
      </c>
      <c r="BV17">
        <v>1286281</v>
      </c>
      <c r="BW17" t="b">
        <f t="shared" si="5"/>
        <v>1</v>
      </c>
      <c r="BX17" s="2">
        <f>IF(ISBLANK(BO17),"",VLOOKUP(BO17,refs[#All],5,FALSE))</f>
        <v>-32.15</v>
      </c>
      <c r="BY17" s="2">
        <f t="shared" si="10"/>
        <v>0.2903342460092162</v>
      </c>
      <c r="BZ17" s="2">
        <f t="shared" si="11"/>
        <v>-5.0146411825677806</v>
      </c>
      <c r="CA17" s="2">
        <f t="shared" si="12"/>
        <v>33.785889408264765</v>
      </c>
      <c r="CB17" s="2">
        <f t="shared" si="13"/>
        <v>-0.12235728852527661</v>
      </c>
    </row>
    <row r="18" spans="1:80" x14ac:dyDescent="0.2">
      <c r="A18" s="13">
        <v>44251.87195601852</v>
      </c>
      <c r="B18">
        <v>27825</v>
      </c>
      <c r="C18">
        <v>18</v>
      </c>
      <c r="D18" t="s">
        <v>110</v>
      </c>
      <c r="F18">
        <v>6.0289999999999999</v>
      </c>
      <c r="G18">
        <v>5</v>
      </c>
      <c r="H18">
        <v>325.39999999999998</v>
      </c>
      <c r="I18">
        <v>94</v>
      </c>
      <c r="J18">
        <v>1.2</v>
      </c>
      <c r="K18">
        <v>1.6</v>
      </c>
      <c r="L18">
        <v>2.2000000000000002</v>
      </c>
      <c r="M18">
        <v>2084</v>
      </c>
      <c r="N18">
        <v>2465</v>
      </c>
      <c r="O18">
        <v>2987</v>
      </c>
      <c r="P18">
        <v>41.258000000000003</v>
      </c>
      <c r="Q18">
        <v>40.604999999999997</v>
      </c>
      <c r="R18">
        <v>0.47799999999999998</v>
      </c>
      <c r="S18">
        <v>0.17499999999999999</v>
      </c>
      <c r="U18">
        <v>1.0786249999999999</v>
      </c>
      <c r="V18">
        <v>-24.716999999999999</v>
      </c>
      <c r="W18" s="1"/>
      <c r="X18" s="5">
        <f t="shared" si="0"/>
        <v>-29.835600176896371</v>
      </c>
      <c r="Y18" s="11">
        <f t="shared" si="1"/>
        <v>0.39162616801991135</v>
      </c>
      <c r="Z18" s="11">
        <f t="shared" si="2"/>
        <v>-24.9675995677012</v>
      </c>
      <c r="AD18" s="1"/>
      <c r="AE18" s="14"/>
      <c r="AF18" s="14"/>
      <c r="AP18" s="5"/>
      <c r="AQ18" s="5"/>
      <c r="AR18" s="5"/>
      <c r="AS18" s="5"/>
      <c r="AT18" s="5"/>
      <c r="BA18" s="1"/>
      <c r="BB18" s="14"/>
      <c r="BC18" s="11"/>
      <c r="BD18" s="11"/>
      <c r="BN18">
        <v>27922</v>
      </c>
      <c r="BO18" t="s">
        <v>12</v>
      </c>
      <c r="BP18">
        <v>78.882000000000005</v>
      </c>
      <c r="BQ18">
        <v>-31.777999999999999</v>
      </c>
      <c r="BR18" s="5">
        <v>-36.914443994224634</v>
      </c>
      <c r="BS18" s="11">
        <v>0.55579102727995178</v>
      </c>
      <c r="BT18" s="11">
        <v>-32.177804983915621</v>
      </c>
      <c r="BU18">
        <v>27922</v>
      </c>
      <c r="BV18">
        <v>1320928</v>
      </c>
      <c r="BW18" t="b">
        <f t="shared" si="5"/>
        <v>1</v>
      </c>
      <c r="BX18" s="2">
        <f>IF(ISBLANK(BO18),"",VLOOKUP(BO18,refs[#All],5,FALSE))</f>
        <v>-32.15</v>
      </c>
      <c r="BY18" s="2">
        <f t="shared" si="10"/>
        <v>0.38435708012607428</v>
      </c>
      <c r="BZ18" s="2">
        <f t="shared" si="11"/>
        <v>-4.9227090915169303</v>
      </c>
      <c r="CA18" s="2">
        <f t="shared" si="12"/>
        <v>33.792210598005745</v>
      </c>
      <c r="CB18" s="2">
        <f t="shared" si="13"/>
        <v>-2.8728608684858159E-2</v>
      </c>
    </row>
    <row r="19" spans="1:80" x14ac:dyDescent="0.2">
      <c r="A19" s="13">
        <v>44251.879282407404</v>
      </c>
      <c r="B19">
        <v>27826</v>
      </c>
      <c r="C19">
        <v>19</v>
      </c>
      <c r="D19" t="s">
        <v>111</v>
      </c>
      <c r="F19">
        <v>5.8079999999999998</v>
      </c>
      <c r="G19">
        <v>5</v>
      </c>
      <c r="H19">
        <v>327.5</v>
      </c>
      <c r="I19">
        <v>89</v>
      </c>
      <c r="J19">
        <v>1.5</v>
      </c>
      <c r="K19">
        <v>1.9</v>
      </c>
      <c r="L19">
        <v>2.5</v>
      </c>
      <c r="M19">
        <v>3695</v>
      </c>
      <c r="N19">
        <v>4359</v>
      </c>
      <c r="O19">
        <v>5326</v>
      </c>
      <c r="P19">
        <v>68.161000000000001</v>
      </c>
      <c r="Q19">
        <v>67.081000000000003</v>
      </c>
      <c r="R19">
        <v>0.79</v>
      </c>
      <c r="S19">
        <v>0.29099999999999998</v>
      </c>
      <c r="U19">
        <v>1.0774490000000001</v>
      </c>
      <c r="V19">
        <v>-25.791</v>
      </c>
      <c r="W19" s="1"/>
      <c r="X19" s="5">
        <f t="shared" si="0"/>
        <v>-30.909784133776046</v>
      </c>
      <c r="Y19" s="11">
        <f t="shared" si="1"/>
        <v>0.50990633586889089</v>
      </c>
      <c r="Z19" s="11">
        <f t="shared" si="2"/>
        <v>-26.061808985534071</v>
      </c>
      <c r="AP19" s="5"/>
      <c r="AQ19" s="5"/>
      <c r="AR19" s="5"/>
      <c r="AS19" s="5"/>
      <c r="AT19" s="5"/>
      <c r="BC19" s="5"/>
      <c r="BD19" s="5"/>
      <c r="BN19">
        <v>27928</v>
      </c>
      <c r="BO19" t="s">
        <v>11</v>
      </c>
      <c r="BP19">
        <v>102.80800000000001</v>
      </c>
      <c r="BQ19">
        <v>-41.05</v>
      </c>
      <c r="BR19" s="5">
        <v>-46.187547735502669</v>
      </c>
      <c r="BS19" s="11">
        <v>0.66489494908353208</v>
      </c>
      <c r="BT19" s="11">
        <v>-41.620828924622401</v>
      </c>
      <c r="BU19">
        <v>27928</v>
      </c>
      <c r="BV19">
        <v>245752</v>
      </c>
      <c r="BW19" t="b">
        <f t="shared" si="5"/>
        <v>1</v>
      </c>
      <c r="BX19" s="2">
        <f>IF(ISBLANK(BO19),"",VLOOKUP(BO19,refs[#All],5,FALSE))</f>
        <v>-41.61</v>
      </c>
      <c r="BY19" s="2">
        <f t="shared" si="10"/>
        <v>0.58431327538910338</v>
      </c>
      <c r="BZ19" s="2">
        <f t="shared" si="11"/>
        <v>-4.7762891260371143</v>
      </c>
      <c r="CA19" s="2">
        <f t="shared" si="12"/>
        <v>44.110325597182197</v>
      </c>
      <c r="CB19" s="2">
        <f t="shared" si="13"/>
        <v>-1.1299079312632188E-2</v>
      </c>
    </row>
    <row r="20" spans="1:80" x14ac:dyDescent="0.2">
      <c r="A20" s="13">
        <v>44251.886608796296</v>
      </c>
      <c r="B20">
        <v>27827</v>
      </c>
      <c r="C20">
        <v>20</v>
      </c>
      <c r="D20" t="s">
        <v>112</v>
      </c>
      <c r="F20">
        <v>5.9530000000000003</v>
      </c>
      <c r="G20">
        <v>5</v>
      </c>
      <c r="H20">
        <v>325.60000000000002</v>
      </c>
      <c r="I20">
        <v>89</v>
      </c>
      <c r="J20">
        <v>1.4</v>
      </c>
      <c r="K20">
        <v>1.8</v>
      </c>
      <c r="L20">
        <v>2.4</v>
      </c>
      <c r="M20">
        <v>5325</v>
      </c>
      <c r="N20">
        <v>6284</v>
      </c>
      <c r="O20">
        <v>7655</v>
      </c>
      <c r="P20">
        <v>100.869</v>
      </c>
      <c r="Q20">
        <v>99.272000000000006</v>
      </c>
      <c r="R20">
        <v>1.1679999999999999</v>
      </c>
      <c r="S20">
        <v>0.42899999999999999</v>
      </c>
      <c r="U20">
        <v>1.077161</v>
      </c>
      <c r="V20">
        <v>-26.055</v>
      </c>
      <c r="W20" s="1"/>
      <c r="X20" s="5">
        <f t="shared" si="0"/>
        <v>-31.17396809065572</v>
      </c>
      <c r="Y20" s="11">
        <f t="shared" si="1"/>
        <v>0.6506196437997005</v>
      </c>
      <c r="Z20" s="11">
        <f t="shared" si="2"/>
        <v>-26.330912950106267</v>
      </c>
      <c r="AP20" s="5"/>
      <c r="AQ20" s="5"/>
      <c r="AR20" s="5"/>
      <c r="AS20" s="5"/>
      <c r="AT20" s="5"/>
      <c r="BC20" s="5"/>
      <c r="BD20" s="5"/>
      <c r="BN20">
        <v>27929</v>
      </c>
      <c r="BO20" t="s">
        <v>13</v>
      </c>
      <c r="BP20">
        <v>95.522999999999996</v>
      </c>
      <c r="BQ20">
        <v>-11.406000000000001</v>
      </c>
      <c r="BR20" s="5">
        <v>-16.543731692382348</v>
      </c>
      <c r="BS20" s="11">
        <v>0.63124602762241011</v>
      </c>
      <c r="BT20" s="11">
        <v>-11.425215992457197</v>
      </c>
      <c r="BU20">
        <v>27929</v>
      </c>
      <c r="BV20">
        <v>550063</v>
      </c>
      <c r="BW20" t="b">
        <f t="shared" si="5"/>
        <v>1</v>
      </c>
      <c r="BX20" s="2">
        <f>IF(ISBLANK(BO20),"",VLOOKUP(BO20,refs[#All],5,FALSE))</f>
        <v>-11.38</v>
      </c>
      <c r="BY20" s="2">
        <f t="shared" si="10"/>
        <v>-2.6299285873165879E-2</v>
      </c>
      <c r="BZ20" s="2">
        <f t="shared" si="11"/>
        <v>-5.2231713827176618</v>
      </c>
      <c r="CA20" s="2">
        <f t="shared" si="12"/>
        <v>12.149507422085648</v>
      </c>
      <c r="CB20" s="2">
        <f t="shared" si="13"/>
        <v>-4.5736473525903598E-2</v>
      </c>
    </row>
    <row r="21" spans="1:80" x14ac:dyDescent="0.2">
      <c r="A21" s="13">
        <v>44251.893935185188</v>
      </c>
      <c r="B21">
        <v>27828</v>
      </c>
      <c r="C21">
        <v>21</v>
      </c>
      <c r="D21" t="s">
        <v>113</v>
      </c>
      <c r="F21">
        <v>5.6909999999999998</v>
      </c>
      <c r="G21">
        <v>5</v>
      </c>
      <c r="H21">
        <v>325.60000000000002</v>
      </c>
      <c r="I21">
        <v>89</v>
      </c>
      <c r="J21">
        <v>1.4</v>
      </c>
      <c r="K21">
        <v>1.8</v>
      </c>
      <c r="L21">
        <v>2.4</v>
      </c>
      <c r="M21">
        <v>5345</v>
      </c>
      <c r="N21">
        <v>6310</v>
      </c>
      <c r="O21">
        <v>7687</v>
      </c>
      <c r="P21">
        <v>101.431</v>
      </c>
      <c r="Q21">
        <v>99.823999999999998</v>
      </c>
      <c r="R21">
        <v>1.175</v>
      </c>
      <c r="S21">
        <v>0.43099999999999999</v>
      </c>
      <c r="U21">
        <v>1.077388</v>
      </c>
      <c r="V21">
        <v>-25.847000000000001</v>
      </c>
      <c r="W21" s="1"/>
      <c r="X21" s="5">
        <f t="shared" si="0"/>
        <v>-30.966152047535395</v>
      </c>
      <c r="Y21" s="11">
        <f t="shared" si="1"/>
        <v>0.65265897265044259</v>
      </c>
      <c r="Z21" s="11">
        <f t="shared" si="2"/>
        <v>-26.11922682931538</v>
      </c>
      <c r="AP21" s="5"/>
      <c r="AQ21" s="5"/>
      <c r="AR21" s="5"/>
      <c r="AS21" s="5"/>
      <c r="AT21" s="5"/>
      <c r="BC21" s="5"/>
      <c r="BD21" s="5"/>
      <c r="BN21">
        <v>27930</v>
      </c>
      <c r="BO21" t="s">
        <v>14</v>
      </c>
      <c r="BP21">
        <v>114.03100000000001</v>
      </c>
      <c r="BQ21">
        <v>-28.891999999999999</v>
      </c>
      <c r="BR21" s="5">
        <v>-34.029915649262023</v>
      </c>
      <c r="BS21" s="11">
        <v>0.71077991152662889</v>
      </c>
      <c r="BT21" s="11">
        <v>-29.239921035342604</v>
      </c>
      <c r="BU21">
        <v>27930</v>
      </c>
      <c r="BV21">
        <v>650822</v>
      </c>
      <c r="BW21" t="b">
        <f t="shared" si="5"/>
        <v>1</v>
      </c>
      <c r="BX21" s="2">
        <f>IF(ISBLANK(BO21),"",VLOOKUP(BO21,refs[#All],5,FALSE))</f>
        <v>-29.21</v>
      </c>
      <c r="BY21" s="2">
        <f t="shared" si="10"/>
        <v>0.32756826914170922</v>
      </c>
      <c r="BZ21" s="2">
        <f t="shared" si="11"/>
        <v>-4.964941593199268</v>
      </c>
      <c r="CA21" s="2">
        <f t="shared" si="12"/>
        <v>30.821063166623695</v>
      </c>
      <c r="CB21" s="2">
        <f t="shared" si="13"/>
        <v>-3.0821326283292372E-2</v>
      </c>
    </row>
    <row r="22" spans="1:80" x14ac:dyDescent="0.2">
      <c r="A22" s="13">
        <v>44251.901261574072</v>
      </c>
      <c r="B22">
        <v>27829</v>
      </c>
      <c r="C22">
        <v>22</v>
      </c>
      <c r="D22" t="s">
        <v>114</v>
      </c>
      <c r="F22">
        <v>5.867</v>
      </c>
      <c r="G22">
        <v>5</v>
      </c>
      <c r="H22">
        <v>327.3</v>
      </c>
      <c r="I22">
        <v>89</v>
      </c>
      <c r="J22">
        <v>1.4</v>
      </c>
      <c r="K22">
        <v>1.8</v>
      </c>
      <c r="L22">
        <v>2.5</v>
      </c>
      <c r="M22">
        <v>3878</v>
      </c>
      <c r="N22">
        <v>4582</v>
      </c>
      <c r="O22">
        <v>5592</v>
      </c>
      <c r="P22">
        <v>71.620999999999995</v>
      </c>
      <c r="Q22">
        <v>70.484999999999999</v>
      </c>
      <c r="R22">
        <v>0.83099999999999996</v>
      </c>
      <c r="S22">
        <v>0.30499999999999999</v>
      </c>
      <c r="U22">
        <v>1.079075</v>
      </c>
      <c r="V22">
        <v>-24.306000000000001</v>
      </c>
      <c r="W22" s="1"/>
      <c r="X22" s="5">
        <f t="shared" si="0"/>
        <v>-29.425336004415065</v>
      </c>
      <c r="Y22" s="11">
        <f t="shared" si="1"/>
        <v>0.52418156459816601</v>
      </c>
      <c r="Z22" s="11">
        <f t="shared" si="2"/>
        <v>-24.549678371899404</v>
      </c>
      <c r="AP22" s="5"/>
      <c r="AQ22" s="5"/>
      <c r="AR22" s="5"/>
      <c r="AS22" s="5"/>
      <c r="AT22" s="5"/>
      <c r="BC22" s="5"/>
      <c r="BD22" s="5"/>
      <c r="BN22">
        <v>27931</v>
      </c>
      <c r="BO22" t="s">
        <v>12</v>
      </c>
      <c r="BP22">
        <v>72.283000000000001</v>
      </c>
      <c r="BQ22">
        <v>-31.786999999999999</v>
      </c>
      <c r="BR22" s="5">
        <v>-36.925099606141693</v>
      </c>
      <c r="BS22" s="11">
        <v>0.52724054319355673</v>
      </c>
      <c r="BT22" s="11">
        <v>-32.188657254959253</v>
      </c>
      <c r="BU22">
        <v>27931</v>
      </c>
      <c r="BV22">
        <v>1219464</v>
      </c>
      <c r="BW22" t="b">
        <f t="shared" si="5"/>
        <v>1</v>
      </c>
      <c r="BX22" s="2">
        <f>IF(ISBLANK(BO22),"",VLOOKUP(BO22,refs[#All],5,FALSE))</f>
        <v>-32.15</v>
      </c>
      <c r="BY22" s="2">
        <f t="shared" si="10"/>
        <v>0.3750581185100188</v>
      </c>
      <c r="BZ22" s="2">
        <f t="shared" si="11"/>
        <v>-4.9337186610959316</v>
      </c>
      <c r="CA22" s="2">
        <f t="shared" si="12"/>
        <v>33.762711725157324</v>
      </c>
      <c r="CB22" s="2">
        <f t="shared" si="13"/>
        <v>-3.9941370004958898E-2</v>
      </c>
    </row>
    <row r="23" spans="1:80" x14ac:dyDescent="0.2">
      <c r="A23" s="13">
        <v>44251.908599537041</v>
      </c>
      <c r="B23">
        <v>27830</v>
      </c>
      <c r="C23">
        <v>23</v>
      </c>
      <c r="D23" t="s">
        <v>115</v>
      </c>
      <c r="F23">
        <v>5.9059999999999997</v>
      </c>
      <c r="G23">
        <v>5</v>
      </c>
      <c r="H23">
        <v>324.2</v>
      </c>
      <c r="I23">
        <v>96</v>
      </c>
      <c r="J23">
        <v>0.9</v>
      </c>
      <c r="K23">
        <v>1.2</v>
      </c>
      <c r="L23">
        <v>1.8</v>
      </c>
      <c r="M23">
        <v>1535</v>
      </c>
      <c r="N23">
        <v>1818</v>
      </c>
      <c r="O23">
        <v>2194</v>
      </c>
      <c r="P23">
        <v>33.933</v>
      </c>
      <c r="Q23">
        <v>33.396000000000001</v>
      </c>
      <c r="R23">
        <v>0.39300000000000002</v>
      </c>
      <c r="S23">
        <v>0.14299999999999999</v>
      </c>
      <c r="U23">
        <v>1.078506</v>
      </c>
      <c r="V23">
        <v>-24.824999999999999</v>
      </c>
      <c r="W23" s="1"/>
      <c r="X23" s="5">
        <f t="shared" si="0"/>
        <v>-29.944519961294738</v>
      </c>
      <c r="Y23" s="11">
        <f t="shared" si="1"/>
        <v>0.3589972500294607</v>
      </c>
      <c r="Z23" s="11">
        <f t="shared" si="2"/>
        <v>-25.078551386023491</v>
      </c>
      <c r="AP23" s="5"/>
      <c r="AQ23" s="5"/>
      <c r="AR23" s="5"/>
      <c r="AS23" s="5"/>
      <c r="AT23" s="5"/>
      <c r="BC23" s="5"/>
      <c r="BD23" s="5"/>
      <c r="BN23">
        <v>27932</v>
      </c>
      <c r="BO23" t="s">
        <v>12</v>
      </c>
      <c r="BP23">
        <v>75.117000000000004</v>
      </c>
      <c r="BQ23">
        <v>-31.884</v>
      </c>
      <c r="BR23" s="5">
        <v>-37.022283563021368</v>
      </c>
      <c r="BS23" s="11">
        <v>0.53947646114102099</v>
      </c>
      <c r="BT23" s="11">
        <v>-32.287634681918348</v>
      </c>
      <c r="BU23">
        <v>27932</v>
      </c>
      <c r="BV23">
        <v>1263201</v>
      </c>
      <c r="BW23" t="b">
        <f t="shared" si="5"/>
        <v>1</v>
      </c>
      <c r="BX23" s="2">
        <f>IF(ISBLANK(BO23),"",VLOOKUP(BO23,refs[#All],5,FALSE))</f>
        <v>-32.15</v>
      </c>
      <c r="BY23" s="2">
        <f t="shared" si="10"/>
        <v>0.27483597664934578</v>
      </c>
      <c r="BZ23" s="2">
        <f t="shared" si="11"/>
        <v>-5.0341308705081911</v>
      </c>
      <c r="CA23" s="2">
        <f t="shared" si="12"/>
        <v>33.775354095304962</v>
      </c>
      <c r="CB23" s="2">
        <f t="shared" si="13"/>
        <v>-0.14220662490915803</v>
      </c>
    </row>
    <row r="24" spans="1:80" x14ac:dyDescent="0.2">
      <c r="A24" s="13">
        <v>44251.915914351855</v>
      </c>
      <c r="B24">
        <v>27831</v>
      </c>
      <c r="C24">
        <v>24</v>
      </c>
      <c r="D24" t="s">
        <v>116</v>
      </c>
      <c r="F24">
        <v>5.7560000000000002</v>
      </c>
      <c r="G24">
        <v>5</v>
      </c>
      <c r="H24">
        <v>326.7</v>
      </c>
      <c r="I24">
        <v>89</v>
      </c>
      <c r="J24">
        <v>1.5</v>
      </c>
      <c r="K24">
        <v>1.9</v>
      </c>
      <c r="L24">
        <v>2.6</v>
      </c>
      <c r="M24">
        <v>4611</v>
      </c>
      <c r="N24">
        <v>5445</v>
      </c>
      <c r="O24">
        <v>6630</v>
      </c>
      <c r="P24">
        <v>86.42</v>
      </c>
      <c r="Q24">
        <v>85.051000000000002</v>
      </c>
      <c r="R24">
        <v>1.002</v>
      </c>
      <c r="S24">
        <v>0.36699999999999999</v>
      </c>
      <c r="U24">
        <v>1.078141</v>
      </c>
      <c r="V24">
        <v>-25.158999999999999</v>
      </c>
      <c r="W24" s="1"/>
      <c r="X24" s="5">
        <f t="shared" si="0"/>
        <v>-30.278703918174408</v>
      </c>
      <c r="Y24" s="11">
        <f t="shared" si="1"/>
        <v>0.58740052804080278</v>
      </c>
      <c r="Z24" s="11">
        <f t="shared" si="2"/>
        <v>-25.418967849728574</v>
      </c>
      <c r="AP24" s="5"/>
      <c r="AQ24" s="5"/>
      <c r="AR24" s="5"/>
      <c r="AS24" s="5"/>
      <c r="AT24" s="5"/>
      <c r="BC24" s="5"/>
      <c r="BD24" s="5"/>
      <c r="BW24" t="b">
        <f t="shared" si="5"/>
        <v>1</v>
      </c>
      <c r="BX24" s="2" t="str">
        <f>IF(ISBLANK(BO24),"",VLOOKUP(BO24,refs[#All],5,FALSE))</f>
        <v/>
      </c>
      <c r="BY24" s="2" t="str">
        <f t="shared" si="10"/>
        <v/>
      </c>
      <c r="BZ24" s="2" t="str">
        <f t="shared" si="11"/>
        <v/>
      </c>
      <c r="CA24" s="2" t="str">
        <f t="shared" si="12"/>
        <v/>
      </c>
      <c r="CB24" s="2" t="str">
        <f t="shared" si="13"/>
        <v/>
      </c>
    </row>
    <row r="25" spans="1:80" x14ac:dyDescent="0.2">
      <c r="A25" s="13">
        <v>44251.92324074074</v>
      </c>
      <c r="B25">
        <v>27832</v>
      </c>
      <c r="C25">
        <v>25</v>
      </c>
      <c r="D25" t="s">
        <v>117</v>
      </c>
      <c r="F25">
        <v>5.5410000000000004</v>
      </c>
      <c r="G25">
        <v>5</v>
      </c>
      <c r="H25">
        <v>325.60000000000002</v>
      </c>
      <c r="I25">
        <v>89</v>
      </c>
      <c r="J25">
        <v>1.4</v>
      </c>
      <c r="K25">
        <v>1.8</v>
      </c>
      <c r="L25">
        <v>2.5</v>
      </c>
      <c r="M25">
        <v>5500</v>
      </c>
      <c r="N25">
        <v>6496</v>
      </c>
      <c r="O25">
        <v>7905</v>
      </c>
      <c r="P25">
        <v>104.407</v>
      </c>
      <c r="Q25">
        <v>102.753</v>
      </c>
      <c r="R25">
        <v>1.21</v>
      </c>
      <c r="S25">
        <v>0.44400000000000001</v>
      </c>
      <c r="U25">
        <v>1.078036</v>
      </c>
      <c r="V25">
        <v>-25.254999999999999</v>
      </c>
      <c r="W25" s="1"/>
      <c r="X25" s="5">
        <f t="shared" si="0"/>
        <v>-30.374887875054082</v>
      </c>
      <c r="Y25" s="11">
        <f t="shared" si="1"/>
        <v>0.66591461404391339</v>
      </c>
      <c r="Z25" s="11">
        <f t="shared" si="2"/>
        <v>-25.516945040626979</v>
      </c>
      <c r="AP25" s="5"/>
      <c r="AQ25" s="5"/>
      <c r="AR25" s="5"/>
      <c r="AS25" s="5"/>
      <c r="AT25" s="5"/>
      <c r="BC25" s="5"/>
      <c r="BD25" s="5"/>
      <c r="BW25" t="b">
        <f t="shared" si="5"/>
        <v>1</v>
      </c>
      <c r="BX25" s="2" t="str">
        <f>IF(ISBLANK(BO25),"",VLOOKUP(BO25,refs[#All],5,FALSE))</f>
        <v/>
      </c>
      <c r="BY25" s="2" t="str">
        <f t="shared" si="10"/>
        <v/>
      </c>
      <c r="BZ25" s="2" t="str">
        <f t="shared" si="11"/>
        <v/>
      </c>
      <c r="CA25" s="2" t="str">
        <f t="shared" si="12"/>
        <v/>
      </c>
      <c r="CB25" s="2" t="str">
        <f t="shared" si="13"/>
        <v/>
      </c>
    </row>
    <row r="26" spans="1:80" x14ac:dyDescent="0.2">
      <c r="A26" s="13">
        <v>44251.930578703701</v>
      </c>
      <c r="B26">
        <v>27833</v>
      </c>
      <c r="C26">
        <v>26</v>
      </c>
      <c r="D26" t="s">
        <v>118</v>
      </c>
      <c r="F26">
        <v>5.9279999999999999</v>
      </c>
      <c r="G26">
        <v>5</v>
      </c>
      <c r="H26">
        <v>326.5</v>
      </c>
      <c r="I26">
        <v>94</v>
      </c>
      <c r="J26">
        <v>1.4</v>
      </c>
      <c r="K26">
        <v>1.8</v>
      </c>
      <c r="L26">
        <v>2.4</v>
      </c>
      <c r="M26">
        <v>1811</v>
      </c>
      <c r="N26">
        <v>2140</v>
      </c>
      <c r="O26">
        <v>2597</v>
      </c>
      <c r="P26">
        <v>35.075000000000003</v>
      </c>
      <c r="Q26">
        <v>34.520000000000003</v>
      </c>
      <c r="R26">
        <v>0.40699999999999997</v>
      </c>
      <c r="S26">
        <v>0.14899999999999999</v>
      </c>
      <c r="U26">
        <v>1.0782039999999999</v>
      </c>
      <c r="V26">
        <v>-25.100999999999999</v>
      </c>
      <c r="W26" s="1"/>
      <c r="X26" s="5">
        <f t="shared" si="0"/>
        <v>-30.221071831933756</v>
      </c>
      <c r="Y26" s="11">
        <f t="shared" si="1"/>
        <v>0.36511516906205088</v>
      </c>
      <c r="Z26" s="11">
        <f t="shared" si="2"/>
        <v>-25.360261156336719</v>
      </c>
      <c r="AP26" s="5"/>
      <c r="AQ26" s="5"/>
      <c r="AR26" s="5"/>
      <c r="AS26" s="5"/>
      <c r="AT26" s="5"/>
      <c r="BC26" s="5"/>
      <c r="BD26" s="5"/>
    </row>
    <row r="27" spans="1:80" x14ac:dyDescent="0.2">
      <c r="A27" s="13">
        <v>44251.937928240739</v>
      </c>
      <c r="B27">
        <v>27834</v>
      </c>
      <c r="C27">
        <v>27</v>
      </c>
      <c r="D27" t="s">
        <v>12</v>
      </c>
      <c r="G27">
        <v>5</v>
      </c>
      <c r="H27">
        <v>326</v>
      </c>
      <c r="I27">
        <v>89</v>
      </c>
      <c r="J27">
        <v>1.4</v>
      </c>
      <c r="K27">
        <v>1.8</v>
      </c>
      <c r="L27">
        <v>2.4</v>
      </c>
      <c r="M27">
        <v>4002</v>
      </c>
      <c r="N27">
        <v>4696</v>
      </c>
      <c r="O27">
        <v>5763</v>
      </c>
      <c r="P27">
        <v>73.962000000000003</v>
      </c>
      <c r="Q27">
        <v>72.793999999999997</v>
      </c>
      <c r="R27">
        <v>0.85199999999999998</v>
      </c>
      <c r="S27">
        <v>0.315</v>
      </c>
      <c r="U27">
        <v>1.0708139999999999</v>
      </c>
      <c r="V27">
        <v>-31.855</v>
      </c>
      <c r="W27" s="1"/>
      <c r="X27" s="5">
        <f t="shared" si="0"/>
        <v>-36.975255788813428</v>
      </c>
      <c r="Y27" s="11">
        <f t="shared" si="1"/>
        <v>0.53437816130281135</v>
      </c>
      <c r="Z27" s="11">
        <f t="shared" si="2"/>
        <v>-32.239739072699422</v>
      </c>
      <c r="AP27" s="5"/>
      <c r="AQ27" s="5"/>
      <c r="AR27" s="5"/>
      <c r="AS27" s="5"/>
      <c r="AT27" s="5"/>
      <c r="BC27" s="5"/>
      <c r="BD27" s="5"/>
    </row>
    <row r="28" spans="1:80" x14ac:dyDescent="0.2">
      <c r="A28" s="13">
        <v>44251.945243055554</v>
      </c>
      <c r="B28">
        <v>27835</v>
      </c>
      <c r="C28">
        <v>28</v>
      </c>
      <c r="D28" t="s">
        <v>119</v>
      </c>
      <c r="F28">
        <v>5.9210000000000003</v>
      </c>
      <c r="G28">
        <v>5</v>
      </c>
      <c r="H28">
        <v>346.9</v>
      </c>
      <c r="I28">
        <v>79</v>
      </c>
      <c r="J28">
        <v>2.1</v>
      </c>
      <c r="K28">
        <v>2.7</v>
      </c>
      <c r="L28">
        <v>3.5</v>
      </c>
      <c r="M28">
        <v>4514</v>
      </c>
      <c r="N28">
        <v>5320</v>
      </c>
      <c r="O28">
        <v>6521</v>
      </c>
      <c r="P28">
        <v>122.377</v>
      </c>
      <c r="Q28">
        <v>120.437</v>
      </c>
      <c r="R28">
        <v>1.4179999999999999</v>
      </c>
      <c r="S28">
        <v>0.52300000000000002</v>
      </c>
      <c r="U28">
        <v>1.0771269999999999</v>
      </c>
      <c r="V28">
        <v>-26.085999999999999</v>
      </c>
      <c r="W28" s="1"/>
      <c r="X28" s="5">
        <f t="shared" si="0"/>
        <v>-31.2064397456931</v>
      </c>
      <c r="Y28" s="11">
        <f t="shared" si="1"/>
        <v>0.74646827112337633</v>
      </c>
      <c r="Z28" s="11">
        <f t="shared" si="2"/>
        <v>-26.363989201013737</v>
      </c>
      <c r="AP28" s="5"/>
      <c r="AQ28" s="5"/>
      <c r="AR28" s="5"/>
      <c r="AS28" s="5"/>
      <c r="AT28" s="5"/>
      <c r="BC28" s="5"/>
      <c r="BD28" s="5"/>
    </row>
    <row r="29" spans="1:80" x14ac:dyDescent="0.2">
      <c r="A29" s="13">
        <v>44251.952581018515</v>
      </c>
      <c r="B29">
        <v>27836</v>
      </c>
      <c r="C29">
        <v>29</v>
      </c>
      <c r="D29" t="s">
        <v>120</v>
      </c>
      <c r="F29">
        <v>5.9809999999999999</v>
      </c>
      <c r="G29">
        <v>5</v>
      </c>
      <c r="H29">
        <v>347.1</v>
      </c>
      <c r="I29">
        <v>79</v>
      </c>
      <c r="J29">
        <v>2.2000000000000002</v>
      </c>
      <c r="K29">
        <v>2.8</v>
      </c>
      <c r="L29">
        <v>3.6</v>
      </c>
      <c r="M29">
        <v>4948</v>
      </c>
      <c r="N29">
        <v>5836</v>
      </c>
      <c r="O29">
        <v>7154</v>
      </c>
      <c r="P29">
        <v>134.09100000000001</v>
      </c>
      <c r="Q29">
        <v>131.964</v>
      </c>
      <c r="R29">
        <v>1.554</v>
      </c>
      <c r="S29">
        <v>0.57299999999999995</v>
      </c>
      <c r="U29">
        <v>1.077696</v>
      </c>
      <c r="V29">
        <v>-25.565999999999999</v>
      </c>
      <c r="W29" s="1"/>
      <c r="X29" s="5">
        <f t="shared" si="0"/>
        <v>-30.686623702572774</v>
      </c>
      <c r="Y29" s="11">
        <f t="shared" si="1"/>
        <v>0.79745172617879234</v>
      </c>
      <c r="Z29" s="11">
        <f t="shared" si="2"/>
        <v>-25.834490995073793</v>
      </c>
      <c r="AP29" s="5"/>
      <c r="AQ29" s="5"/>
      <c r="AR29" s="5"/>
      <c r="AS29" s="5"/>
      <c r="AT29" s="5"/>
      <c r="BC29" s="5"/>
      <c r="BD29" s="5"/>
    </row>
    <row r="30" spans="1:80" x14ac:dyDescent="0.2">
      <c r="A30" s="13">
        <v>44251.959907407407</v>
      </c>
      <c r="B30">
        <v>27837</v>
      </c>
      <c r="C30">
        <v>30</v>
      </c>
      <c r="D30" t="s">
        <v>121</v>
      </c>
      <c r="F30">
        <v>5.6360000000000001</v>
      </c>
      <c r="G30">
        <v>5</v>
      </c>
      <c r="H30">
        <v>327.5</v>
      </c>
      <c r="I30">
        <v>89</v>
      </c>
      <c r="J30">
        <v>1.4</v>
      </c>
      <c r="K30">
        <v>1.8</v>
      </c>
      <c r="L30">
        <v>2.5</v>
      </c>
      <c r="M30">
        <v>3425</v>
      </c>
      <c r="N30">
        <v>4047</v>
      </c>
      <c r="O30">
        <v>4943</v>
      </c>
      <c r="P30">
        <v>62.646000000000001</v>
      </c>
      <c r="Q30">
        <v>61.651000000000003</v>
      </c>
      <c r="R30">
        <v>0.72699999999999998</v>
      </c>
      <c r="S30">
        <v>0.26700000000000002</v>
      </c>
      <c r="U30">
        <v>1.079215</v>
      </c>
      <c r="V30">
        <v>-24.177</v>
      </c>
      <c r="W30" s="1"/>
      <c r="X30" s="5">
        <f t="shared" si="0"/>
        <v>-29.297807659452445</v>
      </c>
      <c r="Y30" s="11">
        <f t="shared" si="1"/>
        <v>0.4854345332585126</v>
      </c>
      <c r="Z30" s="11">
        <f t="shared" si="2"/>
        <v>-24.419768906303148</v>
      </c>
      <c r="AP30" s="5"/>
      <c r="AQ30" s="5"/>
      <c r="AR30" s="5"/>
      <c r="AS30" s="5"/>
      <c r="AT30" s="5"/>
      <c r="BC30" s="5"/>
      <c r="BD30" s="5"/>
    </row>
    <row r="31" spans="1:80" x14ac:dyDescent="0.2">
      <c r="A31" s="13">
        <v>44251.967268518521</v>
      </c>
      <c r="B31">
        <v>27838</v>
      </c>
      <c r="C31">
        <v>31</v>
      </c>
      <c r="D31" t="s">
        <v>122</v>
      </c>
      <c r="F31">
        <v>5.8460000000000001</v>
      </c>
      <c r="G31">
        <v>5</v>
      </c>
      <c r="H31">
        <v>327.9</v>
      </c>
      <c r="I31">
        <v>94</v>
      </c>
      <c r="J31">
        <v>1.3</v>
      </c>
      <c r="K31">
        <v>1.7</v>
      </c>
      <c r="L31">
        <v>2.2999999999999998</v>
      </c>
      <c r="M31">
        <v>1502</v>
      </c>
      <c r="N31">
        <v>1776</v>
      </c>
      <c r="O31">
        <v>2159</v>
      </c>
      <c r="P31">
        <v>28.315999999999999</v>
      </c>
      <c r="Q31">
        <v>27.867000000000001</v>
      </c>
      <c r="R31">
        <v>0.32800000000000001</v>
      </c>
      <c r="S31">
        <v>0.12</v>
      </c>
      <c r="U31">
        <v>1.0787990000000001</v>
      </c>
      <c r="V31">
        <v>-24.556999999999999</v>
      </c>
      <c r="W31" s="1"/>
      <c r="X31" s="5">
        <f t="shared" si="0"/>
        <v>-29.677991616332118</v>
      </c>
      <c r="Y31" s="11">
        <f t="shared" si="1"/>
        <v>0.33554524028591004</v>
      </c>
      <c r="Z31" s="11">
        <f t="shared" si="2"/>
        <v>-24.807050024973705</v>
      </c>
      <c r="AP31" s="5"/>
      <c r="AQ31" s="5"/>
      <c r="AR31" s="5"/>
      <c r="AS31" s="5"/>
      <c r="AT31" s="5"/>
      <c r="BC31" s="5"/>
      <c r="BD31" s="5"/>
    </row>
    <row r="32" spans="1:80" x14ac:dyDescent="0.2">
      <c r="A32" s="13">
        <v>44251.974594907406</v>
      </c>
      <c r="B32">
        <v>27839</v>
      </c>
      <c r="C32">
        <v>32</v>
      </c>
      <c r="D32" t="s">
        <v>123</v>
      </c>
      <c r="F32">
        <v>5.7869999999999999</v>
      </c>
      <c r="G32">
        <v>5</v>
      </c>
      <c r="H32">
        <v>346.1</v>
      </c>
      <c r="I32">
        <v>79</v>
      </c>
      <c r="J32">
        <v>2.1</v>
      </c>
      <c r="K32">
        <v>2.7</v>
      </c>
      <c r="L32">
        <v>3.5</v>
      </c>
      <c r="M32">
        <v>5367</v>
      </c>
      <c r="N32">
        <v>6325</v>
      </c>
      <c r="O32">
        <v>7758</v>
      </c>
      <c r="P32">
        <v>145.904</v>
      </c>
      <c r="Q32">
        <v>143.59</v>
      </c>
      <c r="R32">
        <v>1.69</v>
      </c>
      <c r="S32">
        <v>0.624</v>
      </c>
      <c r="U32">
        <v>1.0768040000000001</v>
      </c>
      <c r="V32">
        <v>-26.381</v>
      </c>
      <c r="W32" s="1"/>
      <c r="X32" s="5">
        <f t="shared" si="0"/>
        <v>-31.502175573211794</v>
      </c>
      <c r="Y32" s="11">
        <f t="shared" si="1"/>
        <v>0.84945495238935109</v>
      </c>
      <c r="Z32" s="11">
        <f t="shared" si="2"/>
        <v>-26.665230006593447</v>
      </c>
      <c r="AP32" s="5"/>
      <c r="AQ32" s="5"/>
      <c r="AR32" s="5"/>
      <c r="AS32" s="5"/>
      <c r="AT32" s="5"/>
      <c r="BC32" s="5"/>
      <c r="BD32" s="5"/>
    </row>
    <row r="33" spans="1:56" x14ac:dyDescent="0.2">
      <c r="A33" s="13">
        <v>44251.981921296298</v>
      </c>
      <c r="B33">
        <v>27840</v>
      </c>
      <c r="C33">
        <v>33</v>
      </c>
      <c r="D33" t="s">
        <v>124</v>
      </c>
      <c r="F33">
        <v>5.8179999999999996</v>
      </c>
      <c r="G33">
        <v>5</v>
      </c>
      <c r="H33">
        <v>347.6</v>
      </c>
      <c r="I33">
        <v>79</v>
      </c>
      <c r="J33">
        <v>2.2000000000000002</v>
      </c>
      <c r="K33">
        <v>2.9</v>
      </c>
      <c r="L33">
        <v>3.7</v>
      </c>
      <c r="M33">
        <v>4326</v>
      </c>
      <c r="N33">
        <v>5099</v>
      </c>
      <c r="O33">
        <v>6262</v>
      </c>
      <c r="P33">
        <v>116.258</v>
      </c>
      <c r="Q33">
        <v>114.414</v>
      </c>
      <c r="R33">
        <v>1.347</v>
      </c>
      <c r="S33">
        <v>0.498</v>
      </c>
      <c r="U33">
        <v>1.0773379999999999</v>
      </c>
      <c r="V33">
        <v>-25.893000000000001</v>
      </c>
      <c r="W33" s="1"/>
      <c r="X33" s="5">
        <f t="shared" si="0"/>
        <v>-31.014359530091468</v>
      </c>
      <c r="Y33" s="11">
        <f t="shared" si="1"/>
        <v>0.72097658074392257</v>
      </c>
      <c r="Z33" s="11">
        <f t="shared" si="2"/>
        <v>-26.168332170786698</v>
      </c>
      <c r="AP33" s="5"/>
      <c r="AQ33" s="5"/>
      <c r="AR33" s="5"/>
      <c r="AS33" s="5"/>
      <c r="AT33" s="5"/>
      <c r="BC33" s="5"/>
      <c r="BD33" s="5"/>
    </row>
    <row r="34" spans="1:56" x14ac:dyDescent="0.2">
      <c r="A34" s="13">
        <v>44251.989247685182</v>
      </c>
      <c r="B34">
        <v>27841</v>
      </c>
      <c r="C34">
        <v>34</v>
      </c>
      <c r="D34" t="s">
        <v>125</v>
      </c>
      <c r="F34">
        <v>5.8090000000000002</v>
      </c>
      <c r="G34">
        <v>5</v>
      </c>
      <c r="H34">
        <v>326.2</v>
      </c>
      <c r="I34">
        <v>89</v>
      </c>
      <c r="J34">
        <v>1.4</v>
      </c>
      <c r="K34">
        <v>1.8</v>
      </c>
      <c r="L34">
        <v>2.5</v>
      </c>
      <c r="M34">
        <v>5003</v>
      </c>
      <c r="N34">
        <v>5912</v>
      </c>
      <c r="O34">
        <v>7198</v>
      </c>
      <c r="P34">
        <v>94.025999999999996</v>
      </c>
      <c r="Q34">
        <v>92.534999999999997</v>
      </c>
      <c r="R34">
        <v>1.091</v>
      </c>
      <c r="S34">
        <v>0.4</v>
      </c>
      <c r="U34">
        <v>1.0787169999999999</v>
      </c>
      <c r="V34">
        <v>-24.632999999999999</v>
      </c>
      <c r="W34" s="1"/>
      <c r="X34" s="5">
        <f t="shared" si="0"/>
        <v>-29.754543486971137</v>
      </c>
      <c r="Y34" s="11">
        <f t="shared" si="1"/>
        <v>0.62104939327468855</v>
      </c>
      <c r="Z34" s="11">
        <f t="shared" si="2"/>
        <v>-24.885030445063194</v>
      </c>
      <c r="AP34" s="5"/>
      <c r="AQ34" s="5"/>
      <c r="AR34" s="5"/>
      <c r="AS34" s="5"/>
      <c r="AT34" s="5"/>
      <c r="BC34" s="5"/>
      <c r="BD34" s="5"/>
    </row>
    <row r="35" spans="1:56" x14ac:dyDescent="0.2">
      <c r="A35" s="13">
        <v>44251.996574074074</v>
      </c>
      <c r="B35">
        <v>27842</v>
      </c>
      <c r="C35">
        <v>35</v>
      </c>
      <c r="D35" t="s">
        <v>126</v>
      </c>
      <c r="F35">
        <v>5.9210000000000003</v>
      </c>
      <c r="G35">
        <v>5</v>
      </c>
      <c r="H35">
        <v>346.9</v>
      </c>
      <c r="I35">
        <v>79</v>
      </c>
      <c r="J35">
        <v>2.1</v>
      </c>
      <c r="K35">
        <v>2.7</v>
      </c>
      <c r="L35">
        <v>3.5</v>
      </c>
      <c r="M35">
        <v>4731</v>
      </c>
      <c r="N35">
        <v>5579</v>
      </c>
      <c r="O35">
        <v>6845</v>
      </c>
      <c r="P35">
        <v>128.13399999999999</v>
      </c>
      <c r="Q35">
        <v>126.101</v>
      </c>
      <c r="R35">
        <v>1.4850000000000001</v>
      </c>
      <c r="S35">
        <v>0.54800000000000004</v>
      </c>
      <c r="U35">
        <v>1.077426</v>
      </c>
      <c r="V35">
        <v>-25.812999999999999</v>
      </c>
      <c r="W35" s="1"/>
      <c r="X35" s="5">
        <f t="shared" si="0"/>
        <v>-30.934727443850811</v>
      </c>
      <c r="Y35" s="11">
        <f t="shared" si="1"/>
        <v>0.77195998626825713</v>
      </c>
      <c r="Z35" s="11">
        <f t="shared" si="2"/>
        <v>-26.087216910279608</v>
      </c>
      <c r="AP35" s="5"/>
      <c r="AQ35" s="5"/>
      <c r="AR35" s="5"/>
      <c r="AS35" s="5"/>
      <c r="AT35" s="5"/>
      <c r="BC35" s="5"/>
      <c r="BD35" s="5"/>
    </row>
    <row r="36" spans="1:56" x14ac:dyDescent="0.2">
      <c r="A36" s="13">
        <v>44252.003900462965</v>
      </c>
      <c r="B36">
        <v>27843</v>
      </c>
      <c r="C36">
        <v>36</v>
      </c>
      <c r="D36" t="s">
        <v>127</v>
      </c>
      <c r="F36">
        <v>5.8360000000000003</v>
      </c>
      <c r="G36">
        <v>5</v>
      </c>
      <c r="H36">
        <v>326.2</v>
      </c>
      <c r="I36">
        <v>89</v>
      </c>
      <c r="J36">
        <v>1.3</v>
      </c>
      <c r="K36">
        <v>1.8</v>
      </c>
      <c r="L36">
        <v>2.4</v>
      </c>
      <c r="M36">
        <v>5016</v>
      </c>
      <c r="N36">
        <v>5925</v>
      </c>
      <c r="O36">
        <v>7216</v>
      </c>
      <c r="P36">
        <v>94.352999999999994</v>
      </c>
      <c r="Q36">
        <v>92.856999999999999</v>
      </c>
      <c r="R36">
        <v>1.0940000000000001</v>
      </c>
      <c r="S36">
        <v>0.40100000000000002</v>
      </c>
      <c r="U36">
        <v>1.0784609999999999</v>
      </c>
      <c r="V36">
        <v>-24.867000000000001</v>
      </c>
      <c r="W36" s="1"/>
      <c r="X36" s="5">
        <f t="shared" si="0"/>
        <v>-29.988911400730487</v>
      </c>
      <c r="Y36" s="11">
        <f t="shared" si="1"/>
        <v>0.62206905653113154</v>
      </c>
      <c r="Z36" s="11">
        <f t="shared" si="2"/>
        <v>-25.123770905939864</v>
      </c>
      <c r="AP36" s="5"/>
      <c r="AQ36" s="5"/>
      <c r="AR36" s="5"/>
      <c r="AS36" s="5"/>
      <c r="AT36" s="5"/>
      <c r="BC36" s="5"/>
      <c r="BD36" s="5"/>
    </row>
    <row r="37" spans="1:56" x14ac:dyDescent="0.2">
      <c r="A37" s="13">
        <v>44252.011238425926</v>
      </c>
      <c r="B37">
        <v>27844</v>
      </c>
      <c r="C37">
        <v>37</v>
      </c>
      <c r="D37" t="s">
        <v>128</v>
      </c>
      <c r="F37">
        <v>5.6589999999999998</v>
      </c>
      <c r="G37">
        <v>5</v>
      </c>
      <c r="H37">
        <v>327.5</v>
      </c>
      <c r="I37">
        <v>94</v>
      </c>
      <c r="J37">
        <v>1.3</v>
      </c>
      <c r="K37">
        <v>1.7</v>
      </c>
      <c r="L37">
        <v>2.4</v>
      </c>
      <c r="M37">
        <v>1509</v>
      </c>
      <c r="N37">
        <v>1785</v>
      </c>
      <c r="O37">
        <v>2168</v>
      </c>
      <c r="P37">
        <v>28.524000000000001</v>
      </c>
      <c r="Q37">
        <v>28.071000000000002</v>
      </c>
      <c r="R37">
        <v>0.33100000000000002</v>
      </c>
      <c r="S37">
        <v>0.121</v>
      </c>
      <c r="U37">
        <v>1.079861</v>
      </c>
      <c r="V37">
        <v>-23.587</v>
      </c>
      <c r="W37" s="1"/>
      <c r="X37" s="5">
        <f t="shared" si="0"/>
        <v>-28.709095357610156</v>
      </c>
      <c r="Y37" s="11">
        <f t="shared" si="1"/>
        <v>0.33656489244754084</v>
      </c>
      <c r="Z37" s="11">
        <f t="shared" si="2"/>
        <v>-23.820058568490367</v>
      </c>
      <c r="AP37" s="5"/>
      <c r="AQ37" s="5"/>
      <c r="AR37" s="5"/>
      <c r="AS37" s="5"/>
      <c r="AT37" s="5"/>
      <c r="BC37" s="5"/>
      <c r="BD37" s="5"/>
    </row>
    <row r="38" spans="1:56" x14ac:dyDescent="0.2">
      <c r="A38" s="13">
        <v>44252.018564814818</v>
      </c>
      <c r="B38">
        <v>27845</v>
      </c>
      <c r="C38">
        <v>38</v>
      </c>
      <c r="D38" t="s">
        <v>12</v>
      </c>
      <c r="G38">
        <v>5</v>
      </c>
      <c r="H38">
        <v>325.8</v>
      </c>
      <c r="I38">
        <v>89</v>
      </c>
      <c r="J38">
        <v>1.4</v>
      </c>
      <c r="K38">
        <v>1.7</v>
      </c>
      <c r="L38">
        <v>2.4</v>
      </c>
      <c r="M38">
        <v>4170</v>
      </c>
      <c r="N38">
        <v>4892</v>
      </c>
      <c r="O38">
        <v>6004</v>
      </c>
      <c r="P38">
        <v>77.206999999999994</v>
      </c>
      <c r="Q38">
        <v>75.989000000000004</v>
      </c>
      <c r="R38">
        <v>0.88900000000000001</v>
      </c>
      <c r="S38">
        <v>0.32900000000000001</v>
      </c>
      <c r="U38">
        <v>1.0708340000000001</v>
      </c>
      <c r="V38">
        <v>-31.838000000000001</v>
      </c>
      <c r="W38" s="1"/>
      <c r="X38" s="5">
        <f t="shared" si="0"/>
        <v>-36.960279314489831</v>
      </c>
      <c r="Y38" s="11">
        <f t="shared" si="1"/>
        <v>0.54865340334595203</v>
      </c>
      <c r="Z38" s="11">
        <f t="shared" si="2"/>
        <v>-32.224486214236663</v>
      </c>
      <c r="AP38" s="5"/>
      <c r="AQ38" s="5"/>
      <c r="AR38" s="5"/>
      <c r="AS38" s="5"/>
      <c r="AT38" s="5"/>
      <c r="BC38" s="5"/>
      <c r="BD38" s="5"/>
    </row>
    <row r="39" spans="1:56" x14ac:dyDescent="0.2">
      <c r="A39" s="13">
        <v>44252.025902777779</v>
      </c>
      <c r="B39">
        <v>27846</v>
      </c>
      <c r="C39">
        <v>39</v>
      </c>
      <c r="D39" t="s">
        <v>129</v>
      </c>
      <c r="F39">
        <v>5.8029999999999999</v>
      </c>
      <c r="G39">
        <v>5</v>
      </c>
      <c r="H39">
        <v>326</v>
      </c>
      <c r="I39">
        <v>96</v>
      </c>
      <c r="J39">
        <v>1.1000000000000001</v>
      </c>
      <c r="K39">
        <v>1.4</v>
      </c>
      <c r="L39">
        <v>2</v>
      </c>
      <c r="M39">
        <v>1330</v>
      </c>
      <c r="N39">
        <v>1574</v>
      </c>
      <c r="O39">
        <v>1900</v>
      </c>
      <c r="P39">
        <v>28.334</v>
      </c>
      <c r="Q39">
        <v>27.885999999999999</v>
      </c>
      <c r="R39">
        <v>0.32800000000000001</v>
      </c>
      <c r="S39">
        <v>0.12</v>
      </c>
      <c r="U39">
        <v>1.0782929999999999</v>
      </c>
      <c r="V39">
        <v>-25.02</v>
      </c>
      <c r="W39" s="1"/>
      <c r="X39" s="5">
        <f t="shared" si="0"/>
        <v>-30.1424632713695</v>
      </c>
      <c r="Y39" s="11">
        <f t="shared" si="1"/>
        <v>0.33554524028591004</v>
      </c>
      <c r="Z39" s="11">
        <f t="shared" si="2"/>
        <v>-25.280186708931637</v>
      </c>
      <c r="AP39" s="5"/>
      <c r="AQ39" s="5"/>
      <c r="AR39" s="5"/>
      <c r="AS39" s="5"/>
      <c r="AT39" s="5"/>
      <c r="BC39" s="5"/>
      <c r="BD39" s="5"/>
    </row>
    <row r="40" spans="1:56" x14ac:dyDescent="0.2">
      <c r="A40" s="13">
        <v>44252.033229166664</v>
      </c>
      <c r="B40">
        <v>27847</v>
      </c>
      <c r="C40">
        <v>40</v>
      </c>
      <c r="D40" t="s">
        <v>130</v>
      </c>
      <c r="F40">
        <v>5.742</v>
      </c>
      <c r="G40">
        <v>5</v>
      </c>
      <c r="H40">
        <v>347.1</v>
      </c>
      <c r="I40">
        <v>79</v>
      </c>
      <c r="J40">
        <v>2.5</v>
      </c>
      <c r="K40">
        <v>3.1</v>
      </c>
      <c r="L40">
        <v>4</v>
      </c>
      <c r="M40">
        <v>4166</v>
      </c>
      <c r="N40">
        <v>4918</v>
      </c>
      <c r="O40">
        <v>6027</v>
      </c>
      <c r="P40">
        <v>111.938</v>
      </c>
      <c r="Q40">
        <v>110.16</v>
      </c>
      <c r="R40">
        <v>1.2989999999999999</v>
      </c>
      <c r="S40">
        <v>0.47899999999999998</v>
      </c>
      <c r="U40">
        <v>1.0789329999999999</v>
      </c>
      <c r="V40">
        <v>-24.434999999999999</v>
      </c>
      <c r="W40" s="1"/>
      <c r="X40" s="5">
        <f t="shared" si="0"/>
        <v>-29.557647228249174</v>
      </c>
      <c r="Y40" s="11">
        <f t="shared" si="1"/>
        <v>0.70160291261868224</v>
      </c>
      <c r="Z40" s="11">
        <f t="shared" si="2"/>
        <v>-24.684459529025617</v>
      </c>
      <c r="AP40" s="5"/>
      <c r="AQ40" s="5"/>
      <c r="AR40" s="5"/>
      <c r="AS40" s="5"/>
      <c r="AT40" s="5"/>
      <c r="BC40" s="5"/>
      <c r="BD40" s="5"/>
    </row>
    <row r="41" spans="1:56" x14ac:dyDescent="0.2">
      <c r="A41" s="13">
        <v>44252.040555555555</v>
      </c>
      <c r="B41">
        <v>27848</v>
      </c>
      <c r="C41">
        <v>41</v>
      </c>
      <c r="D41" t="s">
        <v>131</v>
      </c>
      <c r="F41">
        <v>5.6749999999999998</v>
      </c>
      <c r="G41">
        <v>5</v>
      </c>
      <c r="H41">
        <v>327.10000000000002</v>
      </c>
      <c r="I41">
        <v>96</v>
      </c>
      <c r="J41">
        <v>1.1000000000000001</v>
      </c>
      <c r="K41">
        <v>1.5</v>
      </c>
      <c r="L41">
        <v>2.1</v>
      </c>
      <c r="M41">
        <v>1220</v>
      </c>
      <c r="N41">
        <v>1443</v>
      </c>
      <c r="O41">
        <v>1745</v>
      </c>
      <c r="P41">
        <v>25.457000000000001</v>
      </c>
      <c r="Q41">
        <v>25.053999999999998</v>
      </c>
      <c r="R41">
        <v>0.29499999999999998</v>
      </c>
      <c r="S41">
        <v>0.108</v>
      </c>
      <c r="U41">
        <v>1.0779989999999999</v>
      </c>
      <c r="V41">
        <v>-25.289000000000001</v>
      </c>
      <c r="W41" s="1"/>
      <c r="X41" s="5">
        <f t="shared" si="0"/>
        <v>-30.41183118512885</v>
      </c>
      <c r="Y41" s="11">
        <f t="shared" si="1"/>
        <v>0.32330941743623498</v>
      </c>
      <c r="Z41" s="11">
        <f t="shared" si="2"/>
        <v>-25.554577044134135</v>
      </c>
      <c r="AP41" s="5"/>
      <c r="AQ41" s="5"/>
      <c r="AR41" s="5"/>
      <c r="AS41" s="5"/>
      <c r="AT41" s="5"/>
      <c r="BC41" s="5"/>
      <c r="BD41" s="5"/>
    </row>
    <row r="42" spans="1:56" x14ac:dyDescent="0.2">
      <c r="A42" s="13">
        <v>44252.047881944447</v>
      </c>
      <c r="B42">
        <v>27849</v>
      </c>
      <c r="C42">
        <v>42</v>
      </c>
      <c r="D42" t="s">
        <v>132</v>
      </c>
      <c r="F42">
        <v>5.7279999999999998</v>
      </c>
      <c r="G42">
        <v>5</v>
      </c>
      <c r="H42">
        <v>323.89999999999998</v>
      </c>
      <c r="I42">
        <v>94</v>
      </c>
      <c r="J42">
        <v>1.3</v>
      </c>
      <c r="K42">
        <v>1.7</v>
      </c>
      <c r="L42">
        <v>2.4</v>
      </c>
      <c r="M42">
        <v>2438</v>
      </c>
      <c r="N42">
        <v>2886</v>
      </c>
      <c r="O42">
        <v>3490</v>
      </c>
      <c r="P42">
        <v>49.750999999999998</v>
      </c>
      <c r="Q42">
        <v>48.963999999999999</v>
      </c>
      <c r="R42">
        <v>0.57699999999999996</v>
      </c>
      <c r="S42">
        <v>0.21099999999999999</v>
      </c>
      <c r="U42">
        <v>1.0785229999999999</v>
      </c>
      <c r="V42">
        <v>-24.81</v>
      </c>
      <c r="W42" s="1"/>
      <c r="X42" s="5">
        <f t="shared" si="0"/>
        <v>-29.933015142008522</v>
      </c>
      <c r="Y42" s="11">
        <f t="shared" si="1"/>
        <v>0.42833374925908174</v>
      </c>
      <c r="Z42" s="11">
        <f t="shared" si="2"/>
        <v>-25.066831946008278</v>
      </c>
      <c r="AP42" s="5"/>
      <c r="AQ42" s="5"/>
      <c r="AR42" s="5"/>
      <c r="AS42" s="5"/>
      <c r="AT42" s="5"/>
      <c r="BC42" s="5"/>
      <c r="BD42" s="5"/>
    </row>
    <row r="43" spans="1:56" x14ac:dyDescent="0.2">
      <c r="A43" s="13">
        <v>44252.055277777778</v>
      </c>
      <c r="B43">
        <v>27850</v>
      </c>
      <c r="C43">
        <v>43</v>
      </c>
      <c r="D43" t="s">
        <v>133</v>
      </c>
      <c r="F43">
        <v>5.8879999999999999</v>
      </c>
      <c r="G43">
        <v>5</v>
      </c>
      <c r="H43">
        <v>326.7</v>
      </c>
      <c r="I43">
        <v>89</v>
      </c>
      <c r="J43">
        <v>1.6</v>
      </c>
      <c r="K43">
        <v>2</v>
      </c>
      <c r="L43">
        <v>2.8</v>
      </c>
      <c r="M43">
        <v>4929</v>
      </c>
      <c r="N43">
        <v>5817</v>
      </c>
      <c r="O43">
        <v>7087</v>
      </c>
      <c r="P43">
        <v>92.688000000000002</v>
      </c>
      <c r="Q43">
        <v>91.22</v>
      </c>
      <c r="R43">
        <v>1.0740000000000001</v>
      </c>
      <c r="S43">
        <v>0.39400000000000002</v>
      </c>
      <c r="U43">
        <v>1.077469</v>
      </c>
      <c r="V43">
        <v>-25.773</v>
      </c>
      <c r="W43" s="1"/>
      <c r="X43" s="5">
        <f t="shared" si="0"/>
        <v>-30.896199098888193</v>
      </c>
      <c r="Y43" s="11">
        <f t="shared" si="1"/>
        <v>0.61493141456810463</v>
      </c>
      <c r="Z43" s="11">
        <f t="shared" si="2"/>
        <v>-26.047970897120877</v>
      </c>
      <c r="AP43" s="5"/>
      <c r="AQ43" s="5"/>
      <c r="AR43" s="5"/>
      <c r="AS43" s="5"/>
      <c r="AT43" s="5"/>
      <c r="BC43" s="5"/>
      <c r="BD43" s="5"/>
    </row>
    <row r="44" spans="1:56" x14ac:dyDescent="0.2">
      <c r="A44" s="13">
        <v>44252.062604166669</v>
      </c>
      <c r="B44">
        <v>27851</v>
      </c>
      <c r="C44">
        <v>44</v>
      </c>
      <c r="D44" t="s">
        <v>134</v>
      </c>
      <c r="F44">
        <v>5.9550000000000001</v>
      </c>
      <c r="G44">
        <v>5</v>
      </c>
      <c r="H44">
        <v>327.7</v>
      </c>
      <c r="I44">
        <v>89</v>
      </c>
      <c r="J44">
        <v>1.4</v>
      </c>
      <c r="K44">
        <v>1.8</v>
      </c>
      <c r="L44">
        <v>2.6</v>
      </c>
      <c r="M44">
        <v>3620</v>
      </c>
      <c r="N44">
        <v>4272</v>
      </c>
      <c r="O44">
        <v>5221</v>
      </c>
      <c r="P44">
        <v>66.427999999999997</v>
      </c>
      <c r="Q44">
        <v>65.375</v>
      </c>
      <c r="R44">
        <v>0.77</v>
      </c>
      <c r="S44">
        <v>0.28299999999999997</v>
      </c>
      <c r="U44">
        <v>1.0778319999999999</v>
      </c>
      <c r="V44">
        <v>-25.442</v>
      </c>
      <c r="W44" s="1"/>
      <c r="X44" s="5">
        <f t="shared" si="0"/>
        <v>-30.565383055767867</v>
      </c>
      <c r="Y44" s="11">
        <f t="shared" si="1"/>
        <v>0.50174906579604794</v>
      </c>
      <c r="Z44" s="11">
        <f t="shared" si="2"/>
        <v>-25.710990996317264</v>
      </c>
      <c r="AP44" s="5"/>
      <c r="AQ44" s="5"/>
      <c r="AR44" s="5"/>
      <c r="AS44" s="5"/>
      <c r="AT44" s="5"/>
      <c r="BC44" s="5"/>
      <c r="BD44" s="5"/>
    </row>
    <row r="45" spans="1:56" x14ac:dyDescent="0.2">
      <c r="A45" s="13">
        <v>44252.069930555554</v>
      </c>
      <c r="B45">
        <v>27852</v>
      </c>
      <c r="C45">
        <v>45</v>
      </c>
      <c r="D45" t="s">
        <v>135</v>
      </c>
      <c r="F45">
        <v>5.6189999999999998</v>
      </c>
      <c r="G45">
        <v>5</v>
      </c>
      <c r="H45">
        <v>328.1</v>
      </c>
      <c r="I45">
        <v>94</v>
      </c>
      <c r="J45">
        <v>1.3</v>
      </c>
      <c r="K45">
        <v>1.7</v>
      </c>
      <c r="L45">
        <v>2.4</v>
      </c>
      <c r="M45">
        <v>1515</v>
      </c>
      <c r="N45">
        <v>1790</v>
      </c>
      <c r="O45">
        <v>2177</v>
      </c>
      <c r="P45">
        <v>28.631</v>
      </c>
      <c r="Q45">
        <v>28.178000000000001</v>
      </c>
      <c r="R45">
        <v>0.33200000000000002</v>
      </c>
      <c r="S45">
        <v>0.122</v>
      </c>
      <c r="U45">
        <v>1.078314</v>
      </c>
      <c r="V45">
        <v>-25.001000000000001</v>
      </c>
      <c r="W45" s="1"/>
      <c r="X45" s="5">
        <f t="shared" si="0"/>
        <v>-30.124567012647539</v>
      </c>
      <c r="Y45" s="11">
        <f t="shared" si="1"/>
        <v>0.33758454464884835</v>
      </c>
      <c r="Z45" s="11">
        <f t="shared" si="2"/>
        <v>-25.261956697439928</v>
      </c>
      <c r="AP45" s="5"/>
      <c r="AQ45" s="5"/>
      <c r="AR45" s="5"/>
      <c r="AS45" s="5"/>
      <c r="AT45" s="5"/>
      <c r="BC45" s="5"/>
      <c r="BD45" s="5"/>
    </row>
    <row r="46" spans="1:56" x14ac:dyDescent="0.2">
      <c r="A46" s="13">
        <v>44252.077256944445</v>
      </c>
      <c r="B46">
        <v>27853</v>
      </c>
      <c r="C46">
        <v>46</v>
      </c>
      <c r="D46" t="s">
        <v>136</v>
      </c>
      <c r="F46">
        <v>5.79</v>
      </c>
      <c r="G46">
        <v>5</v>
      </c>
      <c r="H46">
        <v>346.5</v>
      </c>
      <c r="I46">
        <v>79</v>
      </c>
      <c r="J46">
        <v>2.2999999999999998</v>
      </c>
      <c r="K46">
        <v>2.9</v>
      </c>
      <c r="L46">
        <v>3.7</v>
      </c>
      <c r="M46">
        <v>4846</v>
      </c>
      <c r="N46">
        <v>5721</v>
      </c>
      <c r="O46">
        <v>7008</v>
      </c>
      <c r="P46">
        <v>131.404</v>
      </c>
      <c r="Q46">
        <v>129.31800000000001</v>
      </c>
      <c r="R46">
        <v>1.524</v>
      </c>
      <c r="S46">
        <v>0.56200000000000006</v>
      </c>
      <c r="U46">
        <v>1.078751</v>
      </c>
      <c r="V46">
        <v>-24.602</v>
      </c>
      <c r="W46" s="1"/>
      <c r="X46" s="5">
        <f t="shared" si="0"/>
        <v>-29.725750969527212</v>
      </c>
      <c r="Y46" s="11">
        <f t="shared" si="1"/>
        <v>0.78623535756696583</v>
      </c>
      <c r="Z46" s="11">
        <f t="shared" si="2"/>
        <v>-24.85570064440833</v>
      </c>
      <c r="AP46" s="5"/>
      <c r="AQ46" s="5"/>
      <c r="AR46" s="5"/>
      <c r="AS46" s="5"/>
      <c r="AT46" s="5"/>
      <c r="BC46" s="5"/>
      <c r="BD46" s="5"/>
    </row>
    <row r="47" spans="1:56" x14ac:dyDescent="0.2">
      <c r="A47" s="13">
        <v>44252.084583333337</v>
      </c>
      <c r="B47">
        <v>27854</v>
      </c>
      <c r="C47">
        <v>47</v>
      </c>
      <c r="D47" t="s">
        <v>137</v>
      </c>
      <c r="F47">
        <v>5.827</v>
      </c>
      <c r="G47">
        <v>5</v>
      </c>
      <c r="H47">
        <v>325.8</v>
      </c>
      <c r="I47">
        <v>89</v>
      </c>
      <c r="J47">
        <v>1.4</v>
      </c>
      <c r="K47">
        <v>1.8</v>
      </c>
      <c r="L47">
        <v>2.5</v>
      </c>
      <c r="M47">
        <v>5496</v>
      </c>
      <c r="N47">
        <v>6487</v>
      </c>
      <c r="O47">
        <v>7899</v>
      </c>
      <c r="P47">
        <v>104.36499999999999</v>
      </c>
      <c r="Q47">
        <v>102.712</v>
      </c>
      <c r="R47">
        <v>1.2090000000000001</v>
      </c>
      <c r="S47">
        <v>0.44400000000000001</v>
      </c>
      <c r="U47">
        <v>1.0774239999999999</v>
      </c>
      <c r="V47">
        <v>-25.814</v>
      </c>
      <c r="W47" s="1"/>
      <c r="X47" s="5">
        <f t="shared" si="0"/>
        <v>-30.937934926406886</v>
      </c>
      <c r="Y47" s="11">
        <f t="shared" si="1"/>
        <v>0.66591461404391339</v>
      </c>
      <c r="Z47" s="11">
        <f t="shared" si="2"/>
        <v>-26.090484136765212</v>
      </c>
      <c r="AP47" s="5"/>
      <c r="AQ47" s="5"/>
      <c r="AR47" s="5"/>
      <c r="AS47" s="5"/>
      <c r="AT47" s="5"/>
      <c r="BC47" s="5"/>
      <c r="BD47" s="5"/>
    </row>
    <row r="48" spans="1:56" x14ac:dyDescent="0.2">
      <c r="A48" s="13">
        <v>44252.091909722221</v>
      </c>
      <c r="B48">
        <v>27855</v>
      </c>
      <c r="C48">
        <v>48</v>
      </c>
      <c r="D48" t="s">
        <v>138</v>
      </c>
      <c r="F48">
        <v>5.8220000000000001</v>
      </c>
      <c r="G48">
        <v>5</v>
      </c>
      <c r="H48">
        <v>327.10000000000002</v>
      </c>
      <c r="I48">
        <v>94</v>
      </c>
      <c r="J48">
        <v>1.4</v>
      </c>
      <c r="K48">
        <v>1.8</v>
      </c>
      <c r="L48">
        <v>2.4</v>
      </c>
      <c r="M48">
        <v>1719</v>
      </c>
      <c r="N48">
        <v>2034</v>
      </c>
      <c r="O48">
        <v>2468</v>
      </c>
      <c r="P48">
        <v>33.033999999999999</v>
      </c>
      <c r="Q48">
        <v>32.51</v>
      </c>
      <c r="R48">
        <v>0.38300000000000001</v>
      </c>
      <c r="S48">
        <v>0.14000000000000001</v>
      </c>
      <c r="U48">
        <v>1.0794140000000001</v>
      </c>
      <c r="V48">
        <v>-23.995000000000001</v>
      </c>
      <c r="W48" s="1"/>
      <c r="X48" s="5">
        <f t="shared" si="0"/>
        <v>-29.119118883286561</v>
      </c>
      <c r="Y48" s="11">
        <f t="shared" si="1"/>
        <v>0.35593829104800534</v>
      </c>
      <c r="Z48" s="11">
        <f t="shared" si="2"/>
        <v>-24.237742997720716</v>
      </c>
      <c r="AP48" s="5"/>
      <c r="AQ48" s="5"/>
      <c r="AR48" s="5"/>
      <c r="AS48" s="5"/>
      <c r="AT48" s="5"/>
      <c r="BC48" s="5"/>
      <c r="BD48" s="5"/>
    </row>
    <row r="49" spans="1:56" x14ac:dyDescent="0.2">
      <c r="A49" s="13">
        <v>44252.099247685182</v>
      </c>
      <c r="B49">
        <v>27856</v>
      </c>
      <c r="C49">
        <v>49</v>
      </c>
      <c r="D49" t="s">
        <v>12</v>
      </c>
      <c r="G49">
        <v>5</v>
      </c>
      <c r="H49">
        <v>326.2</v>
      </c>
      <c r="I49">
        <v>89</v>
      </c>
      <c r="J49">
        <v>1.4</v>
      </c>
      <c r="K49">
        <v>1.8</v>
      </c>
      <c r="L49">
        <v>2.5</v>
      </c>
      <c r="M49">
        <v>3961</v>
      </c>
      <c r="N49">
        <v>4646</v>
      </c>
      <c r="O49">
        <v>5706</v>
      </c>
      <c r="P49">
        <v>73.075000000000003</v>
      </c>
      <c r="Q49">
        <v>71.921999999999997</v>
      </c>
      <c r="R49">
        <v>0.84199999999999997</v>
      </c>
      <c r="S49">
        <v>0.311</v>
      </c>
      <c r="U49">
        <v>1.070856</v>
      </c>
      <c r="V49">
        <v>-31.818000000000001</v>
      </c>
      <c r="W49" s="1"/>
      <c r="X49" s="5">
        <f t="shared" si="0"/>
        <v>-36.942302840166235</v>
      </c>
      <c r="Y49" s="11">
        <f t="shared" si="1"/>
        <v>0.53029952214558307</v>
      </c>
      <c r="Z49" s="11">
        <f t="shared" si="2"/>
        <v>-32.206177983675843</v>
      </c>
      <c r="AP49" s="5"/>
      <c r="AQ49" s="5"/>
      <c r="AR49" s="5"/>
      <c r="AS49" s="5"/>
      <c r="AT49" s="5"/>
      <c r="BC49" s="5"/>
      <c r="BD49" s="5"/>
    </row>
    <row r="50" spans="1:56" x14ac:dyDescent="0.2">
      <c r="A50" s="13">
        <v>44252.106562499997</v>
      </c>
      <c r="B50">
        <v>27857</v>
      </c>
      <c r="C50">
        <v>50</v>
      </c>
      <c r="D50" t="s">
        <v>139</v>
      </c>
      <c r="F50">
        <v>5.8179999999999996</v>
      </c>
      <c r="G50">
        <v>5</v>
      </c>
      <c r="H50">
        <v>347.6</v>
      </c>
      <c r="I50">
        <v>79</v>
      </c>
      <c r="J50">
        <v>2.2999999999999998</v>
      </c>
      <c r="K50">
        <v>2.9</v>
      </c>
      <c r="L50">
        <v>3.7</v>
      </c>
      <c r="M50">
        <v>4286</v>
      </c>
      <c r="N50">
        <v>5058</v>
      </c>
      <c r="O50">
        <v>6194</v>
      </c>
      <c r="P50">
        <v>115.458</v>
      </c>
      <c r="Q50">
        <v>113.625</v>
      </c>
      <c r="R50">
        <v>1.339</v>
      </c>
      <c r="S50">
        <v>0.49299999999999999</v>
      </c>
      <c r="U50">
        <v>1.078584</v>
      </c>
      <c r="V50">
        <v>-24.754000000000001</v>
      </c>
      <c r="W50" s="1"/>
      <c r="X50" s="5">
        <f t="shared" si="0"/>
        <v>-29.878486797045905</v>
      </c>
      <c r="Y50" s="11">
        <f t="shared" si="1"/>
        <v>0.71587824563994218</v>
      </c>
      <c r="Z50" s="11">
        <f t="shared" si="2"/>
        <v>-25.011286331397514</v>
      </c>
      <c r="AP50" s="5"/>
      <c r="AQ50" s="5"/>
      <c r="AR50" s="5"/>
      <c r="AS50" s="5"/>
      <c r="AT50" s="5"/>
      <c r="BC50" s="5"/>
      <c r="BD50" s="5"/>
    </row>
    <row r="51" spans="1:56" x14ac:dyDescent="0.2">
      <c r="A51" s="13">
        <v>44252.113900462966</v>
      </c>
      <c r="B51">
        <v>27858</v>
      </c>
      <c r="C51">
        <v>51</v>
      </c>
      <c r="D51" t="s">
        <v>140</v>
      </c>
      <c r="F51">
        <v>5.77</v>
      </c>
      <c r="G51">
        <v>5</v>
      </c>
      <c r="H51">
        <v>328.1</v>
      </c>
      <c r="I51">
        <v>89</v>
      </c>
      <c r="J51">
        <v>1.4</v>
      </c>
      <c r="K51">
        <v>1.8</v>
      </c>
      <c r="L51">
        <v>2.5</v>
      </c>
      <c r="M51">
        <v>3339</v>
      </c>
      <c r="N51">
        <v>3938</v>
      </c>
      <c r="O51">
        <v>4817</v>
      </c>
      <c r="P51">
        <v>60.966999999999999</v>
      </c>
      <c r="Q51">
        <v>60</v>
      </c>
      <c r="R51">
        <v>0.70599999999999996</v>
      </c>
      <c r="S51">
        <v>0.26</v>
      </c>
      <c r="U51">
        <v>1.077361</v>
      </c>
      <c r="V51">
        <v>-25.872</v>
      </c>
      <c r="W51" s="1"/>
      <c r="X51" s="5">
        <f t="shared" si="0"/>
        <v>-30.996670753925578</v>
      </c>
      <c r="Y51" s="11">
        <f t="shared" si="1"/>
        <v>0.47829692846300986</v>
      </c>
      <c r="Z51" s="11">
        <f t="shared" si="2"/>
        <v>-26.150313950856116</v>
      </c>
      <c r="AP51" s="5"/>
      <c r="AQ51" s="5"/>
      <c r="AR51" s="5"/>
      <c r="AS51" s="5"/>
      <c r="AT51" s="5"/>
      <c r="BC51" s="5"/>
      <c r="BD51" s="5"/>
    </row>
    <row r="52" spans="1:56" x14ac:dyDescent="0.2">
      <c r="A52" s="13">
        <v>44252.12122685185</v>
      </c>
      <c r="B52">
        <v>27859</v>
      </c>
      <c r="C52">
        <v>52</v>
      </c>
      <c r="D52" t="s">
        <v>141</v>
      </c>
      <c r="F52">
        <v>5.9779999999999998</v>
      </c>
      <c r="G52">
        <v>5</v>
      </c>
      <c r="H52">
        <v>346.9</v>
      </c>
      <c r="I52">
        <v>79</v>
      </c>
      <c r="J52">
        <v>2.2000000000000002</v>
      </c>
      <c r="K52">
        <v>2.8</v>
      </c>
      <c r="L52">
        <v>3.7</v>
      </c>
      <c r="M52">
        <v>5097</v>
      </c>
      <c r="N52">
        <v>6011</v>
      </c>
      <c r="O52">
        <v>7372</v>
      </c>
      <c r="P52">
        <v>138.15799999999999</v>
      </c>
      <c r="Q52">
        <v>135.96600000000001</v>
      </c>
      <c r="R52">
        <v>1.601</v>
      </c>
      <c r="S52">
        <v>0.59099999999999997</v>
      </c>
      <c r="U52">
        <v>1.0776060000000001</v>
      </c>
      <c r="V52">
        <v>-25.648</v>
      </c>
      <c r="W52" s="1"/>
      <c r="X52" s="5">
        <f t="shared" si="0"/>
        <v>-30.772854710805248</v>
      </c>
      <c r="Y52" s="11">
        <f t="shared" si="1"/>
        <v>0.81580579424917232</v>
      </c>
      <c r="Z52" s="11">
        <f t="shared" si="2"/>
        <v>-25.922328686321634</v>
      </c>
      <c r="AP52" s="5"/>
      <c r="AQ52" s="5"/>
      <c r="AR52" s="5"/>
      <c r="AS52" s="5"/>
      <c r="AT52" s="5"/>
      <c r="BC52" s="5"/>
      <c r="BD52" s="5"/>
    </row>
    <row r="53" spans="1:56" x14ac:dyDescent="0.2">
      <c r="A53" s="13">
        <v>44252.128564814811</v>
      </c>
      <c r="B53">
        <v>27860</v>
      </c>
      <c r="C53">
        <v>53</v>
      </c>
      <c r="D53" t="s">
        <v>142</v>
      </c>
      <c r="F53">
        <v>5.75</v>
      </c>
      <c r="G53">
        <v>5</v>
      </c>
      <c r="H53">
        <v>324.60000000000002</v>
      </c>
      <c r="I53">
        <v>94</v>
      </c>
      <c r="J53">
        <v>1.2</v>
      </c>
      <c r="K53">
        <v>1.6</v>
      </c>
      <c r="L53">
        <v>2.2999999999999998</v>
      </c>
      <c r="M53">
        <v>2405</v>
      </c>
      <c r="N53">
        <v>2846</v>
      </c>
      <c r="O53">
        <v>3445</v>
      </c>
      <c r="P53">
        <v>48.872999999999998</v>
      </c>
      <c r="Q53">
        <v>48.098999999999997</v>
      </c>
      <c r="R53">
        <v>0.56599999999999995</v>
      </c>
      <c r="S53">
        <v>0.20699999999999999</v>
      </c>
      <c r="U53">
        <v>1.077906</v>
      </c>
      <c r="V53">
        <v>-25.373999999999999</v>
      </c>
      <c r="W53" s="1"/>
      <c r="X53" s="5">
        <f t="shared" si="0"/>
        <v>-30.499038667684921</v>
      </c>
      <c r="Y53" s="11">
        <f t="shared" si="1"/>
        <v>0.42425512658542175</v>
      </c>
      <c r="Z53" s="11">
        <f t="shared" si="2"/>
        <v>-25.643410085435335</v>
      </c>
      <c r="AP53" s="5"/>
      <c r="AQ53" s="5"/>
      <c r="AR53" s="5"/>
      <c r="AS53" s="5"/>
      <c r="AT53" s="5"/>
      <c r="BC53" s="5"/>
      <c r="BD53" s="5"/>
    </row>
    <row r="54" spans="1:56" x14ac:dyDescent="0.2">
      <c r="A54" s="13">
        <v>44252.135891203703</v>
      </c>
      <c r="B54">
        <v>27861</v>
      </c>
      <c r="C54">
        <v>54</v>
      </c>
      <c r="D54" t="s">
        <v>143</v>
      </c>
      <c r="F54">
        <v>5.6180000000000003</v>
      </c>
      <c r="G54">
        <v>5</v>
      </c>
      <c r="H54">
        <v>327.3</v>
      </c>
      <c r="I54">
        <v>94</v>
      </c>
      <c r="J54">
        <v>1.4</v>
      </c>
      <c r="K54">
        <v>1.8</v>
      </c>
      <c r="L54">
        <v>2.5</v>
      </c>
      <c r="M54">
        <v>1605</v>
      </c>
      <c r="N54">
        <v>1897</v>
      </c>
      <c r="O54">
        <v>2302</v>
      </c>
      <c r="P54">
        <v>30.606999999999999</v>
      </c>
      <c r="Q54">
        <v>30.123000000000001</v>
      </c>
      <c r="R54">
        <v>0.35499999999999998</v>
      </c>
      <c r="S54">
        <v>0.13</v>
      </c>
      <c r="U54">
        <v>1.078606</v>
      </c>
      <c r="V54">
        <v>-24.734000000000002</v>
      </c>
      <c r="W54" s="1"/>
      <c r="X54" s="5">
        <f t="shared" si="0"/>
        <v>-29.859222624564598</v>
      </c>
      <c r="Y54" s="11">
        <f t="shared" si="1"/>
        <v>0.34574176368573717</v>
      </c>
      <c r="Z54" s="11">
        <f t="shared" si="2"/>
        <v>-24.991662750197861</v>
      </c>
      <c r="AP54" s="5"/>
      <c r="AQ54" s="5"/>
      <c r="AR54" s="5"/>
      <c r="AS54" s="5"/>
      <c r="AT54" s="5"/>
      <c r="BC54" s="5"/>
      <c r="BD54" s="5"/>
    </row>
    <row r="55" spans="1:56" x14ac:dyDescent="0.2">
      <c r="A55" s="13">
        <v>44252.143217592595</v>
      </c>
      <c r="B55">
        <v>27862</v>
      </c>
      <c r="C55">
        <v>55</v>
      </c>
      <c r="D55" t="s">
        <v>144</v>
      </c>
      <c r="F55">
        <v>5.5990000000000002</v>
      </c>
      <c r="G55">
        <v>5</v>
      </c>
      <c r="H55">
        <v>327.10000000000002</v>
      </c>
      <c r="I55">
        <v>89</v>
      </c>
      <c r="J55">
        <v>1.5</v>
      </c>
      <c r="K55">
        <v>1.9</v>
      </c>
      <c r="L55">
        <v>2.6</v>
      </c>
      <c r="M55">
        <v>3937</v>
      </c>
      <c r="N55">
        <v>4647</v>
      </c>
      <c r="O55">
        <v>5673</v>
      </c>
      <c r="P55">
        <v>72.828999999999994</v>
      </c>
      <c r="Q55">
        <v>71.674999999999997</v>
      </c>
      <c r="R55">
        <v>0.84399999999999997</v>
      </c>
      <c r="S55">
        <v>0.31</v>
      </c>
      <c r="U55">
        <v>1.077888</v>
      </c>
      <c r="V55">
        <v>-25.39</v>
      </c>
      <c r="W55" s="1"/>
      <c r="X55" s="5">
        <f t="shared" si="0"/>
        <v>-30.515406581444267</v>
      </c>
      <c r="Y55" s="11">
        <f t="shared" si="1"/>
        <v>0.52927986245515513</v>
      </c>
      <c r="Z55" s="11">
        <f t="shared" si="2"/>
        <v>-25.660083075064335</v>
      </c>
      <c r="AP55" s="5"/>
      <c r="AQ55" s="5"/>
      <c r="AR55" s="5"/>
      <c r="AS55" s="5"/>
      <c r="AT55" s="5"/>
      <c r="BC55" s="5"/>
      <c r="BD55" s="5"/>
    </row>
    <row r="56" spans="1:56" x14ac:dyDescent="0.2">
      <c r="A56" s="13">
        <v>44252.150543981479</v>
      </c>
      <c r="B56">
        <v>27863</v>
      </c>
      <c r="C56">
        <v>56</v>
      </c>
      <c r="D56" t="s">
        <v>145</v>
      </c>
      <c r="F56">
        <v>5.8639999999999999</v>
      </c>
      <c r="G56">
        <v>5</v>
      </c>
      <c r="H56">
        <v>327.5</v>
      </c>
      <c r="I56">
        <v>94</v>
      </c>
      <c r="J56">
        <v>1.3</v>
      </c>
      <c r="K56">
        <v>1.7</v>
      </c>
      <c r="L56">
        <v>2.5</v>
      </c>
      <c r="M56">
        <v>1632</v>
      </c>
      <c r="N56">
        <v>1928</v>
      </c>
      <c r="O56">
        <v>2343</v>
      </c>
      <c r="P56">
        <v>31.129000000000001</v>
      </c>
      <c r="Q56">
        <v>30.635999999999999</v>
      </c>
      <c r="R56">
        <v>0.36099999999999999</v>
      </c>
      <c r="S56">
        <v>0.13200000000000001</v>
      </c>
      <c r="U56">
        <v>1.0779179999999999</v>
      </c>
      <c r="V56">
        <v>-25.363</v>
      </c>
      <c r="W56" s="1"/>
      <c r="X56" s="5">
        <f t="shared" si="0"/>
        <v>-30.48859053832394</v>
      </c>
      <c r="Y56" s="11">
        <f t="shared" si="1"/>
        <v>0.34778106884118642</v>
      </c>
      <c r="Z56" s="11">
        <f t="shared" si="2"/>
        <v>-25.632767213021225</v>
      </c>
      <c r="AP56" s="5"/>
      <c r="AQ56" s="5"/>
      <c r="AR56" s="5"/>
      <c r="AS56" s="5"/>
      <c r="AT56" s="5"/>
      <c r="BC56" s="5"/>
      <c r="BD56" s="5"/>
    </row>
    <row r="57" spans="1:56" x14ac:dyDescent="0.2">
      <c r="A57" s="13">
        <v>44252.157881944448</v>
      </c>
      <c r="B57">
        <v>27864</v>
      </c>
      <c r="C57">
        <v>57</v>
      </c>
      <c r="D57" t="s">
        <v>146</v>
      </c>
      <c r="F57">
        <v>5.7729999999999997</v>
      </c>
      <c r="G57">
        <v>5</v>
      </c>
      <c r="H57">
        <v>327.5</v>
      </c>
      <c r="I57">
        <v>89</v>
      </c>
      <c r="J57">
        <v>1.4</v>
      </c>
      <c r="K57">
        <v>1.9</v>
      </c>
      <c r="L57">
        <v>2.6</v>
      </c>
      <c r="M57">
        <v>3897</v>
      </c>
      <c r="N57">
        <v>4599</v>
      </c>
      <c r="O57">
        <v>5616</v>
      </c>
      <c r="P57">
        <v>72.064999999999998</v>
      </c>
      <c r="Q57">
        <v>70.921999999999997</v>
      </c>
      <c r="R57">
        <v>0.83499999999999996</v>
      </c>
      <c r="S57">
        <v>0.307</v>
      </c>
      <c r="U57">
        <v>1.0780419999999999</v>
      </c>
      <c r="V57">
        <v>-25.248999999999999</v>
      </c>
      <c r="W57" s="1"/>
      <c r="X57" s="5">
        <f t="shared" si="0"/>
        <v>-30.374774495203614</v>
      </c>
      <c r="Y57" s="11">
        <f t="shared" si="1"/>
        <v>0.52622088362215891</v>
      </c>
      <c r="Z57" s="11">
        <f t="shared" si="2"/>
        <v>-25.516829547100997</v>
      </c>
      <c r="AP57" s="5"/>
      <c r="AQ57" s="5"/>
      <c r="AR57" s="5"/>
      <c r="AS57" s="5"/>
      <c r="AT57" s="5"/>
      <c r="BC57" s="5"/>
      <c r="BD57" s="5"/>
    </row>
    <row r="58" spans="1:56" x14ac:dyDescent="0.2">
      <c r="A58" s="13">
        <v>44252.165208333332</v>
      </c>
      <c r="B58">
        <v>27865</v>
      </c>
      <c r="C58">
        <v>58</v>
      </c>
      <c r="D58" t="s">
        <v>147</v>
      </c>
      <c r="F58">
        <v>5.7290000000000001</v>
      </c>
      <c r="G58">
        <v>5</v>
      </c>
      <c r="H58">
        <v>346.9</v>
      </c>
      <c r="I58">
        <v>79</v>
      </c>
      <c r="J58">
        <v>2.2000000000000002</v>
      </c>
      <c r="K58">
        <v>2.9</v>
      </c>
      <c r="L58">
        <v>3.7</v>
      </c>
      <c r="M58">
        <v>4652</v>
      </c>
      <c r="N58">
        <v>5486</v>
      </c>
      <c r="O58">
        <v>6728</v>
      </c>
      <c r="P58">
        <v>125.568</v>
      </c>
      <c r="Q58">
        <v>123.575</v>
      </c>
      <c r="R58">
        <v>1.456</v>
      </c>
      <c r="S58">
        <v>0.53700000000000003</v>
      </c>
      <c r="U58">
        <v>1.077987</v>
      </c>
      <c r="V58">
        <v>-25.3</v>
      </c>
      <c r="W58" s="1"/>
      <c r="X58" s="5">
        <f t="shared" si="0"/>
        <v>-30.425958452083286</v>
      </c>
      <c r="Y58" s="11">
        <f t="shared" si="1"/>
        <v>0.7607436285534277</v>
      </c>
      <c r="Z58" s="11">
        <f t="shared" si="2"/>
        <v>-25.568967659882333</v>
      </c>
      <c r="AP58" s="5"/>
      <c r="AQ58" s="5"/>
      <c r="AR58" s="5"/>
      <c r="AS58" s="5"/>
      <c r="AT58" s="5"/>
      <c r="BC58" s="5"/>
      <c r="BD58" s="5"/>
    </row>
    <row r="59" spans="1:56" x14ac:dyDescent="0.2">
      <c r="A59" s="13">
        <v>44252.172534722224</v>
      </c>
      <c r="B59">
        <v>27866</v>
      </c>
      <c r="C59">
        <v>59</v>
      </c>
      <c r="D59" t="s">
        <v>148</v>
      </c>
      <c r="F59">
        <v>5.91</v>
      </c>
      <c r="G59">
        <v>5</v>
      </c>
      <c r="H59">
        <v>327.5</v>
      </c>
      <c r="I59">
        <v>94</v>
      </c>
      <c r="J59">
        <v>1.3</v>
      </c>
      <c r="K59">
        <v>1.7</v>
      </c>
      <c r="L59">
        <v>2.4</v>
      </c>
      <c r="M59">
        <v>1592</v>
      </c>
      <c r="N59">
        <v>1880</v>
      </c>
      <c r="O59">
        <v>2286</v>
      </c>
      <c r="P59">
        <v>30.257000000000001</v>
      </c>
      <c r="Q59">
        <v>29.777999999999999</v>
      </c>
      <c r="R59">
        <v>0.35099999999999998</v>
      </c>
      <c r="S59">
        <v>0.129</v>
      </c>
      <c r="U59">
        <v>1.0778920000000001</v>
      </c>
      <c r="V59">
        <v>-25.385999999999999</v>
      </c>
      <c r="W59" s="1"/>
      <c r="X59" s="5">
        <f t="shared" si="0"/>
        <v>-30.512142408962958</v>
      </c>
      <c r="Y59" s="11">
        <f t="shared" si="1"/>
        <v>0.34472211116758444</v>
      </c>
      <c r="Z59" s="11">
        <f t="shared" si="2"/>
        <v>-25.656758063413349</v>
      </c>
      <c r="AP59" s="5"/>
      <c r="AQ59" s="5"/>
      <c r="AR59" s="5"/>
      <c r="AS59" s="5"/>
      <c r="AT59" s="5"/>
      <c r="BC59" s="5"/>
      <c r="BD59" s="5"/>
    </row>
    <row r="60" spans="1:56" x14ac:dyDescent="0.2">
      <c r="A60" s="13">
        <v>44252.179872685185</v>
      </c>
      <c r="B60">
        <v>27867</v>
      </c>
      <c r="C60">
        <v>60</v>
      </c>
      <c r="D60" t="s">
        <v>12</v>
      </c>
      <c r="G60">
        <v>5</v>
      </c>
      <c r="H60">
        <v>327.5</v>
      </c>
      <c r="I60">
        <v>89</v>
      </c>
      <c r="J60">
        <v>1.4</v>
      </c>
      <c r="K60">
        <v>1.8</v>
      </c>
      <c r="L60">
        <v>2.5</v>
      </c>
      <c r="M60">
        <v>4242</v>
      </c>
      <c r="N60">
        <v>4976</v>
      </c>
      <c r="O60">
        <v>6106</v>
      </c>
      <c r="P60">
        <v>78.198999999999998</v>
      </c>
      <c r="Q60">
        <v>76.965000000000003</v>
      </c>
      <c r="R60">
        <v>0.90100000000000002</v>
      </c>
      <c r="S60">
        <v>0.33300000000000002</v>
      </c>
      <c r="U60">
        <v>1.0709439999999999</v>
      </c>
      <c r="V60">
        <v>-31.736999999999998</v>
      </c>
      <c r="W60" s="1"/>
      <c r="X60" s="5">
        <f t="shared" si="0"/>
        <v>-36.863326365842632</v>
      </c>
      <c r="Y60" s="11">
        <f t="shared" si="1"/>
        <v>0.55273204535626519</v>
      </c>
      <c r="Z60" s="11">
        <f t="shared" si="2"/>
        <v>-32.125743887662793</v>
      </c>
      <c r="AP60" s="5"/>
      <c r="AQ60" s="5"/>
      <c r="AR60" s="5"/>
      <c r="AS60" s="5"/>
      <c r="AT60" s="5"/>
      <c r="BC60" s="5"/>
      <c r="BD60" s="5"/>
    </row>
    <row r="61" spans="1:56" x14ac:dyDescent="0.2">
      <c r="A61" s="13">
        <v>44252.187199074076</v>
      </c>
      <c r="B61">
        <v>27868</v>
      </c>
      <c r="C61">
        <v>61</v>
      </c>
      <c r="D61" t="s">
        <v>102</v>
      </c>
      <c r="G61">
        <v>5</v>
      </c>
      <c r="H61">
        <v>327.9</v>
      </c>
      <c r="I61">
        <v>89</v>
      </c>
      <c r="J61">
        <v>1.5</v>
      </c>
      <c r="K61">
        <v>1.9</v>
      </c>
      <c r="L61">
        <v>2.6</v>
      </c>
      <c r="M61">
        <v>3296</v>
      </c>
      <c r="N61">
        <v>3869</v>
      </c>
      <c r="O61">
        <v>4752</v>
      </c>
      <c r="P61">
        <v>60.628999999999998</v>
      </c>
      <c r="Q61">
        <v>59.670999999999999</v>
      </c>
      <c r="R61">
        <v>0.69899999999999995</v>
      </c>
      <c r="S61">
        <v>0.25800000000000001</v>
      </c>
      <c r="U61">
        <v>1.072241</v>
      </c>
      <c r="V61">
        <v>-30.552</v>
      </c>
      <c r="W61" s="1"/>
      <c r="X61" s="5">
        <f t="shared" si="0"/>
        <v>-35.678510322722303</v>
      </c>
      <c r="Y61" s="11">
        <f t="shared" si="1"/>
        <v>0.47625761316385251</v>
      </c>
      <c r="Z61" s="11">
        <f t="shared" si="2"/>
        <v>-30.919039069382393</v>
      </c>
      <c r="AP61" s="5"/>
      <c r="AQ61" s="5"/>
      <c r="AR61" s="5"/>
      <c r="AS61" s="5"/>
      <c r="AT61" s="5"/>
      <c r="BC61" s="5"/>
      <c r="BD61" s="5"/>
    </row>
    <row r="62" spans="1:56" x14ac:dyDescent="0.2">
      <c r="A62" s="13">
        <v>44252.194537037038</v>
      </c>
      <c r="B62">
        <v>27869</v>
      </c>
      <c r="C62">
        <v>62</v>
      </c>
      <c r="D62" t="s">
        <v>11</v>
      </c>
      <c r="G62">
        <v>5</v>
      </c>
      <c r="H62">
        <v>347.6</v>
      </c>
      <c r="I62">
        <v>50</v>
      </c>
      <c r="J62">
        <v>2.6</v>
      </c>
      <c r="K62">
        <v>3.3</v>
      </c>
      <c r="L62">
        <v>4.3</v>
      </c>
      <c r="M62">
        <v>3759</v>
      </c>
      <c r="N62">
        <v>4365</v>
      </c>
      <c r="O62">
        <v>5474</v>
      </c>
      <c r="P62">
        <v>95.257999999999996</v>
      </c>
      <c r="Q62">
        <v>93.76</v>
      </c>
      <c r="R62">
        <v>1.0880000000000001</v>
      </c>
      <c r="S62">
        <v>0.41</v>
      </c>
      <c r="U62">
        <v>1.060759</v>
      </c>
      <c r="V62">
        <v>-41.043999999999997</v>
      </c>
      <c r="W62" s="1"/>
      <c r="X62" s="5">
        <f t="shared" si="0"/>
        <v>-46.170694279601975</v>
      </c>
      <c r="Y62" s="11">
        <f t="shared" si="1"/>
        <v>0.63124602762241011</v>
      </c>
      <c r="Z62" s="11">
        <f t="shared" si="2"/>
        <v>-41.603668868095042</v>
      </c>
      <c r="AP62" s="5"/>
      <c r="AQ62" s="5"/>
      <c r="AR62" s="5"/>
      <c r="AS62" s="5"/>
      <c r="AT62" s="5"/>
      <c r="BC62" s="5"/>
      <c r="BD62" s="5"/>
    </row>
    <row r="63" spans="1:56" x14ac:dyDescent="0.2">
      <c r="A63" s="13">
        <v>44252.201863425929</v>
      </c>
      <c r="B63">
        <v>27870</v>
      </c>
      <c r="C63">
        <v>63</v>
      </c>
      <c r="D63" t="s">
        <v>13</v>
      </c>
      <c r="G63">
        <v>4</v>
      </c>
      <c r="H63">
        <v>347.6</v>
      </c>
      <c r="I63">
        <v>78</v>
      </c>
      <c r="J63">
        <v>2.1</v>
      </c>
      <c r="K63">
        <v>2.7</v>
      </c>
      <c r="L63">
        <v>3.5</v>
      </c>
      <c r="M63">
        <v>3942</v>
      </c>
      <c r="N63">
        <v>4710</v>
      </c>
      <c r="O63">
        <v>5710</v>
      </c>
      <c r="P63">
        <v>106.111</v>
      </c>
      <c r="Q63">
        <v>104.41</v>
      </c>
      <c r="R63">
        <v>1.246</v>
      </c>
      <c r="S63">
        <v>0.45400000000000001</v>
      </c>
      <c r="U63">
        <v>1.0932470000000001</v>
      </c>
      <c r="V63">
        <v>-11.35</v>
      </c>
      <c r="W63" s="1"/>
      <c r="X63" s="5">
        <f t="shared" si="0"/>
        <v>-16.47687823648165</v>
      </c>
      <c r="Y63" s="11">
        <f t="shared" si="1"/>
        <v>0.67611126582653469</v>
      </c>
      <c r="Z63" s="11">
        <f t="shared" si="2"/>
        <v>-11.357089801721372</v>
      </c>
      <c r="AP63" s="5"/>
      <c r="AQ63" s="5"/>
      <c r="AR63" s="5"/>
      <c r="AS63" s="5"/>
      <c r="AT63" s="5"/>
      <c r="BC63" s="5"/>
      <c r="BD63" s="5"/>
    </row>
    <row r="64" spans="1:56" x14ac:dyDescent="0.2">
      <c r="A64" s="13">
        <v>44252.209189814814</v>
      </c>
      <c r="B64">
        <v>27871</v>
      </c>
      <c r="C64">
        <v>64</v>
      </c>
      <c r="D64" t="s">
        <v>14</v>
      </c>
      <c r="E64" t="s">
        <v>57</v>
      </c>
      <c r="G64">
        <v>5</v>
      </c>
      <c r="H64">
        <v>348</v>
      </c>
      <c r="I64">
        <v>78</v>
      </c>
      <c r="J64">
        <v>2.2000000000000002</v>
      </c>
      <c r="K64">
        <v>2.8</v>
      </c>
      <c r="L64">
        <v>3.6</v>
      </c>
      <c r="M64">
        <v>3774</v>
      </c>
      <c r="N64">
        <v>4435</v>
      </c>
      <c r="O64">
        <v>5465</v>
      </c>
      <c r="P64">
        <v>101.34399999999999</v>
      </c>
      <c r="Q64">
        <v>99.739000000000004</v>
      </c>
      <c r="R64">
        <v>1.171</v>
      </c>
      <c r="S64">
        <v>0.434</v>
      </c>
      <c r="U64">
        <v>1.0739209999999999</v>
      </c>
      <c r="V64">
        <v>-29.015999999999998</v>
      </c>
      <c r="W64" s="1"/>
      <c r="X64" s="5">
        <f t="shared" si="0"/>
        <v>-34.143062193361324</v>
      </c>
      <c r="Y64" s="11">
        <f t="shared" si="1"/>
        <v>0.65571796622384682</v>
      </c>
      <c r="Z64" s="11">
        <f t="shared" si="2"/>
        <v>-29.355164937556765</v>
      </c>
      <c r="AP64" s="5"/>
      <c r="AQ64" s="5"/>
      <c r="AR64" s="5"/>
      <c r="AS64" s="5"/>
      <c r="AT64" s="5"/>
      <c r="BC64" s="5"/>
      <c r="BD64" s="5"/>
    </row>
    <row r="65" spans="1:56" x14ac:dyDescent="0.2">
      <c r="A65" s="13">
        <v>44252.216516203705</v>
      </c>
      <c r="B65">
        <v>27872</v>
      </c>
      <c r="C65">
        <v>65</v>
      </c>
      <c r="D65" t="s">
        <v>149</v>
      </c>
      <c r="F65">
        <v>5.9589999999999996</v>
      </c>
      <c r="G65">
        <v>5</v>
      </c>
      <c r="H65">
        <v>348.6</v>
      </c>
      <c r="I65">
        <v>78</v>
      </c>
      <c r="J65">
        <v>2.1</v>
      </c>
      <c r="K65">
        <v>2.7</v>
      </c>
      <c r="L65">
        <v>3.6</v>
      </c>
      <c r="M65">
        <v>3121</v>
      </c>
      <c r="N65">
        <v>3683</v>
      </c>
      <c r="O65">
        <v>4523</v>
      </c>
      <c r="P65">
        <v>82.635999999999996</v>
      </c>
      <c r="Q65">
        <v>81.322999999999993</v>
      </c>
      <c r="R65">
        <v>0.95899999999999996</v>
      </c>
      <c r="S65">
        <v>0.35399999999999998</v>
      </c>
      <c r="U65">
        <v>1.078905</v>
      </c>
      <c r="V65">
        <v>-24.460999999999999</v>
      </c>
      <c r="W65" s="1"/>
      <c r="X65" s="5">
        <f t="shared" si="0"/>
        <v>-29.588246150240995</v>
      </c>
      <c r="Y65" s="11">
        <f t="shared" si="1"/>
        <v>0.5741449263115328</v>
      </c>
      <c r="Z65" s="11">
        <f t="shared" si="2"/>
        <v>-24.715629588483466</v>
      </c>
      <c r="AP65" s="5"/>
      <c r="AQ65" s="5"/>
      <c r="AR65" s="5"/>
      <c r="AS65" s="5"/>
      <c r="AT65" s="5"/>
      <c r="BC65" s="5"/>
      <c r="BD65" s="5"/>
    </row>
    <row r="66" spans="1:56" x14ac:dyDescent="0.2">
      <c r="A66" s="13">
        <v>44252.22384259259</v>
      </c>
      <c r="B66">
        <v>27873</v>
      </c>
      <c r="C66">
        <v>66</v>
      </c>
      <c r="D66" t="s">
        <v>150</v>
      </c>
      <c r="F66">
        <v>5.6740000000000004</v>
      </c>
      <c r="G66">
        <v>5</v>
      </c>
      <c r="H66">
        <v>327.9</v>
      </c>
      <c r="I66">
        <v>89</v>
      </c>
      <c r="J66">
        <v>1.4</v>
      </c>
      <c r="K66">
        <v>1.8</v>
      </c>
      <c r="L66">
        <v>2.4</v>
      </c>
      <c r="M66">
        <v>3688</v>
      </c>
      <c r="N66">
        <v>4354</v>
      </c>
      <c r="O66">
        <v>5318</v>
      </c>
      <c r="P66">
        <v>67.92</v>
      </c>
      <c r="Q66">
        <v>66.841999999999999</v>
      </c>
      <c r="R66">
        <v>0.78700000000000003</v>
      </c>
      <c r="S66">
        <v>0.28999999999999998</v>
      </c>
      <c r="U66">
        <v>1.0782389999999999</v>
      </c>
      <c r="V66">
        <v>-25.07</v>
      </c>
      <c r="W66" s="1"/>
      <c r="X66" s="5">
        <f t="shared" si="0"/>
        <v>-30.19743010712067</v>
      </c>
      <c r="Y66" s="11">
        <f t="shared" si="1"/>
        <v>0.50888667697097389</v>
      </c>
      <c r="Z66" s="11">
        <f t="shared" si="2"/>
        <v>-25.336178580840738</v>
      </c>
      <c r="AP66" s="5"/>
      <c r="AQ66" s="5"/>
      <c r="AR66" s="5"/>
      <c r="AS66" s="5"/>
      <c r="AT66" s="5"/>
      <c r="BC66" s="5"/>
      <c r="BD66" s="5"/>
    </row>
    <row r="67" spans="1:56" x14ac:dyDescent="0.2">
      <c r="A67" s="13">
        <v>44252.231180555558</v>
      </c>
      <c r="B67">
        <v>27874</v>
      </c>
      <c r="C67">
        <v>67</v>
      </c>
      <c r="D67" t="s">
        <v>151</v>
      </c>
      <c r="F67">
        <v>5.8410000000000002</v>
      </c>
      <c r="G67">
        <v>5</v>
      </c>
      <c r="H67">
        <v>346.9</v>
      </c>
      <c r="I67">
        <v>79</v>
      </c>
      <c r="J67">
        <v>2.1</v>
      </c>
      <c r="K67">
        <v>2.7</v>
      </c>
      <c r="L67">
        <v>3.5</v>
      </c>
      <c r="M67">
        <v>4982</v>
      </c>
      <c r="N67">
        <v>5873</v>
      </c>
      <c r="O67">
        <v>7208</v>
      </c>
      <c r="P67">
        <v>135.01900000000001</v>
      </c>
      <c r="Q67">
        <v>132.87700000000001</v>
      </c>
      <c r="R67">
        <v>1.5649999999999999</v>
      </c>
      <c r="S67">
        <v>0.57799999999999996</v>
      </c>
      <c r="U67">
        <v>1.077531</v>
      </c>
      <c r="V67">
        <v>-25.716000000000001</v>
      </c>
      <c r="W67" s="1"/>
      <c r="X67" s="5">
        <f t="shared" ref="X67:X130" si="14">IF(ISNUMBER(V67),V67-B67*$AB$3,"")</f>
        <v>-30.843614064000342</v>
      </c>
      <c r="Y67" s="11">
        <f t="shared" ref="Y67:Y130" si="15">IF(ISNUMBER(S67),(S67+1000)/((S67*$AU$1+$AV$1)/1000+1)-1000,"")</f>
        <v>0.80255007713265059</v>
      </c>
      <c r="Z67" s="11">
        <f t="shared" ref="Z67:Z130" si="16">IF(ISNUMBER(X67),(X67+1000)/((X67*$AU$2+$AV$2)/1000+1)-1000,"")</f>
        <v>-25.994406291539576</v>
      </c>
      <c r="AP67" s="5"/>
      <c r="AQ67" s="5"/>
      <c r="AR67" s="5"/>
      <c r="AS67" s="5"/>
      <c r="AT67" s="5"/>
      <c r="BC67" s="5"/>
      <c r="BD67" s="5"/>
    </row>
    <row r="68" spans="1:56" x14ac:dyDescent="0.2">
      <c r="A68" s="13">
        <v>44252.238518518519</v>
      </c>
      <c r="B68">
        <v>27875</v>
      </c>
      <c r="C68">
        <v>68</v>
      </c>
      <c r="D68" t="s">
        <v>152</v>
      </c>
      <c r="F68">
        <v>5.7350000000000003</v>
      </c>
      <c r="G68">
        <v>5</v>
      </c>
      <c r="H68">
        <v>328.1</v>
      </c>
      <c r="I68">
        <v>89</v>
      </c>
      <c r="J68">
        <v>1.4</v>
      </c>
      <c r="K68">
        <v>1.8</v>
      </c>
      <c r="L68">
        <v>2.5</v>
      </c>
      <c r="M68">
        <v>3465</v>
      </c>
      <c r="N68">
        <v>4088</v>
      </c>
      <c r="O68">
        <v>5004</v>
      </c>
      <c r="P68">
        <v>63.517000000000003</v>
      </c>
      <c r="Q68">
        <v>62.51</v>
      </c>
      <c r="R68">
        <v>0.73599999999999999</v>
      </c>
      <c r="S68">
        <v>0.27100000000000002</v>
      </c>
      <c r="U68">
        <v>1.0774429999999999</v>
      </c>
      <c r="V68">
        <v>-25.797000000000001</v>
      </c>
      <c r="W68" s="1"/>
      <c r="X68" s="5">
        <f t="shared" si="14"/>
        <v>-30.924798020880015</v>
      </c>
      <c r="Y68" s="11">
        <f t="shared" si="15"/>
        <v>0.4895131654418492</v>
      </c>
      <c r="Z68" s="11">
        <f t="shared" si="16"/>
        <v>-26.077102535809445</v>
      </c>
      <c r="AP68" s="5"/>
      <c r="AQ68" s="5"/>
      <c r="AR68" s="5"/>
      <c r="AS68" s="5"/>
      <c r="AT68" s="5"/>
      <c r="BC68" s="5"/>
      <c r="BD68" s="5"/>
    </row>
    <row r="69" spans="1:56" x14ac:dyDescent="0.2">
      <c r="A69" s="13">
        <v>44252.245856481481</v>
      </c>
      <c r="B69">
        <v>27876</v>
      </c>
      <c r="C69">
        <v>69</v>
      </c>
      <c r="D69" t="s">
        <v>153</v>
      </c>
      <c r="F69">
        <v>5.6230000000000002</v>
      </c>
      <c r="G69">
        <v>5</v>
      </c>
      <c r="H69">
        <v>326.89999999999998</v>
      </c>
      <c r="I69">
        <v>89</v>
      </c>
      <c r="J69">
        <v>1.4</v>
      </c>
      <c r="K69">
        <v>1.8</v>
      </c>
      <c r="L69">
        <v>2.5</v>
      </c>
      <c r="M69">
        <v>4518</v>
      </c>
      <c r="N69">
        <v>5336</v>
      </c>
      <c r="O69">
        <v>6508</v>
      </c>
      <c r="P69">
        <v>84.549000000000007</v>
      </c>
      <c r="Q69">
        <v>83.207999999999998</v>
      </c>
      <c r="R69">
        <v>0.98</v>
      </c>
      <c r="S69">
        <v>0.36</v>
      </c>
      <c r="U69">
        <v>1.07829</v>
      </c>
      <c r="V69">
        <v>-25.023</v>
      </c>
      <c r="W69" s="1"/>
      <c r="X69" s="5">
        <f t="shared" si="14"/>
        <v>-30.150981977759688</v>
      </c>
      <c r="Y69" s="11">
        <f t="shared" si="15"/>
        <v>0.58026289550832644</v>
      </c>
      <c r="Z69" s="11">
        <f t="shared" si="16"/>
        <v>-25.288864280060466</v>
      </c>
      <c r="AP69" s="5"/>
      <c r="AQ69" s="5"/>
      <c r="AR69" s="5"/>
      <c r="AS69" s="5"/>
      <c r="AT69" s="5"/>
      <c r="BC69" s="5"/>
      <c r="BD69" s="5"/>
    </row>
    <row r="70" spans="1:56" x14ac:dyDescent="0.2">
      <c r="A70" s="13">
        <v>44252.253182870372</v>
      </c>
      <c r="B70">
        <v>27877</v>
      </c>
      <c r="C70">
        <v>70</v>
      </c>
      <c r="D70" t="s">
        <v>154</v>
      </c>
      <c r="F70">
        <v>5.8280000000000003</v>
      </c>
      <c r="G70">
        <v>5</v>
      </c>
      <c r="H70">
        <v>327.7</v>
      </c>
      <c r="I70">
        <v>94</v>
      </c>
      <c r="J70">
        <v>1.4</v>
      </c>
      <c r="K70">
        <v>1.7</v>
      </c>
      <c r="L70">
        <v>2.5</v>
      </c>
      <c r="M70">
        <v>1591</v>
      </c>
      <c r="N70">
        <v>1882</v>
      </c>
      <c r="O70">
        <v>2286</v>
      </c>
      <c r="P70">
        <v>30.26</v>
      </c>
      <c r="Q70">
        <v>29.78</v>
      </c>
      <c r="R70">
        <v>0.35099999999999998</v>
      </c>
      <c r="S70">
        <v>0.129</v>
      </c>
      <c r="U70">
        <v>1.0794820000000001</v>
      </c>
      <c r="V70">
        <v>-23.933</v>
      </c>
      <c r="W70" s="1"/>
      <c r="X70" s="5">
        <f t="shared" si="14"/>
        <v>-29.061165934639362</v>
      </c>
      <c r="Y70" s="11">
        <f t="shared" si="15"/>
        <v>0.34472211116758444</v>
      </c>
      <c r="Z70" s="11">
        <f t="shared" si="16"/>
        <v>-24.178707543557493</v>
      </c>
      <c r="AP70" s="5"/>
      <c r="AQ70" s="5"/>
      <c r="AR70" s="5"/>
      <c r="AS70" s="5"/>
      <c r="AT70" s="5"/>
      <c r="BC70" s="5"/>
      <c r="BD70" s="5"/>
    </row>
    <row r="71" spans="1:56" x14ac:dyDescent="0.2">
      <c r="A71" s="13">
        <v>44252.260509259257</v>
      </c>
      <c r="B71">
        <v>27878</v>
      </c>
      <c r="C71">
        <v>71</v>
      </c>
      <c r="D71" t="s">
        <v>12</v>
      </c>
      <c r="G71">
        <v>5</v>
      </c>
      <c r="H71">
        <v>327.7</v>
      </c>
      <c r="I71">
        <v>89</v>
      </c>
      <c r="J71">
        <v>1.4</v>
      </c>
      <c r="K71">
        <v>1.8</v>
      </c>
      <c r="L71">
        <v>2.5</v>
      </c>
      <c r="M71">
        <v>3953</v>
      </c>
      <c r="N71">
        <v>4636</v>
      </c>
      <c r="O71">
        <v>5694</v>
      </c>
      <c r="P71">
        <v>72.731999999999999</v>
      </c>
      <c r="Q71">
        <v>71.584000000000003</v>
      </c>
      <c r="R71">
        <v>0.83799999999999997</v>
      </c>
      <c r="S71">
        <v>0.31</v>
      </c>
      <c r="U71">
        <v>1.0708819999999999</v>
      </c>
      <c r="V71">
        <v>-31.794</v>
      </c>
      <c r="W71" s="1"/>
      <c r="X71" s="5">
        <f t="shared" si="14"/>
        <v>-36.922349891519033</v>
      </c>
      <c r="Y71" s="11">
        <f t="shared" si="15"/>
        <v>0.52927986245515513</v>
      </c>
      <c r="Z71" s="11">
        <f t="shared" si="16"/>
        <v>-32.185856792131858</v>
      </c>
      <c r="AP71" s="5"/>
      <c r="AQ71" s="5"/>
      <c r="AR71" s="5"/>
      <c r="AS71" s="5"/>
      <c r="AT71" s="5"/>
      <c r="BC71" s="5"/>
      <c r="BD71" s="5"/>
    </row>
    <row r="72" spans="1:56" x14ac:dyDescent="0.2">
      <c r="A72" s="13">
        <v>44252.267835648148</v>
      </c>
      <c r="B72">
        <v>27879</v>
      </c>
      <c r="C72">
        <v>72</v>
      </c>
      <c r="D72" t="s">
        <v>155</v>
      </c>
      <c r="F72">
        <v>5.8150000000000004</v>
      </c>
      <c r="G72">
        <v>5</v>
      </c>
      <c r="H72">
        <v>327.7</v>
      </c>
      <c r="I72">
        <v>89</v>
      </c>
      <c r="J72">
        <v>1.4</v>
      </c>
      <c r="K72">
        <v>1.8</v>
      </c>
      <c r="L72">
        <v>2.6</v>
      </c>
      <c r="M72">
        <v>3402</v>
      </c>
      <c r="N72">
        <v>4019</v>
      </c>
      <c r="O72">
        <v>4904</v>
      </c>
      <c r="P72">
        <v>62.34</v>
      </c>
      <c r="Q72">
        <v>61.350999999999999</v>
      </c>
      <c r="R72">
        <v>0.72299999999999998</v>
      </c>
      <c r="S72">
        <v>0.26600000000000001</v>
      </c>
      <c r="U72">
        <v>1.0789299999999999</v>
      </c>
      <c r="V72">
        <v>-24.437999999999999</v>
      </c>
      <c r="W72" s="1"/>
      <c r="X72" s="5">
        <f t="shared" si="14"/>
        <v>-29.566533848398706</v>
      </c>
      <c r="Y72" s="11">
        <f t="shared" si="15"/>
        <v>0.48441487531169969</v>
      </c>
      <c r="Z72" s="11">
        <f t="shared" si="16"/>
        <v>-24.693512023183644</v>
      </c>
      <c r="AP72" s="5"/>
      <c r="AQ72" s="5"/>
      <c r="AR72" s="5"/>
      <c r="AS72" s="5"/>
      <c r="AT72" s="5"/>
      <c r="BC72" s="5"/>
      <c r="BD72" s="5"/>
    </row>
    <row r="73" spans="1:56" x14ac:dyDescent="0.2">
      <c r="A73" s="13">
        <v>44252.27516203704</v>
      </c>
      <c r="B73">
        <v>27880</v>
      </c>
      <c r="C73">
        <v>73</v>
      </c>
      <c r="D73" t="s">
        <v>156</v>
      </c>
      <c r="F73">
        <v>5.718</v>
      </c>
      <c r="G73">
        <v>5</v>
      </c>
      <c r="H73">
        <v>347.6</v>
      </c>
      <c r="I73">
        <v>79</v>
      </c>
      <c r="J73">
        <v>2.2000000000000002</v>
      </c>
      <c r="K73">
        <v>2.8</v>
      </c>
      <c r="L73">
        <v>3.6</v>
      </c>
      <c r="M73">
        <v>4080</v>
      </c>
      <c r="N73">
        <v>4821</v>
      </c>
      <c r="O73">
        <v>5908</v>
      </c>
      <c r="P73">
        <v>109.46599999999999</v>
      </c>
      <c r="Q73">
        <v>107.726</v>
      </c>
      <c r="R73">
        <v>1.2709999999999999</v>
      </c>
      <c r="S73">
        <v>0.46899999999999997</v>
      </c>
      <c r="U73">
        <v>1.080068</v>
      </c>
      <c r="V73">
        <v>-23.396999999999998</v>
      </c>
      <c r="W73" s="1"/>
      <c r="X73" s="5">
        <f t="shared" si="14"/>
        <v>-28.525717805278376</v>
      </c>
      <c r="Y73" s="11">
        <f t="shared" si="15"/>
        <v>0.69140625092995833</v>
      </c>
      <c r="Z73" s="11">
        <f t="shared" si="16"/>
        <v>-23.633253228493118</v>
      </c>
      <c r="AP73" s="5"/>
      <c r="AQ73" s="5"/>
      <c r="AR73" s="5"/>
      <c r="AS73" s="5"/>
      <c r="AT73" s="5"/>
      <c r="BC73" s="5"/>
      <c r="BD73" s="5"/>
    </row>
    <row r="74" spans="1:56" x14ac:dyDescent="0.2">
      <c r="A74" s="13">
        <v>44252.282500000001</v>
      </c>
      <c r="B74">
        <v>27881</v>
      </c>
      <c r="C74">
        <v>74</v>
      </c>
      <c r="D74" t="s">
        <v>157</v>
      </c>
      <c r="F74">
        <v>5.7359999999999998</v>
      </c>
      <c r="G74">
        <v>5</v>
      </c>
      <c r="H74">
        <v>324.60000000000002</v>
      </c>
      <c r="I74">
        <v>94</v>
      </c>
      <c r="J74">
        <v>1.3</v>
      </c>
      <c r="K74">
        <v>1.7</v>
      </c>
      <c r="L74">
        <v>2.4</v>
      </c>
      <c r="M74">
        <v>2259</v>
      </c>
      <c r="N74">
        <v>2672</v>
      </c>
      <c r="O74">
        <v>3237</v>
      </c>
      <c r="P74">
        <v>45.402000000000001</v>
      </c>
      <c r="Q74">
        <v>44.683</v>
      </c>
      <c r="R74">
        <v>0.52600000000000002</v>
      </c>
      <c r="S74">
        <v>0.192</v>
      </c>
      <c r="U74">
        <v>1.0782210000000001</v>
      </c>
      <c r="V74">
        <v>-25.085999999999999</v>
      </c>
      <c r="W74" s="1"/>
      <c r="X74" s="5">
        <f t="shared" si="14"/>
        <v>-30.21490176215805</v>
      </c>
      <c r="Y74" s="11">
        <f t="shared" si="15"/>
        <v>0.40896029720590832</v>
      </c>
      <c r="Z74" s="11">
        <f t="shared" si="16"/>
        <v>-25.353976033908339</v>
      </c>
      <c r="AP74" s="5"/>
      <c r="AQ74" s="5"/>
      <c r="AR74" s="5"/>
      <c r="AS74" s="5"/>
      <c r="AT74" s="5"/>
      <c r="BC74" s="5"/>
      <c r="BD74" s="5"/>
    </row>
    <row r="75" spans="1:56" x14ac:dyDescent="0.2">
      <c r="A75" s="13">
        <v>44252.289826388886</v>
      </c>
      <c r="B75">
        <v>27882</v>
      </c>
      <c r="C75">
        <v>75</v>
      </c>
      <c r="D75" t="s">
        <v>158</v>
      </c>
      <c r="F75">
        <v>5.8380000000000001</v>
      </c>
      <c r="G75">
        <v>5</v>
      </c>
      <c r="H75">
        <v>328.1</v>
      </c>
      <c r="I75">
        <v>89</v>
      </c>
      <c r="J75">
        <v>1.5</v>
      </c>
      <c r="K75">
        <v>1.9</v>
      </c>
      <c r="L75">
        <v>2.7</v>
      </c>
      <c r="M75">
        <v>3295</v>
      </c>
      <c r="N75">
        <v>3889</v>
      </c>
      <c r="O75">
        <v>4755</v>
      </c>
      <c r="P75">
        <v>60.238</v>
      </c>
      <c r="Q75">
        <v>59.281999999999996</v>
      </c>
      <c r="R75">
        <v>0.69899999999999995</v>
      </c>
      <c r="S75">
        <v>0.25700000000000001</v>
      </c>
      <c r="U75">
        <v>1.0784739999999999</v>
      </c>
      <c r="V75">
        <v>-24.855</v>
      </c>
      <c r="W75" s="1"/>
      <c r="X75" s="5">
        <f t="shared" si="14"/>
        <v>-29.984085719037726</v>
      </c>
      <c r="Y75" s="11">
        <f t="shared" si="15"/>
        <v>0.47523795557356152</v>
      </c>
      <c r="Z75" s="11">
        <f t="shared" si="16"/>
        <v>-25.11885520842236</v>
      </c>
      <c r="AP75" s="5"/>
      <c r="AQ75" s="5"/>
      <c r="AR75" s="5"/>
      <c r="AS75" s="5"/>
      <c r="AT75" s="5"/>
      <c r="BC75" s="5"/>
      <c r="BD75" s="5"/>
    </row>
    <row r="76" spans="1:56" x14ac:dyDescent="0.2">
      <c r="A76" s="13">
        <v>44252.297152777777</v>
      </c>
      <c r="B76">
        <v>27883</v>
      </c>
      <c r="C76">
        <v>76</v>
      </c>
      <c r="D76" t="s">
        <v>159</v>
      </c>
      <c r="F76">
        <v>5.6669999999999998</v>
      </c>
      <c r="G76">
        <v>5</v>
      </c>
      <c r="H76">
        <v>327.5</v>
      </c>
      <c r="I76">
        <v>94</v>
      </c>
      <c r="J76">
        <v>1.4</v>
      </c>
      <c r="K76">
        <v>1.8</v>
      </c>
      <c r="L76">
        <v>2.5</v>
      </c>
      <c r="M76">
        <v>1519</v>
      </c>
      <c r="N76">
        <v>1795</v>
      </c>
      <c r="O76">
        <v>2182</v>
      </c>
      <c r="P76">
        <v>28.774000000000001</v>
      </c>
      <c r="Q76">
        <v>28.318000000000001</v>
      </c>
      <c r="R76">
        <v>0.33400000000000002</v>
      </c>
      <c r="S76">
        <v>0.122</v>
      </c>
      <c r="U76">
        <v>1.078576</v>
      </c>
      <c r="V76">
        <v>-24.762</v>
      </c>
      <c r="W76" s="1"/>
      <c r="X76" s="5">
        <f t="shared" si="14"/>
        <v>-29.8912696759174</v>
      </c>
      <c r="Y76" s="11">
        <f t="shared" si="15"/>
        <v>0.33758454464884835</v>
      </c>
      <c r="Z76" s="11">
        <f t="shared" si="16"/>
        <v>-25.024307692646516</v>
      </c>
      <c r="AP76" s="5"/>
      <c r="AQ76" s="5"/>
      <c r="AR76" s="5"/>
      <c r="AS76" s="5"/>
      <c r="AT76" s="5"/>
      <c r="BC76" s="5"/>
      <c r="BD76" s="5"/>
    </row>
    <row r="77" spans="1:56" x14ac:dyDescent="0.2">
      <c r="A77" s="13">
        <v>44252.304490740738</v>
      </c>
      <c r="B77">
        <v>27884</v>
      </c>
      <c r="C77">
        <v>77</v>
      </c>
      <c r="D77" t="s">
        <v>160</v>
      </c>
      <c r="F77">
        <v>5.72</v>
      </c>
      <c r="G77">
        <v>5</v>
      </c>
      <c r="H77">
        <v>324.8</v>
      </c>
      <c r="I77">
        <v>94</v>
      </c>
      <c r="J77">
        <v>1.3</v>
      </c>
      <c r="K77">
        <v>1.6</v>
      </c>
      <c r="L77">
        <v>2.4</v>
      </c>
      <c r="M77">
        <v>2189</v>
      </c>
      <c r="N77">
        <v>2588</v>
      </c>
      <c r="O77">
        <v>3137</v>
      </c>
      <c r="P77">
        <v>43.732999999999997</v>
      </c>
      <c r="Q77">
        <v>43.040999999999997</v>
      </c>
      <c r="R77">
        <v>0.50700000000000001</v>
      </c>
      <c r="S77">
        <v>0.185</v>
      </c>
      <c r="U77">
        <v>1.077628</v>
      </c>
      <c r="V77">
        <v>-25.628</v>
      </c>
      <c r="W77" s="1"/>
      <c r="X77" s="5">
        <f t="shared" si="14"/>
        <v>-30.75745363279707</v>
      </c>
      <c r="Y77" s="11">
        <f t="shared" si="15"/>
        <v>0.40182271321293683</v>
      </c>
      <c r="Z77" s="11">
        <f t="shared" si="16"/>
        <v>-25.906640666173303</v>
      </c>
      <c r="AP77" s="5"/>
      <c r="AQ77" s="5"/>
      <c r="AR77" s="5"/>
      <c r="AS77" s="5"/>
      <c r="AT77" s="5"/>
      <c r="BC77" s="5"/>
      <c r="BD77" s="5"/>
    </row>
    <row r="78" spans="1:56" x14ac:dyDescent="0.2">
      <c r="A78" s="13">
        <v>44252.31181712963</v>
      </c>
      <c r="B78">
        <v>27885</v>
      </c>
      <c r="C78">
        <v>78</v>
      </c>
      <c r="D78" t="s">
        <v>161</v>
      </c>
      <c r="F78">
        <v>5.827</v>
      </c>
      <c r="G78">
        <v>5</v>
      </c>
      <c r="H78">
        <v>347.8</v>
      </c>
      <c r="I78">
        <v>78</v>
      </c>
      <c r="J78">
        <v>2.4</v>
      </c>
      <c r="K78">
        <v>3</v>
      </c>
      <c r="L78">
        <v>4</v>
      </c>
      <c r="M78">
        <v>4231</v>
      </c>
      <c r="N78">
        <v>5000</v>
      </c>
      <c r="O78">
        <v>6128</v>
      </c>
      <c r="P78">
        <v>113.18899999999999</v>
      </c>
      <c r="Q78">
        <v>111.389</v>
      </c>
      <c r="R78">
        <v>1.3149999999999999</v>
      </c>
      <c r="S78">
        <v>0.48499999999999999</v>
      </c>
      <c r="U78">
        <v>1.080182</v>
      </c>
      <c r="V78">
        <v>-23.294</v>
      </c>
      <c r="W78" s="1"/>
      <c r="X78" s="5">
        <f t="shared" si="14"/>
        <v>-28.423637589676744</v>
      </c>
      <c r="Y78" s="11">
        <f t="shared" si="15"/>
        <v>0.70772091153389738</v>
      </c>
      <c r="Z78" s="11">
        <f t="shared" si="16"/>
        <v>-23.529264461647585</v>
      </c>
      <c r="AP78" s="5"/>
      <c r="AQ78" s="5"/>
      <c r="AR78" s="5"/>
      <c r="AS78" s="5"/>
      <c r="AT78" s="5"/>
      <c r="BC78" s="5"/>
      <c r="BD78" s="5"/>
    </row>
    <row r="79" spans="1:56" x14ac:dyDescent="0.2">
      <c r="A79" s="13">
        <v>44252.319143518522</v>
      </c>
      <c r="B79">
        <v>27886</v>
      </c>
      <c r="C79">
        <v>79</v>
      </c>
      <c r="D79" t="s">
        <v>162</v>
      </c>
      <c r="F79">
        <v>5.681</v>
      </c>
      <c r="G79">
        <v>5</v>
      </c>
      <c r="H79">
        <v>328.3</v>
      </c>
      <c r="I79">
        <v>89</v>
      </c>
      <c r="J79">
        <v>1.4</v>
      </c>
      <c r="K79">
        <v>1.8</v>
      </c>
      <c r="L79">
        <v>2.6</v>
      </c>
      <c r="M79">
        <v>3142</v>
      </c>
      <c r="N79">
        <v>3710</v>
      </c>
      <c r="O79">
        <v>4537</v>
      </c>
      <c r="P79">
        <v>57.274999999999999</v>
      </c>
      <c r="Q79">
        <v>56.366</v>
      </c>
      <c r="R79">
        <v>0.66400000000000003</v>
      </c>
      <c r="S79">
        <v>0.245</v>
      </c>
      <c r="U79">
        <v>1.07877</v>
      </c>
      <c r="V79">
        <v>-24.584</v>
      </c>
      <c r="W79" s="1"/>
      <c r="X79" s="5">
        <f t="shared" si="14"/>
        <v>-29.713821546556417</v>
      </c>
      <c r="Y79" s="11">
        <f t="shared" si="15"/>
        <v>0.46300206758212425</v>
      </c>
      <c r="Z79" s="11">
        <f t="shared" si="16"/>
        <v>-24.843548605335513</v>
      </c>
      <c r="AP79" s="5"/>
      <c r="AQ79" s="5"/>
      <c r="AR79" s="5"/>
      <c r="AS79" s="5"/>
      <c r="AT79" s="5"/>
      <c r="BC79" s="5"/>
      <c r="BD79" s="5"/>
    </row>
    <row r="80" spans="1:56" x14ac:dyDescent="0.2">
      <c r="A80" s="13">
        <v>44252.326469907406</v>
      </c>
      <c r="B80">
        <v>27887</v>
      </c>
      <c r="C80">
        <v>80</v>
      </c>
      <c r="D80" t="s">
        <v>163</v>
      </c>
      <c r="F80">
        <v>5.6369999999999996</v>
      </c>
      <c r="G80">
        <v>5</v>
      </c>
      <c r="H80">
        <v>326</v>
      </c>
      <c r="I80">
        <v>89</v>
      </c>
      <c r="J80">
        <v>1.4</v>
      </c>
      <c r="K80">
        <v>1.8</v>
      </c>
      <c r="L80">
        <v>2.5</v>
      </c>
      <c r="M80">
        <v>5441</v>
      </c>
      <c r="N80">
        <v>6431</v>
      </c>
      <c r="O80">
        <v>7825</v>
      </c>
      <c r="P80">
        <v>103.453</v>
      </c>
      <c r="Q80">
        <v>101.813</v>
      </c>
      <c r="R80">
        <v>1.2</v>
      </c>
      <c r="S80">
        <v>0.44</v>
      </c>
      <c r="U80">
        <v>1.0788880000000001</v>
      </c>
      <c r="V80">
        <v>-24.477</v>
      </c>
      <c r="W80" s="1"/>
      <c r="X80" s="5">
        <f t="shared" si="14"/>
        <v>-29.607005503436088</v>
      </c>
      <c r="Y80" s="11">
        <f t="shared" si="15"/>
        <v>0.6618359544404484</v>
      </c>
      <c r="Z80" s="11">
        <f t="shared" si="16"/>
        <v>-24.73473907707546</v>
      </c>
      <c r="AP80" s="5"/>
      <c r="AQ80" s="5"/>
      <c r="AR80" s="5"/>
      <c r="AS80" s="5"/>
      <c r="AT80" s="5"/>
      <c r="BC80" s="5"/>
      <c r="BD80" s="5"/>
    </row>
    <row r="81" spans="1:56" x14ac:dyDescent="0.2">
      <c r="A81" s="13">
        <v>44252.333807870367</v>
      </c>
      <c r="B81">
        <v>27888</v>
      </c>
      <c r="C81">
        <v>81</v>
      </c>
      <c r="D81" t="s">
        <v>164</v>
      </c>
      <c r="F81">
        <v>5.8179999999999996</v>
      </c>
      <c r="G81">
        <v>5</v>
      </c>
      <c r="H81">
        <v>347.1</v>
      </c>
      <c r="I81">
        <v>79</v>
      </c>
      <c r="J81">
        <v>2.2000000000000002</v>
      </c>
      <c r="K81">
        <v>2.8</v>
      </c>
      <c r="L81">
        <v>3.8</v>
      </c>
      <c r="M81">
        <v>4476</v>
      </c>
      <c r="N81">
        <v>5285</v>
      </c>
      <c r="O81">
        <v>6479</v>
      </c>
      <c r="P81">
        <v>120.75700000000001</v>
      </c>
      <c r="Q81">
        <v>118.839</v>
      </c>
      <c r="R81">
        <v>1.4019999999999999</v>
      </c>
      <c r="S81">
        <v>0.51700000000000002</v>
      </c>
      <c r="U81">
        <v>1.0794360000000001</v>
      </c>
      <c r="V81">
        <v>-23.975000000000001</v>
      </c>
      <c r="W81" s="1"/>
      <c r="X81" s="5">
        <f t="shared" si="14"/>
        <v>-29.105189460315763</v>
      </c>
      <c r="Y81" s="11">
        <f t="shared" si="15"/>
        <v>0.74035026317369557</v>
      </c>
      <c r="Z81" s="11">
        <f t="shared" si="16"/>
        <v>-24.223553395223121</v>
      </c>
      <c r="AP81" s="5"/>
      <c r="AQ81" s="5"/>
      <c r="AR81" s="5"/>
      <c r="AS81" s="5"/>
      <c r="AT81" s="5"/>
      <c r="BC81" s="5"/>
      <c r="BD81" s="5"/>
    </row>
    <row r="82" spans="1:56" x14ac:dyDescent="0.2">
      <c r="A82" s="13">
        <v>44252.341145833336</v>
      </c>
      <c r="B82">
        <v>27889</v>
      </c>
      <c r="C82">
        <v>82</v>
      </c>
      <c r="D82" t="s">
        <v>12</v>
      </c>
      <c r="G82">
        <v>5</v>
      </c>
      <c r="H82">
        <v>326</v>
      </c>
      <c r="I82">
        <v>89</v>
      </c>
      <c r="J82">
        <v>1.4</v>
      </c>
      <c r="K82">
        <v>1.8</v>
      </c>
      <c r="L82">
        <v>2.5</v>
      </c>
      <c r="M82">
        <v>4046</v>
      </c>
      <c r="N82">
        <v>4746</v>
      </c>
      <c r="O82">
        <v>5828</v>
      </c>
      <c r="P82">
        <v>74.894999999999996</v>
      </c>
      <c r="Q82">
        <v>73.712999999999994</v>
      </c>
      <c r="R82">
        <v>0.86299999999999999</v>
      </c>
      <c r="S82">
        <v>0.31900000000000001</v>
      </c>
      <c r="U82">
        <v>1.070835</v>
      </c>
      <c r="V82">
        <v>-31.835999999999999</v>
      </c>
      <c r="W82" s="1"/>
      <c r="X82" s="5">
        <f t="shared" si="14"/>
        <v>-36.966373417195435</v>
      </c>
      <c r="Y82" s="11">
        <f t="shared" si="15"/>
        <v>0.53845680109407112</v>
      </c>
      <c r="Z82" s="11">
        <f t="shared" si="16"/>
        <v>-32.230692781654739</v>
      </c>
      <c r="AP82" s="5"/>
      <c r="AQ82" s="5"/>
      <c r="AR82" s="5"/>
      <c r="AS82" s="5"/>
      <c r="AT82" s="5"/>
      <c r="BC82" s="5"/>
      <c r="BD82" s="5"/>
    </row>
    <row r="83" spans="1:56" x14ac:dyDescent="0.2">
      <c r="A83" s="13">
        <v>44252.34847222222</v>
      </c>
      <c r="B83">
        <v>27890</v>
      </c>
      <c r="C83">
        <v>83</v>
      </c>
      <c r="D83" t="s">
        <v>165</v>
      </c>
      <c r="F83">
        <v>5.694</v>
      </c>
      <c r="G83">
        <v>5</v>
      </c>
      <c r="H83">
        <v>346.3</v>
      </c>
      <c r="I83">
        <v>79</v>
      </c>
      <c r="J83">
        <v>2.2000000000000002</v>
      </c>
      <c r="K83">
        <v>2.8</v>
      </c>
      <c r="L83">
        <v>3.6</v>
      </c>
      <c r="M83">
        <v>5359</v>
      </c>
      <c r="N83">
        <v>6315</v>
      </c>
      <c r="O83">
        <v>7736</v>
      </c>
      <c r="P83">
        <v>146.173</v>
      </c>
      <c r="Q83">
        <v>143.85599999999999</v>
      </c>
      <c r="R83">
        <v>1.6930000000000001</v>
      </c>
      <c r="S83">
        <v>0.624</v>
      </c>
      <c r="U83">
        <v>1.076997</v>
      </c>
      <c r="V83">
        <v>-26.204999999999998</v>
      </c>
      <c r="W83" s="1"/>
      <c r="X83" s="5">
        <f t="shared" si="14"/>
        <v>-31.335557374075105</v>
      </c>
      <c r="Y83" s="11">
        <f t="shared" si="15"/>
        <v>0.84945495238935109</v>
      </c>
      <c r="Z83" s="11">
        <f t="shared" si="16"/>
        <v>-26.495510597571069</v>
      </c>
      <c r="AP83" s="5"/>
      <c r="AQ83" s="5"/>
      <c r="AR83" s="5"/>
      <c r="AS83" s="5"/>
      <c r="AT83" s="5"/>
      <c r="BC83" s="5"/>
      <c r="BD83" s="5"/>
    </row>
    <row r="84" spans="1:56" x14ac:dyDescent="0.2">
      <c r="A84" s="13">
        <v>44252.355798611112</v>
      </c>
      <c r="B84">
        <v>27891</v>
      </c>
      <c r="C84">
        <v>84</v>
      </c>
      <c r="D84" t="s">
        <v>166</v>
      </c>
      <c r="F84">
        <v>5.7140000000000004</v>
      </c>
      <c r="G84">
        <v>5</v>
      </c>
      <c r="H84">
        <v>326.89999999999998</v>
      </c>
      <c r="I84">
        <v>89</v>
      </c>
      <c r="J84">
        <v>1.5</v>
      </c>
      <c r="K84">
        <v>1.9</v>
      </c>
      <c r="L84">
        <v>2.7</v>
      </c>
      <c r="M84">
        <v>4505</v>
      </c>
      <c r="N84">
        <v>5317</v>
      </c>
      <c r="O84">
        <v>6486</v>
      </c>
      <c r="P84">
        <v>84.242999999999995</v>
      </c>
      <c r="Q84">
        <v>82.906999999999996</v>
      </c>
      <c r="R84">
        <v>0.97599999999999998</v>
      </c>
      <c r="S84">
        <v>0.35899999999999999</v>
      </c>
      <c r="U84">
        <v>1.077869</v>
      </c>
      <c r="V84">
        <v>-25.407</v>
      </c>
      <c r="W84" s="1"/>
      <c r="X84" s="5">
        <f t="shared" si="14"/>
        <v>-30.53774133095478</v>
      </c>
      <c r="Y84" s="11">
        <f t="shared" si="15"/>
        <v>0.57924323387646837</v>
      </c>
      <c r="Z84" s="11">
        <f t="shared" si="16"/>
        <v>-25.682834101909179</v>
      </c>
      <c r="AP84" s="5"/>
      <c r="AQ84" s="5"/>
      <c r="AR84" s="5"/>
      <c r="AS84" s="5"/>
      <c r="AT84" s="5"/>
      <c r="BC84" s="5"/>
      <c r="BD84" s="5"/>
    </row>
    <row r="85" spans="1:56" x14ac:dyDescent="0.2">
      <c r="A85" s="13">
        <v>44252.363125000003</v>
      </c>
      <c r="B85">
        <v>27892</v>
      </c>
      <c r="C85">
        <v>85</v>
      </c>
      <c r="D85" t="s">
        <v>167</v>
      </c>
      <c r="F85">
        <v>5.64</v>
      </c>
      <c r="G85">
        <v>5</v>
      </c>
      <c r="H85">
        <v>328.1</v>
      </c>
      <c r="I85">
        <v>89</v>
      </c>
      <c r="J85">
        <v>1.5</v>
      </c>
      <c r="K85">
        <v>1.9</v>
      </c>
      <c r="L85">
        <v>2.7</v>
      </c>
      <c r="M85">
        <v>3358</v>
      </c>
      <c r="N85">
        <v>3966</v>
      </c>
      <c r="O85">
        <v>4848</v>
      </c>
      <c r="P85">
        <v>61.503999999999998</v>
      </c>
      <c r="Q85">
        <v>60.527999999999999</v>
      </c>
      <c r="R85">
        <v>0.71399999999999997</v>
      </c>
      <c r="S85">
        <v>0.26300000000000001</v>
      </c>
      <c r="U85">
        <v>1.0788219999999999</v>
      </c>
      <c r="V85">
        <v>-24.536999999999999</v>
      </c>
      <c r="W85" s="1"/>
      <c r="X85" s="5">
        <f t="shared" si="14"/>
        <v>-29.66792528783445</v>
      </c>
      <c r="Y85" s="11">
        <f t="shared" si="15"/>
        <v>0.48135590170898013</v>
      </c>
      <c r="Z85" s="11">
        <f t="shared" si="16"/>
        <v>-24.796795834323234</v>
      </c>
      <c r="AP85" s="5"/>
      <c r="AQ85" s="5"/>
      <c r="AR85" s="5"/>
      <c r="AS85" s="5"/>
      <c r="AT85" s="5"/>
      <c r="BC85" s="5"/>
      <c r="BD85" s="5"/>
    </row>
    <row r="86" spans="1:56" x14ac:dyDescent="0.2">
      <c r="A86" s="13">
        <v>44252.370451388888</v>
      </c>
      <c r="B86">
        <v>27893</v>
      </c>
      <c r="C86">
        <v>86</v>
      </c>
      <c r="D86" t="s">
        <v>168</v>
      </c>
      <c r="F86">
        <v>5.851</v>
      </c>
      <c r="G86">
        <v>5</v>
      </c>
      <c r="H86">
        <v>327.10000000000002</v>
      </c>
      <c r="I86">
        <v>94</v>
      </c>
      <c r="J86">
        <v>1.4</v>
      </c>
      <c r="K86">
        <v>1.8</v>
      </c>
      <c r="L86">
        <v>2.5</v>
      </c>
      <c r="M86">
        <v>1677</v>
      </c>
      <c r="N86">
        <v>1981</v>
      </c>
      <c r="O86">
        <v>2408</v>
      </c>
      <c r="P86">
        <v>32.161000000000001</v>
      </c>
      <c r="Q86">
        <v>31.651</v>
      </c>
      <c r="R86">
        <v>0.373</v>
      </c>
      <c r="S86">
        <v>0.13700000000000001</v>
      </c>
      <c r="U86">
        <v>1.077777</v>
      </c>
      <c r="V86">
        <v>-25.492000000000001</v>
      </c>
      <c r="W86" s="1"/>
      <c r="X86" s="5">
        <f t="shared" si="14"/>
        <v>-30.623109244714126</v>
      </c>
      <c r="Y86" s="11">
        <f t="shared" si="15"/>
        <v>0.35287933242329927</v>
      </c>
      <c r="Z86" s="11">
        <f t="shared" si="16"/>
        <v>-25.769792980514467</v>
      </c>
      <c r="AP86" s="5"/>
      <c r="AQ86" s="5"/>
      <c r="AR86" s="5"/>
      <c r="AS86" s="5"/>
      <c r="AT86" s="5"/>
      <c r="BC86" s="5"/>
      <c r="BD86" s="5"/>
    </row>
    <row r="87" spans="1:56" x14ac:dyDescent="0.2">
      <c r="A87" s="13">
        <v>44252.37777777778</v>
      </c>
      <c r="B87">
        <v>27894</v>
      </c>
      <c r="C87">
        <v>87</v>
      </c>
      <c r="D87" t="s">
        <v>169</v>
      </c>
      <c r="F87">
        <v>5.8979999999999997</v>
      </c>
      <c r="G87">
        <v>5</v>
      </c>
      <c r="H87">
        <v>347.1</v>
      </c>
      <c r="I87">
        <v>79</v>
      </c>
      <c r="J87">
        <v>2.2000000000000002</v>
      </c>
      <c r="K87">
        <v>2.8</v>
      </c>
      <c r="L87">
        <v>3.7</v>
      </c>
      <c r="M87">
        <v>4073</v>
      </c>
      <c r="N87">
        <v>4805</v>
      </c>
      <c r="O87">
        <v>5900</v>
      </c>
      <c r="P87">
        <v>109.419</v>
      </c>
      <c r="Q87">
        <v>107.681</v>
      </c>
      <c r="R87">
        <v>1.2689999999999999</v>
      </c>
      <c r="S87">
        <v>0.46899999999999997</v>
      </c>
      <c r="U87">
        <v>1.078384</v>
      </c>
      <c r="V87">
        <v>-24.937000000000001</v>
      </c>
      <c r="W87" s="1"/>
      <c r="X87" s="5">
        <f t="shared" si="14"/>
        <v>-30.0682932015938</v>
      </c>
      <c r="Y87" s="11">
        <f t="shared" si="15"/>
        <v>0.69140625092995833</v>
      </c>
      <c r="Z87" s="11">
        <f t="shared" si="16"/>
        <v>-25.20463335949762</v>
      </c>
      <c r="AP87" s="5"/>
      <c r="AQ87" s="5"/>
      <c r="AR87" s="5"/>
      <c r="AS87" s="5"/>
      <c r="AT87" s="5"/>
      <c r="BC87" s="5"/>
      <c r="BD87" s="5"/>
    </row>
    <row r="88" spans="1:56" x14ac:dyDescent="0.2">
      <c r="A88" s="13">
        <v>44252.385115740741</v>
      </c>
      <c r="B88">
        <v>27895</v>
      </c>
      <c r="C88">
        <v>88</v>
      </c>
      <c r="D88" t="s">
        <v>170</v>
      </c>
      <c r="F88">
        <v>5.8230000000000004</v>
      </c>
      <c r="G88">
        <v>5</v>
      </c>
      <c r="H88">
        <v>327.5</v>
      </c>
      <c r="I88">
        <v>94</v>
      </c>
      <c r="J88">
        <v>1.3</v>
      </c>
      <c r="K88">
        <v>1.7</v>
      </c>
      <c r="L88">
        <v>2.4</v>
      </c>
      <c r="M88">
        <v>1544</v>
      </c>
      <c r="N88">
        <v>1826</v>
      </c>
      <c r="O88">
        <v>2218</v>
      </c>
      <c r="P88">
        <v>29.332999999999998</v>
      </c>
      <c r="Q88">
        <v>28.867999999999999</v>
      </c>
      <c r="R88">
        <v>0.34</v>
      </c>
      <c r="S88">
        <v>0.125</v>
      </c>
      <c r="U88">
        <v>1.079348</v>
      </c>
      <c r="V88">
        <v>-24.056000000000001</v>
      </c>
      <c r="W88" s="1"/>
      <c r="X88" s="5">
        <f t="shared" si="14"/>
        <v>-29.18747715847347</v>
      </c>
      <c r="Y88" s="11">
        <f t="shared" si="15"/>
        <v>0.34064350149060374</v>
      </c>
      <c r="Z88" s="11">
        <f t="shared" si="16"/>
        <v>-24.307378016899634</v>
      </c>
      <c r="AP88" s="5"/>
      <c r="AQ88" s="5"/>
      <c r="AR88" s="5"/>
      <c r="AS88" s="5"/>
      <c r="AT88" s="5"/>
      <c r="BC88" s="5"/>
      <c r="BD88" s="5"/>
    </row>
    <row r="89" spans="1:56" x14ac:dyDescent="0.2">
      <c r="A89" s="13">
        <v>44252.392453703702</v>
      </c>
      <c r="B89">
        <v>27896</v>
      </c>
      <c r="C89">
        <v>89</v>
      </c>
      <c r="D89" t="s">
        <v>171</v>
      </c>
      <c r="F89">
        <v>5.6360000000000001</v>
      </c>
      <c r="G89">
        <v>5</v>
      </c>
      <c r="H89">
        <v>348.4</v>
      </c>
      <c r="I89">
        <v>78</v>
      </c>
      <c r="J89">
        <v>2.2999999999999998</v>
      </c>
      <c r="K89">
        <v>2.9</v>
      </c>
      <c r="L89">
        <v>3.8</v>
      </c>
      <c r="M89">
        <v>2915</v>
      </c>
      <c r="N89">
        <v>3436</v>
      </c>
      <c r="O89">
        <v>4238</v>
      </c>
      <c r="P89">
        <v>76.840999999999994</v>
      </c>
      <c r="Q89">
        <v>75.62</v>
      </c>
      <c r="R89">
        <v>0.89100000000000001</v>
      </c>
      <c r="S89">
        <v>0.33</v>
      </c>
      <c r="U89">
        <v>1.077477</v>
      </c>
      <c r="V89">
        <v>-25.765999999999998</v>
      </c>
      <c r="W89" s="1"/>
      <c r="X89" s="5">
        <f t="shared" si="14"/>
        <v>-30.897661115353142</v>
      </c>
      <c r="Y89" s="11">
        <f t="shared" si="15"/>
        <v>0.54967306378910052</v>
      </c>
      <c r="Z89" s="11">
        <f t="shared" si="16"/>
        <v>-26.049460147365721</v>
      </c>
      <c r="AP89" s="5"/>
      <c r="AQ89" s="5"/>
      <c r="AR89" s="5"/>
      <c r="AS89" s="5"/>
      <c r="AT89" s="5"/>
      <c r="BC89" s="5"/>
      <c r="BD89" s="5"/>
    </row>
    <row r="90" spans="1:56" x14ac:dyDescent="0.2">
      <c r="A90" s="13">
        <v>44252.399780092594</v>
      </c>
      <c r="B90">
        <v>27897</v>
      </c>
      <c r="C90">
        <v>90</v>
      </c>
      <c r="D90" t="s">
        <v>172</v>
      </c>
      <c r="F90">
        <v>5.6130000000000004</v>
      </c>
      <c r="G90">
        <v>5</v>
      </c>
      <c r="H90">
        <v>327.3</v>
      </c>
      <c r="I90">
        <v>89</v>
      </c>
      <c r="J90">
        <v>1.3</v>
      </c>
      <c r="K90">
        <v>1.7</v>
      </c>
      <c r="L90">
        <v>2.5</v>
      </c>
      <c r="M90">
        <v>4128</v>
      </c>
      <c r="N90">
        <v>4871</v>
      </c>
      <c r="O90">
        <v>5949</v>
      </c>
      <c r="P90">
        <v>76.563999999999993</v>
      </c>
      <c r="Q90">
        <v>75.349999999999994</v>
      </c>
      <c r="R90">
        <v>0.88700000000000001</v>
      </c>
      <c r="S90">
        <v>0.32600000000000001</v>
      </c>
      <c r="U90">
        <v>1.0775699999999999</v>
      </c>
      <c r="V90">
        <v>-25.681000000000001</v>
      </c>
      <c r="W90" s="1"/>
      <c r="X90" s="5">
        <f t="shared" si="14"/>
        <v>-30.812845072232818</v>
      </c>
      <c r="Y90" s="11">
        <f t="shared" si="15"/>
        <v>0.54559442225433941</v>
      </c>
      <c r="Z90" s="11">
        <f t="shared" si="16"/>
        <v>-25.963064088696342</v>
      </c>
      <c r="AP90" s="5"/>
      <c r="AQ90" s="5"/>
      <c r="AR90" s="5"/>
      <c r="AS90" s="5"/>
      <c r="AT90" s="5"/>
      <c r="BC90" s="5"/>
      <c r="BD90" s="5"/>
    </row>
    <row r="91" spans="1:56" x14ac:dyDescent="0.2">
      <c r="A91" s="13">
        <v>44252.407106481478</v>
      </c>
      <c r="B91">
        <v>27898</v>
      </c>
      <c r="C91">
        <v>91</v>
      </c>
      <c r="D91" t="s">
        <v>173</v>
      </c>
      <c r="F91">
        <v>5.7460000000000004</v>
      </c>
      <c r="G91">
        <v>5</v>
      </c>
      <c r="H91">
        <v>325.60000000000002</v>
      </c>
      <c r="I91">
        <v>89</v>
      </c>
      <c r="J91">
        <v>1.4</v>
      </c>
      <c r="K91">
        <v>1.8</v>
      </c>
      <c r="L91">
        <v>2.6</v>
      </c>
      <c r="M91">
        <v>5562</v>
      </c>
      <c r="N91">
        <v>6569</v>
      </c>
      <c r="O91">
        <v>7997</v>
      </c>
      <c r="P91">
        <v>106.078</v>
      </c>
      <c r="Q91">
        <v>104.39700000000001</v>
      </c>
      <c r="R91">
        <v>1.23</v>
      </c>
      <c r="S91">
        <v>0.45100000000000001</v>
      </c>
      <c r="U91">
        <v>1.0780529999999999</v>
      </c>
      <c r="V91">
        <v>-25.24</v>
      </c>
      <c r="W91" s="1"/>
      <c r="X91" s="5">
        <f t="shared" si="14"/>
        <v>-30.37202902911249</v>
      </c>
      <c r="Y91" s="11">
        <f t="shared" si="15"/>
        <v>0.67305226987571132</v>
      </c>
      <c r="Z91" s="11">
        <f t="shared" si="16"/>
        <v>-25.514032898748269</v>
      </c>
      <c r="AP91" s="5"/>
      <c r="AQ91" s="5"/>
      <c r="AR91" s="5"/>
      <c r="AS91" s="5"/>
      <c r="AT91" s="5"/>
      <c r="BC91" s="5"/>
      <c r="BD91" s="5"/>
    </row>
    <row r="92" spans="1:56" x14ac:dyDescent="0.2">
      <c r="A92" s="13">
        <v>44252.414444444446</v>
      </c>
      <c r="B92">
        <v>27899</v>
      </c>
      <c r="C92">
        <v>92</v>
      </c>
      <c r="D92" t="s">
        <v>174</v>
      </c>
      <c r="F92">
        <v>5.92</v>
      </c>
      <c r="G92">
        <v>5</v>
      </c>
      <c r="H92">
        <v>327.5</v>
      </c>
      <c r="I92">
        <v>94</v>
      </c>
      <c r="J92">
        <v>1.4</v>
      </c>
      <c r="K92">
        <v>1.8</v>
      </c>
      <c r="L92">
        <v>2.5</v>
      </c>
      <c r="M92">
        <v>1614</v>
      </c>
      <c r="N92">
        <v>1907</v>
      </c>
      <c r="O92">
        <v>2319</v>
      </c>
      <c r="P92">
        <v>30.823</v>
      </c>
      <c r="Q92">
        <v>30.335000000000001</v>
      </c>
      <c r="R92">
        <v>0.35699999999999998</v>
      </c>
      <c r="S92">
        <v>0.13100000000000001</v>
      </c>
      <c r="U92">
        <v>1.077731</v>
      </c>
      <c r="V92">
        <v>-25.533999999999999</v>
      </c>
      <c r="W92" s="1"/>
      <c r="X92" s="5">
        <f t="shared" si="14"/>
        <v>-30.666212985992161</v>
      </c>
      <c r="Y92" s="11">
        <f t="shared" si="15"/>
        <v>0.34676141624368029</v>
      </c>
      <c r="Z92" s="11">
        <f t="shared" si="16"/>
        <v>-25.81369994864508</v>
      </c>
      <c r="AP92" s="5"/>
      <c r="AQ92" s="5"/>
      <c r="AR92" s="5"/>
      <c r="AS92" s="5"/>
      <c r="AT92" s="5"/>
      <c r="BC92" s="5"/>
      <c r="BD92" s="5"/>
    </row>
    <row r="93" spans="1:56" x14ac:dyDescent="0.2">
      <c r="A93" s="13">
        <v>44252.421770833331</v>
      </c>
      <c r="B93">
        <v>27900</v>
      </c>
      <c r="C93">
        <v>93</v>
      </c>
      <c r="D93" t="s">
        <v>12</v>
      </c>
      <c r="G93">
        <v>5</v>
      </c>
      <c r="H93">
        <v>325.60000000000002</v>
      </c>
      <c r="I93">
        <v>89</v>
      </c>
      <c r="J93">
        <v>1.4</v>
      </c>
      <c r="K93">
        <v>1.8</v>
      </c>
      <c r="L93">
        <v>2.6</v>
      </c>
      <c r="M93">
        <v>4129</v>
      </c>
      <c r="N93">
        <v>4843</v>
      </c>
      <c r="O93">
        <v>5945</v>
      </c>
      <c r="P93">
        <v>76.497</v>
      </c>
      <c r="Q93">
        <v>75.290000000000006</v>
      </c>
      <c r="R93">
        <v>0.88100000000000001</v>
      </c>
      <c r="S93">
        <v>0.32600000000000001</v>
      </c>
      <c r="U93">
        <v>1.070859</v>
      </c>
      <c r="V93">
        <v>-31.814</v>
      </c>
      <c r="W93" s="1"/>
      <c r="X93" s="5">
        <f t="shared" si="14"/>
        <v>-36.946396942871836</v>
      </c>
      <c r="Y93" s="11">
        <f t="shared" si="15"/>
        <v>0.54559442225433941</v>
      </c>
      <c r="Z93" s="11">
        <f t="shared" si="16"/>
        <v>-32.210347643948467</v>
      </c>
      <c r="AP93" s="5"/>
      <c r="AQ93" s="5"/>
      <c r="AR93" s="5"/>
      <c r="AS93" s="5"/>
      <c r="AT93" s="5"/>
      <c r="BC93" s="5"/>
      <c r="BD93" s="5"/>
    </row>
    <row r="94" spans="1:56" x14ac:dyDescent="0.2">
      <c r="A94" s="13">
        <v>44252.429224537038</v>
      </c>
      <c r="B94">
        <v>27901</v>
      </c>
      <c r="C94">
        <v>94</v>
      </c>
      <c r="D94" t="s">
        <v>175</v>
      </c>
      <c r="F94">
        <v>5.8079999999999998</v>
      </c>
      <c r="G94">
        <v>5</v>
      </c>
      <c r="H94">
        <v>346.7</v>
      </c>
      <c r="I94">
        <v>79</v>
      </c>
      <c r="J94">
        <v>2.2000000000000002</v>
      </c>
      <c r="K94">
        <v>2.8</v>
      </c>
      <c r="L94">
        <v>3.7</v>
      </c>
      <c r="M94">
        <v>4601</v>
      </c>
      <c r="N94">
        <v>5431</v>
      </c>
      <c r="O94">
        <v>6648</v>
      </c>
      <c r="P94">
        <v>124.69799999999999</v>
      </c>
      <c r="Q94">
        <v>122.71899999999999</v>
      </c>
      <c r="R94">
        <v>1.446</v>
      </c>
      <c r="S94">
        <v>0.53300000000000003</v>
      </c>
      <c r="U94">
        <v>1.0786720000000001</v>
      </c>
      <c r="V94">
        <v>-24.673999999999999</v>
      </c>
      <c r="W94" s="1"/>
      <c r="X94" s="5">
        <f t="shared" si="14"/>
        <v>-29.806580899751509</v>
      </c>
      <c r="Y94" s="11">
        <f t="shared" si="15"/>
        <v>0.75666495420944102</v>
      </c>
      <c r="Z94" s="11">
        <f t="shared" si="16"/>
        <v>-24.938038842838523</v>
      </c>
      <c r="AP94" s="5"/>
      <c r="AQ94" s="5"/>
      <c r="AR94" s="5"/>
      <c r="AS94" s="5"/>
      <c r="AT94" s="5"/>
      <c r="BC94" s="5"/>
      <c r="BD94" s="5"/>
    </row>
    <row r="95" spans="1:56" x14ac:dyDescent="0.2">
      <c r="A95" s="13">
        <v>44252.436550925922</v>
      </c>
      <c r="B95">
        <v>27902</v>
      </c>
      <c r="C95">
        <v>95</v>
      </c>
      <c r="D95" t="s">
        <v>176</v>
      </c>
      <c r="F95">
        <v>5.6349999999999998</v>
      </c>
      <c r="G95">
        <v>5</v>
      </c>
      <c r="H95">
        <v>326.5</v>
      </c>
      <c r="I95">
        <v>94</v>
      </c>
      <c r="J95">
        <v>1.3</v>
      </c>
      <c r="K95">
        <v>1.7</v>
      </c>
      <c r="L95">
        <v>2.4</v>
      </c>
      <c r="M95">
        <v>1833</v>
      </c>
      <c r="N95">
        <v>2168</v>
      </c>
      <c r="O95">
        <v>2630</v>
      </c>
      <c r="P95">
        <v>35.621000000000002</v>
      </c>
      <c r="Q95">
        <v>35.055999999999997</v>
      </c>
      <c r="R95">
        <v>0.41299999999999998</v>
      </c>
      <c r="S95">
        <v>0.151</v>
      </c>
      <c r="U95">
        <v>1.078946</v>
      </c>
      <c r="V95">
        <v>-24.422999999999998</v>
      </c>
      <c r="W95" s="1"/>
      <c r="X95" s="5">
        <f t="shared" si="14"/>
        <v>-29.555764856631178</v>
      </c>
      <c r="Y95" s="11">
        <f t="shared" si="15"/>
        <v>0.36715447572316862</v>
      </c>
      <c r="Z95" s="11">
        <f t="shared" si="16"/>
        <v>-24.682542021541849</v>
      </c>
      <c r="AP95" s="5"/>
      <c r="AQ95" s="5"/>
      <c r="AR95" s="5"/>
      <c r="AS95" s="5"/>
      <c r="AT95" s="5"/>
      <c r="BC95" s="5"/>
      <c r="BD95" s="5"/>
    </row>
    <row r="96" spans="1:56" x14ac:dyDescent="0.2">
      <c r="A96" s="13">
        <v>44252.443888888891</v>
      </c>
      <c r="B96">
        <v>27903</v>
      </c>
      <c r="C96">
        <v>96</v>
      </c>
      <c r="D96" t="s">
        <v>177</v>
      </c>
      <c r="F96">
        <v>5.6280000000000001</v>
      </c>
      <c r="G96">
        <v>5</v>
      </c>
      <c r="H96">
        <v>327.5</v>
      </c>
      <c r="I96">
        <v>89</v>
      </c>
      <c r="J96">
        <v>1.5</v>
      </c>
      <c r="K96">
        <v>1.9</v>
      </c>
      <c r="L96">
        <v>2.8</v>
      </c>
      <c r="M96">
        <v>3680</v>
      </c>
      <c r="N96">
        <v>4347</v>
      </c>
      <c r="O96">
        <v>5307</v>
      </c>
      <c r="P96">
        <v>67.873999999999995</v>
      </c>
      <c r="Q96">
        <v>66.798000000000002</v>
      </c>
      <c r="R96">
        <v>0.78700000000000003</v>
      </c>
      <c r="S96">
        <v>0.28999999999999998</v>
      </c>
      <c r="U96">
        <v>1.078684</v>
      </c>
      <c r="V96">
        <v>-24.663</v>
      </c>
      <c r="W96" s="1"/>
      <c r="X96" s="5">
        <f t="shared" si="14"/>
        <v>-29.795948813510854</v>
      </c>
      <c r="Y96" s="11">
        <f t="shared" si="15"/>
        <v>0.50888667697097389</v>
      </c>
      <c r="Z96" s="11">
        <f t="shared" si="16"/>
        <v>-24.927208374910606</v>
      </c>
      <c r="AP96" s="5"/>
      <c r="AQ96" s="5"/>
      <c r="AR96" s="5"/>
      <c r="AS96" s="5"/>
      <c r="AT96" s="5"/>
      <c r="BC96" s="5"/>
      <c r="BD96" s="5"/>
    </row>
    <row r="97" spans="1:56" x14ac:dyDescent="0.2">
      <c r="A97" s="13">
        <v>44252.451215277775</v>
      </c>
      <c r="B97">
        <v>27904</v>
      </c>
      <c r="C97">
        <v>97</v>
      </c>
      <c r="D97" t="s">
        <v>178</v>
      </c>
      <c r="F97">
        <v>5.806</v>
      </c>
      <c r="G97">
        <v>5</v>
      </c>
      <c r="H97">
        <v>324.8</v>
      </c>
      <c r="I97">
        <v>94</v>
      </c>
      <c r="J97">
        <v>1.4</v>
      </c>
      <c r="K97">
        <v>1.7</v>
      </c>
      <c r="L97">
        <v>2.5</v>
      </c>
      <c r="M97">
        <v>2169</v>
      </c>
      <c r="N97">
        <v>2566</v>
      </c>
      <c r="O97">
        <v>3108</v>
      </c>
      <c r="P97">
        <v>43.347000000000001</v>
      </c>
      <c r="Q97">
        <v>42.66</v>
      </c>
      <c r="R97">
        <v>0.503</v>
      </c>
      <c r="S97">
        <v>0.184</v>
      </c>
      <c r="U97">
        <v>1.078641</v>
      </c>
      <c r="V97">
        <v>-24.702000000000002</v>
      </c>
      <c r="W97" s="1"/>
      <c r="X97" s="5">
        <f t="shared" si="14"/>
        <v>-29.83513277039053</v>
      </c>
      <c r="Y97" s="11">
        <f t="shared" si="15"/>
        <v>0.40080305851540743</v>
      </c>
      <c r="Z97" s="11">
        <f t="shared" si="16"/>
        <v>-24.967123440417481</v>
      </c>
      <c r="AP97" s="5"/>
      <c r="AQ97" s="5"/>
      <c r="AR97" s="5"/>
      <c r="AS97" s="5"/>
      <c r="AT97" s="5"/>
      <c r="BC97" s="5"/>
      <c r="BD97" s="5"/>
    </row>
    <row r="98" spans="1:56" x14ac:dyDescent="0.2">
      <c r="A98" s="13">
        <v>44252.458541666667</v>
      </c>
      <c r="B98">
        <v>27905</v>
      </c>
      <c r="C98">
        <v>98</v>
      </c>
      <c r="D98" t="s">
        <v>179</v>
      </c>
      <c r="F98">
        <v>5.8339999999999996</v>
      </c>
      <c r="G98">
        <v>5</v>
      </c>
      <c r="H98">
        <v>348.4</v>
      </c>
      <c r="I98">
        <v>78</v>
      </c>
      <c r="J98">
        <v>2.5</v>
      </c>
      <c r="K98">
        <v>3.1</v>
      </c>
      <c r="L98">
        <v>4.0999999999999996</v>
      </c>
      <c r="M98">
        <v>3098</v>
      </c>
      <c r="N98">
        <v>3661</v>
      </c>
      <c r="O98">
        <v>4499</v>
      </c>
      <c r="P98">
        <v>82.171999999999997</v>
      </c>
      <c r="Q98">
        <v>80.864000000000004</v>
      </c>
      <c r="R98">
        <v>0.95499999999999996</v>
      </c>
      <c r="S98">
        <v>0.35299999999999998</v>
      </c>
      <c r="U98">
        <v>1.080716</v>
      </c>
      <c r="V98">
        <v>-22.805</v>
      </c>
      <c r="W98" s="1"/>
      <c r="X98" s="5">
        <f t="shared" si="14"/>
        <v>-27.938316727270198</v>
      </c>
      <c r="Y98" s="11">
        <f t="shared" si="15"/>
        <v>0.57312526491739391</v>
      </c>
      <c r="Z98" s="11">
        <f t="shared" si="16"/>
        <v>-23.034865694627115</v>
      </c>
      <c r="AP98" s="5"/>
      <c r="AQ98" s="5"/>
      <c r="AR98" s="5"/>
      <c r="AS98" s="5"/>
      <c r="AT98" s="5"/>
      <c r="BC98" s="5"/>
      <c r="BD98" s="5"/>
    </row>
    <row r="99" spans="1:56" x14ac:dyDescent="0.2">
      <c r="A99" s="13">
        <v>44252.465868055559</v>
      </c>
      <c r="B99">
        <v>27906</v>
      </c>
      <c r="C99">
        <v>99</v>
      </c>
      <c r="D99" t="s">
        <v>180</v>
      </c>
      <c r="F99">
        <v>5.9420000000000002</v>
      </c>
      <c r="G99">
        <v>5</v>
      </c>
      <c r="H99">
        <v>327.7</v>
      </c>
      <c r="I99">
        <v>89</v>
      </c>
      <c r="J99">
        <v>1.4</v>
      </c>
      <c r="K99">
        <v>1.8</v>
      </c>
      <c r="L99">
        <v>2.6</v>
      </c>
      <c r="M99">
        <v>3393</v>
      </c>
      <c r="N99">
        <v>4004</v>
      </c>
      <c r="O99">
        <v>4896</v>
      </c>
      <c r="P99">
        <v>62.332000000000001</v>
      </c>
      <c r="Q99">
        <v>61.343000000000004</v>
      </c>
      <c r="R99">
        <v>0.72299999999999998</v>
      </c>
      <c r="S99">
        <v>0.26600000000000001</v>
      </c>
      <c r="U99">
        <v>1.0781229999999999</v>
      </c>
      <c r="V99">
        <v>-25.175999999999998</v>
      </c>
      <c r="W99" s="1"/>
      <c r="X99" s="5">
        <f t="shared" si="14"/>
        <v>-30.309500684149871</v>
      </c>
      <c r="Y99" s="11">
        <f t="shared" si="15"/>
        <v>0.48441487531169969</v>
      </c>
      <c r="Z99" s="11">
        <f t="shared" si="16"/>
        <v>-25.450338813005374</v>
      </c>
      <c r="AP99" s="5"/>
      <c r="AQ99" s="5"/>
      <c r="AR99" s="5"/>
      <c r="AS99" s="5"/>
      <c r="AT99" s="5"/>
      <c r="BC99" s="5"/>
      <c r="BD99" s="5"/>
    </row>
    <row r="100" spans="1:56" x14ac:dyDescent="0.2">
      <c r="A100" s="13">
        <v>44252.473194444443</v>
      </c>
      <c r="B100">
        <v>27907</v>
      </c>
      <c r="C100">
        <v>100</v>
      </c>
      <c r="D100" t="s">
        <v>181</v>
      </c>
      <c r="F100">
        <v>5.6849999999999996</v>
      </c>
      <c r="G100">
        <v>5</v>
      </c>
      <c r="H100">
        <v>326.2</v>
      </c>
      <c r="I100">
        <v>94</v>
      </c>
      <c r="J100">
        <v>1.4</v>
      </c>
      <c r="K100">
        <v>1.8</v>
      </c>
      <c r="L100">
        <v>2.5</v>
      </c>
      <c r="M100">
        <v>1816</v>
      </c>
      <c r="N100">
        <v>2146</v>
      </c>
      <c r="O100">
        <v>2606</v>
      </c>
      <c r="P100">
        <v>35.271000000000001</v>
      </c>
      <c r="Q100">
        <v>34.712000000000003</v>
      </c>
      <c r="R100">
        <v>0.40899999999999997</v>
      </c>
      <c r="S100">
        <v>0.15</v>
      </c>
      <c r="U100">
        <v>1.077855</v>
      </c>
      <c r="V100">
        <v>-25.420999999999999</v>
      </c>
      <c r="W100" s="1"/>
      <c r="X100" s="5">
        <f t="shared" si="14"/>
        <v>-30.554684641029546</v>
      </c>
      <c r="Y100" s="11">
        <f t="shared" si="15"/>
        <v>0.36613482237271455</v>
      </c>
      <c r="Z100" s="11">
        <f t="shared" si="16"/>
        <v>-25.700093193638281</v>
      </c>
      <c r="AP100" s="5"/>
      <c r="AQ100" s="5"/>
      <c r="AR100" s="5"/>
      <c r="AS100" s="5"/>
      <c r="AT100" s="5"/>
      <c r="BC100" s="5"/>
      <c r="BD100" s="5"/>
    </row>
    <row r="101" spans="1:56" x14ac:dyDescent="0.2">
      <c r="A101" s="13">
        <v>44252.480520833335</v>
      </c>
      <c r="B101">
        <v>27908</v>
      </c>
      <c r="C101">
        <v>101</v>
      </c>
      <c r="D101" t="s">
        <v>182</v>
      </c>
      <c r="F101">
        <v>5.76</v>
      </c>
      <c r="G101">
        <v>5</v>
      </c>
      <c r="H101">
        <v>327.5</v>
      </c>
      <c r="I101">
        <v>94</v>
      </c>
      <c r="J101">
        <v>1.4</v>
      </c>
      <c r="K101">
        <v>1.8</v>
      </c>
      <c r="L101">
        <v>2.5</v>
      </c>
      <c r="M101">
        <v>1652</v>
      </c>
      <c r="N101">
        <v>1952</v>
      </c>
      <c r="O101">
        <v>2373</v>
      </c>
      <c r="P101">
        <v>31.635000000000002</v>
      </c>
      <c r="Q101">
        <v>31.132999999999999</v>
      </c>
      <c r="R101">
        <v>0.36699999999999999</v>
      </c>
      <c r="S101">
        <v>0.13400000000000001</v>
      </c>
      <c r="U101">
        <v>1.078168</v>
      </c>
      <c r="V101">
        <v>-25.134</v>
      </c>
      <c r="W101" s="1"/>
      <c r="X101" s="5">
        <f t="shared" si="14"/>
        <v>-30.267868597909217</v>
      </c>
      <c r="Y101" s="11">
        <f t="shared" si="15"/>
        <v>0.34982037415522882</v>
      </c>
      <c r="Z101" s="11">
        <f t="shared" si="16"/>
        <v>-25.407930501444525</v>
      </c>
      <c r="AP101" s="5"/>
      <c r="AQ101" s="5"/>
      <c r="AR101" s="5"/>
      <c r="AS101" s="5"/>
      <c r="AT101" s="5"/>
      <c r="BC101" s="5"/>
      <c r="BD101" s="5"/>
    </row>
    <row r="102" spans="1:56" x14ac:dyDescent="0.2">
      <c r="A102" s="13">
        <v>44252.487847222219</v>
      </c>
      <c r="B102">
        <v>27909</v>
      </c>
      <c r="C102">
        <v>102</v>
      </c>
      <c r="D102" t="s">
        <v>183</v>
      </c>
      <c r="F102">
        <v>5.6769999999999996</v>
      </c>
      <c r="G102">
        <v>5</v>
      </c>
      <c r="H102">
        <v>327.3</v>
      </c>
      <c r="I102">
        <v>89</v>
      </c>
      <c r="J102">
        <v>1.5</v>
      </c>
      <c r="K102">
        <v>1.9</v>
      </c>
      <c r="L102">
        <v>2.7</v>
      </c>
      <c r="M102">
        <v>4060</v>
      </c>
      <c r="N102">
        <v>4788</v>
      </c>
      <c r="O102">
        <v>5849</v>
      </c>
      <c r="P102">
        <v>75.394999999999996</v>
      </c>
      <c r="Q102">
        <v>74.200999999999993</v>
      </c>
      <c r="R102">
        <v>0.873</v>
      </c>
      <c r="S102">
        <v>0.32100000000000001</v>
      </c>
      <c r="U102">
        <v>1.076964</v>
      </c>
      <c r="V102">
        <v>-26.234999999999999</v>
      </c>
      <c r="W102" s="1"/>
      <c r="X102" s="5">
        <f t="shared" si="14"/>
        <v>-31.36905255478889</v>
      </c>
      <c r="Y102" s="11">
        <f t="shared" si="15"/>
        <v>0.54049612122753388</v>
      </c>
      <c r="Z102" s="11">
        <f t="shared" si="16"/>
        <v>-26.529629276634296</v>
      </c>
      <c r="AP102" s="5"/>
      <c r="AQ102" s="5"/>
      <c r="AR102" s="5"/>
      <c r="AS102" s="5"/>
      <c r="AT102" s="5"/>
      <c r="BC102" s="5"/>
      <c r="BD102" s="5"/>
    </row>
    <row r="103" spans="1:56" x14ac:dyDescent="0.2">
      <c r="A103" s="13">
        <v>44252.495173611111</v>
      </c>
      <c r="B103">
        <v>27910</v>
      </c>
      <c r="C103">
        <v>103</v>
      </c>
      <c r="D103" t="s">
        <v>184</v>
      </c>
      <c r="F103">
        <v>5.774</v>
      </c>
      <c r="G103">
        <v>5</v>
      </c>
      <c r="H103">
        <v>328.3</v>
      </c>
      <c r="I103">
        <v>89</v>
      </c>
      <c r="J103">
        <v>1.4</v>
      </c>
      <c r="K103">
        <v>1.8</v>
      </c>
      <c r="L103">
        <v>2.7</v>
      </c>
      <c r="M103">
        <v>3051</v>
      </c>
      <c r="N103">
        <v>3599</v>
      </c>
      <c r="O103">
        <v>4409</v>
      </c>
      <c r="P103">
        <v>55.564</v>
      </c>
      <c r="Q103">
        <v>54.682000000000002</v>
      </c>
      <c r="R103">
        <v>0.64400000000000002</v>
      </c>
      <c r="S103">
        <v>0.23799999999999999</v>
      </c>
      <c r="U103">
        <v>1.077879</v>
      </c>
      <c r="V103">
        <v>-25.399000000000001</v>
      </c>
      <c r="W103" s="1"/>
      <c r="X103" s="5">
        <f t="shared" si="14"/>
        <v>-30.533236511668566</v>
      </c>
      <c r="Y103" s="11">
        <f t="shared" si="15"/>
        <v>0.45586446888887622</v>
      </c>
      <c r="Z103" s="11">
        <f t="shared" si="16"/>
        <v>-25.678245322487328</v>
      </c>
      <c r="AP103" s="5"/>
      <c r="AQ103" s="5"/>
      <c r="AR103" s="5"/>
      <c r="AS103" s="5"/>
      <c r="AT103" s="5"/>
      <c r="BC103" s="5"/>
      <c r="BD103" s="5"/>
    </row>
    <row r="104" spans="1:56" x14ac:dyDescent="0.2">
      <c r="A104" s="13">
        <v>44252.502500000002</v>
      </c>
      <c r="B104">
        <v>27911</v>
      </c>
      <c r="C104">
        <v>104</v>
      </c>
      <c r="D104" t="s">
        <v>12</v>
      </c>
      <c r="G104">
        <v>5</v>
      </c>
      <c r="H104">
        <v>325.8</v>
      </c>
      <c r="I104">
        <v>89</v>
      </c>
      <c r="J104">
        <v>1.3</v>
      </c>
      <c r="K104">
        <v>1.7</v>
      </c>
      <c r="L104">
        <v>2.5</v>
      </c>
      <c r="M104">
        <v>4159</v>
      </c>
      <c r="N104">
        <v>4878</v>
      </c>
      <c r="O104">
        <v>5990</v>
      </c>
      <c r="P104">
        <v>77.349999999999994</v>
      </c>
      <c r="Q104">
        <v>76.13</v>
      </c>
      <c r="R104">
        <v>0.89100000000000001</v>
      </c>
      <c r="S104">
        <v>0.33</v>
      </c>
      <c r="U104">
        <v>1.0708</v>
      </c>
      <c r="V104">
        <v>-31.869</v>
      </c>
      <c r="W104" s="1"/>
      <c r="X104" s="5">
        <f t="shared" si="14"/>
        <v>-37.003420468548235</v>
      </c>
      <c r="Y104" s="11">
        <f t="shared" si="15"/>
        <v>0.54967306378910052</v>
      </c>
      <c r="Z104" s="11">
        <f t="shared" si="16"/>
        <v>-32.268423501699203</v>
      </c>
      <c r="AP104" s="5"/>
      <c r="AQ104" s="5"/>
      <c r="AR104" s="5"/>
      <c r="AS104" s="5"/>
      <c r="AT104" s="5"/>
      <c r="BC104" s="5"/>
      <c r="BD104" s="5"/>
    </row>
    <row r="105" spans="1:56" x14ac:dyDescent="0.2">
      <c r="A105" s="13">
        <v>44252.509826388887</v>
      </c>
      <c r="B105">
        <v>27912</v>
      </c>
      <c r="C105">
        <v>105</v>
      </c>
      <c r="D105" t="s">
        <v>185</v>
      </c>
      <c r="F105">
        <v>5.7320000000000002</v>
      </c>
      <c r="G105">
        <v>5</v>
      </c>
      <c r="H105">
        <v>347.6</v>
      </c>
      <c r="I105">
        <v>79</v>
      </c>
      <c r="J105">
        <v>2.2999999999999998</v>
      </c>
      <c r="K105">
        <v>2.9</v>
      </c>
      <c r="L105">
        <v>3.8</v>
      </c>
      <c r="M105">
        <v>4176</v>
      </c>
      <c r="N105">
        <v>4920</v>
      </c>
      <c r="O105">
        <v>6040</v>
      </c>
      <c r="P105">
        <v>112.804</v>
      </c>
      <c r="Q105">
        <v>111.015</v>
      </c>
      <c r="R105">
        <v>1.3069999999999999</v>
      </c>
      <c r="S105">
        <v>0.48199999999999998</v>
      </c>
      <c r="U105">
        <v>1.0768549999999999</v>
      </c>
      <c r="V105">
        <v>-26.335000000000001</v>
      </c>
      <c r="W105" s="1"/>
      <c r="X105" s="5">
        <f t="shared" si="14"/>
        <v>-31.46960442542791</v>
      </c>
      <c r="Y105" s="11">
        <f t="shared" si="15"/>
        <v>0.70466191189802885</v>
      </c>
      <c r="Z105" s="11">
        <f t="shared" si="16"/>
        <v>-26.632052684933797</v>
      </c>
      <c r="AP105" s="5"/>
      <c r="AQ105" s="5"/>
      <c r="AR105" s="5"/>
      <c r="AS105" s="5"/>
      <c r="AT105" s="5"/>
      <c r="BC105" s="5"/>
      <c r="BD105" s="5"/>
    </row>
    <row r="106" spans="1:56" x14ac:dyDescent="0.2">
      <c r="A106" s="13">
        <v>44252.517152777778</v>
      </c>
      <c r="B106">
        <v>27913</v>
      </c>
      <c r="C106">
        <v>106</v>
      </c>
      <c r="D106" t="s">
        <v>186</v>
      </c>
      <c r="F106">
        <v>5.6559999999999997</v>
      </c>
      <c r="G106">
        <v>5</v>
      </c>
      <c r="H106">
        <v>325.8</v>
      </c>
      <c r="I106">
        <v>89</v>
      </c>
      <c r="J106">
        <v>1.4</v>
      </c>
      <c r="K106">
        <v>1.9</v>
      </c>
      <c r="L106">
        <v>2.7</v>
      </c>
      <c r="M106">
        <v>5223</v>
      </c>
      <c r="N106">
        <v>6173</v>
      </c>
      <c r="O106">
        <v>7513</v>
      </c>
      <c r="P106">
        <v>99.337999999999994</v>
      </c>
      <c r="Q106">
        <v>97.763000000000005</v>
      </c>
      <c r="R106">
        <v>1.1519999999999999</v>
      </c>
      <c r="S106">
        <v>0.42299999999999999</v>
      </c>
      <c r="U106">
        <v>1.0786819999999999</v>
      </c>
      <c r="V106">
        <v>-24.664999999999999</v>
      </c>
      <c r="W106" s="1"/>
      <c r="X106" s="5">
        <f t="shared" si="14"/>
        <v>-29.799788382307582</v>
      </c>
      <c r="Y106" s="11">
        <f t="shared" si="15"/>
        <v>0.64450165819835092</v>
      </c>
      <c r="Z106" s="11">
        <f t="shared" si="16"/>
        <v>-24.931119585722854</v>
      </c>
      <c r="AP106" s="5"/>
      <c r="AQ106" s="5"/>
      <c r="AR106" s="5"/>
      <c r="AS106" s="5"/>
      <c r="AT106" s="5"/>
      <c r="BC106" s="5"/>
      <c r="BD106" s="5"/>
    </row>
    <row r="107" spans="1:56" x14ac:dyDescent="0.2">
      <c r="A107" s="13">
        <v>44252.52449074074</v>
      </c>
      <c r="B107">
        <v>27914</v>
      </c>
      <c r="C107">
        <v>107</v>
      </c>
      <c r="D107" t="s">
        <v>187</v>
      </c>
      <c r="F107">
        <v>5.5949999999999998</v>
      </c>
      <c r="G107">
        <v>5</v>
      </c>
      <c r="H107">
        <v>346.9</v>
      </c>
      <c r="I107">
        <v>79</v>
      </c>
      <c r="J107">
        <v>2.2999999999999998</v>
      </c>
      <c r="K107">
        <v>2.9</v>
      </c>
      <c r="L107">
        <v>3.9</v>
      </c>
      <c r="M107">
        <v>5052</v>
      </c>
      <c r="N107">
        <v>5961</v>
      </c>
      <c r="O107">
        <v>7307</v>
      </c>
      <c r="P107">
        <v>137.47</v>
      </c>
      <c r="Q107">
        <v>135.28800000000001</v>
      </c>
      <c r="R107">
        <v>1.5940000000000001</v>
      </c>
      <c r="S107">
        <v>0.58799999999999997</v>
      </c>
      <c r="U107">
        <v>1.0783389999999999</v>
      </c>
      <c r="V107">
        <v>-24.978999999999999</v>
      </c>
      <c r="W107" s="1"/>
      <c r="X107" s="5">
        <f t="shared" si="14"/>
        <v>-30.113972339187253</v>
      </c>
      <c r="Y107" s="11">
        <f t="shared" si="15"/>
        <v>0.81274678201248207</v>
      </c>
      <c r="Z107" s="11">
        <f t="shared" si="16"/>
        <v>-25.251164436391946</v>
      </c>
      <c r="AP107" s="5"/>
      <c r="AQ107" s="5"/>
      <c r="AR107" s="5"/>
      <c r="AS107" s="5"/>
      <c r="AT107" s="5"/>
      <c r="BC107" s="5"/>
      <c r="BD107" s="5"/>
    </row>
    <row r="108" spans="1:56" x14ac:dyDescent="0.2">
      <c r="A108" s="13">
        <v>44252.531817129631</v>
      </c>
      <c r="B108">
        <v>27915</v>
      </c>
      <c r="C108">
        <v>108</v>
      </c>
      <c r="D108" t="s">
        <v>188</v>
      </c>
      <c r="F108">
        <v>5.8550000000000004</v>
      </c>
      <c r="G108">
        <v>5</v>
      </c>
      <c r="H108">
        <v>327.7</v>
      </c>
      <c r="I108">
        <v>89</v>
      </c>
      <c r="J108">
        <v>1.5</v>
      </c>
      <c r="K108">
        <v>1.9</v>
      </c>
      <c r="L108">
        <v>2.8</v>
      </c>
      <c r="M108">
        <v>3719</v>
      </c>
      <c r="N108">
        <v>4387</v>
      </c>
      <c r="O108">
        <v>5363</v>
      </c>
      <c r="P108">
        <v>68.662999999999997</v>
      </c>
      <c r="Q108">
        <v>67.573999999999998</v>
      </c>
      <c r="R108">
        <v>0.79600000000000004</v>
      </c>
      <c r="S108">
        <v>0.29299999999999998</v>
      </c>
      <c r="U108">
        <v>1.0774999999999999</v>
      </c>
      <c r="V108">
        <v>-25.745000000000001</v>
      </c>
      <c r="W108" s="1"/>
      <c r="X108" s="5">
        <f t="shared" si="14"/>
        <v>-30.880156296066929</v>
      </c>
      <c r="Y108" s="11">
        <f t="shared" si="15"/>
        <v>0.51194565378330026</v>
      </c>
      <c r="Z108" s="11">
        <f t="shared" si="16"/>
        <v>-26.031629252238645</v>
      </c>
      <c r="AP108" s="5"/>
      <c r="AQ108" s="5"/>
      <c r="AR108" s="5"/>
      <c r="AS108" s="5"/>
      <c r="AT108" s="5"/>
      <c r="BC108" s="5"/>
      <c r="BD108" s="5"/>
    </row>
    <row r="109" spans="1:56" x14ac:dyDescent="0.2">
      <c r="A109" s="13">
        <v>44252.539143518516</v>
      </c>
      <c r="B109">
        <v>27916</v>
      </c>
      <c r="C109">
        <v>109</v>
      </c>
      <c r="D109" t="s">
        <v>189</v>
      </c>
      <c r="F109">
        <v>5.77</v>
      </c>
      <c r="G109">
        <v>5</v>
      </c>
      <c r="H109">
        <v>346.9</v>
      </c>
      <c r="I109">
        <v>79</v>
      </c>
      <c r="J109">
        <v>2.2000000000000002</v>
      </c>
      <c r="K109">
        <v>2.8</v>
      </c>
      <c r="L109">
        <v>3.8</v>
      </c>
      <c r="M109">
        <v>4780</v>
      </c>
      <c r="N109">
        <v>5639</v>
      </c>
      <c r="O109">
        <v>6918</v>
      </c>
      <c r="P109">
        <v>129.63999999999999</v>
      </c>
      <c r="Q109">
        <v>127.581</v>
      </c>
      <c r="R109">
        <v>1.5029999999999999</v>
      </c>
      <c r="S109">
        <v>0.55500000000000005</v>
      </c>
      <c r="U109">
        <v>1.078085</v>
      </c>
      <c r="V109">
        <v>-25.210999999999999</v>
      </c>
      <c r="W109" s="1"/>
      <c r="X109" s="5">
        <f t="shared" si="14"/>
        <v>-30.3463402529466</v>
      </c>
      <c r="Y109" s="11">
        <f t="shared" si="15"/>
        <v>0.77909767094683957</v>
      </c>
      <c r="Z109" s="11">
        <f t="shared" si="16"/>
        <v>-25.487865210006817</v>
      </c>
      <c r="AP109" s="5"/>
      <c r="AQ109" s="5"/>
      <c r="AR109" s="5"/>
      <c r="AS109" s="5"/>
      <c r="AT109" s="5"/>
      <c r="BC109" s="5"/>
      <c r="BD109" s="5"/>
    </row>
    <row r="110" spans="1:56" x14ac:dyDescent="0.2">
      <c r="A110" s="13">
        <v>44252.546481481484</v>
      </c>
      <c r="B110">
        <v>27917</v>
      </c>
      <c r="C110">
        <v>110</v>
      </c>
      <c r="D110" t="s">
        <v>190</v>
      </c>
      <c r="F110">
        <v>5.9550000000000001</v>
      </c>
      <c r="G110">
        <v>5</v>
      </c>
      <c r="H110">
        <v>327.7</v>
      </c>
      <c r="I110">
        <v>94</v>
      </c>
      <c r="J110">
        <v>1.4</v>
      </c>
      <c r="K110">
        <v>1.8</v>
      </c>
      <c r="L110">
        <v>2.7</v>
      </c>
      <c r="M110">
        <v>1637</v>
      </c>
      <c r="N110">
        <v>1934</v>
      </c>
      <c r="O110">
        <v>2351</v>
      </c>
      <c r="P110">
        <v>31.321999999999999</v>
      </c>
      <c r="Q110">
        <v>30.824999999999999</v>
      </c>
      <c r="R110">
        <v>0.36299999999999999</v>
      </c>
      <c r="S110">
        <v>0.13300000000000001</v>
      </c>
      <c r="U110">
        <v>1.077928</v>
      </c>
      <c r="V110">
        <v>-25.353999999999999</v>
      </c>
      <c r="W110" s="1"/>
      <c r="X110" s="5">
        <f t="shared" si="14"/>
        <v>-30.489524209826271</v>
      </c>
      <c r="Y110" s="11">
        <f t="shared" si="15"/>
        <v>0.34880072147848296</v>
      </c>
      <c r="Z110" s="11">
        <f t="shared" si="16"/>
        <v>-25.633718287386387</v>
      </c>
      <c r="AP110" s="5"/>
      <c r="AQ110" s="5"/>
      <c r="AR110" s="5"/>
      <c r="AS110" s="5"/>
      <c r="AT110" s="5"/>
      <c r="BC110" s="5"/>
      <c r="BD110" s="5"/>
    </row>
    <row r="111" spans="1:56" x14ac:dyDescent="0.2">
      <c r="A111" s="13">
        <v>44252.553819444445</v>
      </c>
      <c r="B111">
        <v>27918</v>
      </c>
      <c r="C111">
        <v>111</v>
      </c>
      <c r="D111" t="s">
        <v>191</v>
      </c>
      <c r="F111">
        <v>5.6680000000000001</v>
      </c>
      <c r="G111">
        <v>5</v>
      </c>
      <c r="H111">
        <v>325.39999999999998</v>
      </c>
      <c r="I111">
        <v>94</v>
      </c>
      <c r="J111">
        <v>1.3</v>
      </c>
      <c r="K111">
        <v>1.7</v>
      </c>
      <c r="L111">
        <v>2.5</v>
      </c>
      <c r="M111">
        <v>2025</v>
      </c>
      <c r="N111">
        <v>2394</v>
      </c>
      <c r="O111">
        <v>2903</v>
      </c>
      <c r="P111">
        <v>39.966999999999999</v>
      </c>
      <c r="Q111">
        <v>39.334000000000003</v>
      </c>
      <c r="R111">
        <v>0.46300000000000002</v>
      </c>
      <c r="S111">
        <v>0.17</v>
      </c>
      <c r="U111">
        <v>1.0784119999999999</v>
      </c>
      <c r="V111">
        <v>-24.911000000000001</v>
      </c>
      <c r="W111" s="1"/>
      <c r="X111" s="5">
        <f t="shared" si="14"/>
        <v>-30.046708166705947</v>
      </c>
      <c r="Y111" s="11">
        <f t="shared" si="15"/>
        <v>0.38652789690934242</v>
      </c>
      <c r="Z111" s="11">
        <f t="shared" si="16"/>
        <v>-25.18264573196916</v>
      </c>
      <c r="AP111" s="5"/>
      <c r="AQ111" s="5"/>
      <c r="AR111" s="5"/>
      <c r="AS111" s="5"/>
      <c r="AT111" s="5"/>
      <c r="BC111" s="5"/>
      <c r="BD111" s="5"/>
    </row>
    <row r="112" spans="1:56" x14ac:dyDescent="0.2">
      <c r="A112" s="13">
        <v>44252.561145833337</v>
      </c>
      <c r="B112">
        <v>27919</v>
      </c>
      <c r="C112">
        <v>112</v>
      </c>
      <c r="D112" t="s">
        <v>192</v>
      </c>
      <c r="F112">
        <v>5.6050000000000004</v>
      </c>
      <c r="G112">
        <v>5</v>
      </c>
      <c r="H112">
        <v>327.7</v>
      </c>
      <c r="I112">
        <v>89</v>
      </c>
      <c r="J112">
        <v>1.6</v>
      </c>
      <c r="K112">
        <v>2</v>
      </c>
      <c r="L112">
        <v>2.9</v>
      </c>
      <c r="M112">
        <v>3443</v>
      </c>
      <c r="N112">
        <v>4061</v>
      </c>
      <c r="O112">
        <v>4969</v>
      </c>
      <c r="P112">
        <v>63.250999999999998</v>
      </c>
      <c r="Q112">
        <v>62.247999999999998</v>
      </c>
      <c r="R112">
        <v>0.73299999999999998</v>
      </c>
      <c r="S112">
        <v>0.27</v>
      </c>
      <c r="U112">
        <v>1.0774699999999999</v>
      </c>
      <c r="V112">
        <v>-25.771999999999998</v>
      </c>
      <c r="W112" s="1"/>
      <c r="X112" s="5">
        <f t="shared" si="14"/>
        <v>-30.907892123585619</v>
      </c>
      <c r="Y112" s="11">
        <f t="shared" si="15"/>
        <v>0.48849350733655683</v>
      </c>
      <c r="Z112" s="11">
        <f t="shared" si="16"/>
        <v>-26.059881732477493</v>
      </c>
      <c r="AP112" s="5"/>
      <c r="AQ112" s="5"/>
      <c r="AR112" s="5"/>
      <c r="AS112" s="5"/>
      <c r="AT112" s="5"/>
      <c r="BC112" s="5"/>
      <c r="BD112" s="5"/>
    </row>
    <row r="113" spans="1:56" x14ac:dyDescent="0.2">
      <c r="A113" s="13">
        <v>44252.568472222221</v>
      </c>
      <c r="B113">
        <v>27920</v>
      </c>
      <c r="C113">
        <v>113</v>
      </c>
      <c r="D113" t="s">
        <v>193</v>
      </c>
      <c r="F113">
        <v>5.827</v>
      </c>
      <c r="G113">
        <v>5</v>
      </c>
      <c r="H113">
        <v>327.10000000000002</v>
      </c>
      <c r="I113">
        <v>89</v>
      </c>
      <c r="J113">
        <v>1.4</v>
      </c>
      <c r="K113">
        <v>1.9</v>
      </c>
      <c r="L113">
        <v>2.7</v>
      </c>
      <c r="M113">
        <v>4133</v>
      </c>
      <c r="N113">
        <v>4882</v>
      </c>
      <c r="O113">
        <v>5958</v>
      </c>
      <c r="P113">
        <v>76.727000000000004</v>
      </c>
      <c r="Q113">
        <v>75.510000000000005</v>
      </c>
      <c r="R113">
        <v>0.89</v>
      </c>
      <c r="S113">
        <v>0.32700000000000001</v>
      </c>
      <c r="U113">
        <v>1.0788469999999999</v>
      </c>
      <c r="V113">
        <v>-24.513000000000002</v>
      </c>
      <c r="W113" s="1"/>
      <c r="X113" s="5">
        <f t="shared" si="14"/>
        <v>-29.649076080465292</v>
      </c>
      <c r="Y113" s="11">
        <f t="shared" si="15"/>
        <v>0.54661408257868516</v>
      </c>
      <c r="Z113" s="11">
        <f t="shared" si="16"/>
        <v>-24.777594847170349</v>
      </c>
      <c r="AP113" s="5"/>
      <c r="AQ113" s="5"/>
      <c r="AR113" s="5"/>
      <c r="AS113" s="5"/>
      <c r="AT113" s="5"/>
      <c r="BC113" s="5"/>
      <c r="BD113" s="5"/>
    </row>
    <row r="114" spans="1:56" x14ac:dyDescent="0.2">
      <c r="A114" s="13">
        <v>44252.575810185182</v>
      </c>
      <c r="B114">
        <v>27921</v>
      </c>
      <c r="C114">
        <v>114</v>
      </c>
      <c r="D114" t="s">
        <v>194</v>
      </c>
      <c r="F114">
        <v>5.7709999999999999</v>
      </c>
      <c r="G114">
        <v>5</v>
      </c>
      <c r="H114">
        <v>326.5</v>
      </c>
      <c r="I114">
        <v>89</v>
      </c>
      <c r="J114">
        <v>1.4</v>
      </c>
      <c r="K114">
        <v>1.8</v>
      </c>
      <c r="L114">
        <v>2.7</v>
      </c>
      <c r="M114">
        <v>4783</v>
      </c>
      <c r="N114">
        <v>5645</v>
      </c>
      <c r="O114">
        <v>6885</v>
      </c>
      <c r="P114">
        <v>89.769000000000005</v>
      </c>
      <c r="Q114">
        <v>88.346000000000004</v>
      </c>
      <c r="R114">
        <v>1.04</v>
      </c>
      <c r="S114">
        <v>0.38200000000000001</v>
      </c>
      <c r="U114">
        <v>1.077574</v>
      </c>
      <c r="V114">
        <v>-25.678000000000001</v>
      </c>
      <c r="W114" s="1"/>
      <c r="X114" s="5">
        <f t="shared" si="14"/>
        <v>-30.814260037344965</v>
      </c>
      <c r="Y114" s="11">
        <f t="shared" si="15"/>
        <v>0.60269546143410935</v>
      </c>
      <c r="Z114" s="11">
        <f t="shared" si="16"/>
        <v>-25.964505414499513</v>
      </c>
      <c r="AP114" s="5"/>
      <c r="AQ114" s="5"/>
      <c r="AR114" s="5"/>
      <c r="AS114" s="5"/>
      <c r="AT114" s="5"/>
      <c r="BC114" s="5"/>
      <c r="BD114" s="5"/>
    </row>
    <row r="115" spans="1:56" x14ac:dyDescent="0.2">
      <c r="A115" s="13">
        <v>44252.583136574074</v>
      </c>
      <c r="B115">
        <v>27922</v>
      </c>
      <c r="C115">
        <v>115</v>
      </c>
      <c r="D115" t="s">
        <v>12</v>
      </c>
      <c r="G115">
        <v>5</v>
      </c>
      <c r="H115">
        <v>327.10000000000002</v>
      </c>
      <c r="I115">
        <v>89</v>
      </c>
      <c r="J115">
        <v>1.4</v>
      </c>
      <c r="K115">
        <v>1.9</v>
      </c>
      <c r="L115">
        <v>2.7</v>
      </c>
      <c r="M115">
        <v>4264</v>
      </c>
      <c r="N115">
        <v>5002</v>
      </c>
      <c r="O115">
        <v>6139</v>
      </c>
      <c r="P115">
        <v>78.882000000000005</v>
      </c>
      <c r="Q115">
        <v>77.638000000000005</v>
      </c>
      <c r="R115">
        <v>0.90900000000000003</v>
      </c>
      <c r="S115">
        <v>0.33600000000000002</v>
      </c>
      <c r="U115">
        <v>1.070899</v>
      </c>
      <c r="V115">
        <v>-31.777999999999999</v>
      </c>
      <c r="W115" s="1"/>
      <c r="X115" s="5">
        <f t="shared" si="14"/>
        <v>-36.914443994224634</v>
      </c>
      <c r="Y115" s="11">
        <f t="shared" si="15"/>
        <v>0.55579102727995178</v>
      </c>
      <c r="Z115" s="11">
        <f t="shared" si="16"/>
        <v>-32.177804983915621</v>
      </c>
      <c r="AP115" s="5"/>
      <c r="AQ115" s="5"/>
      <c r="AR115" s="5"/>
      <c r="AS115" s="5"/>
      <c r="AT115" s="5"/>
      <c r="BC115" s="5"/>
      <c r="BD115" s="5"/>
    </row>
    <row r="116" spans="1:56" x14ac:dyDescent="0.2">
      <c r="A116" s="13">
        <v>44252.590451388889</v>
      </c>
      <c r="B116">
        <v>27923</v>
      </c>
      <c r="C116">
        <v>116</v>
      </c>
      <c r="D116" t="s">
        <v>195</v>
      </c>
      <c r="F116">
        <v>5.8040000000000003</v>
      </c>
      <c r="G116">
        <v>5</v>
      </c>
      <c r="H116">
        <v>346.5</v>
      </c>
      <c r="I116">
        <v>79</v>
      </c>
      <c r="J116">
        <v>2.2000000000000002</v>
      </c>
      <c r="K116">
        <v>2.8</v>
      </c>
      <c r="L116">
        <v>3.9</v>
      </c>
      <c r="M116">
        <v>4354</v>
      </c>
      <c r="N116">
        <v>5142</v>
      </c>
      <c r="O116">
        <v>6297</v>
      </c>
      <c r="P116">
        <v>117.559</v>
      </c>
      <c r="Q116">
        <v>115.69199999999999</v>
      </c>
      <c r="R116">
        <v>1.365</v>
      </c>
      <c r="S116">
        <v>0.503</v>
      </c>
      <c r="U116">
        <v>1.079342</v>
      </c>
      <c r="V116">
        <v>-24.062000000000001</v>
      </c>
      <c r="W116" s="1"/>
      <c r="X116" s="5">
        <f t="shared" si="14"/>
        <v>-29.198627951104314</v>
      </c>
      <c r="Y116" s="11">
        <f t="shared" si="15"/>
        <v>0.72607491683857006</v>
      </c>
      <c r="Z116" s="11">
        <f t="shared" si="16"/>
        <v>-24.318737062939022</v>
      </c>
      <c r="AP116" s="5"/>
      <c r="AQ116" s="5"/>
      <c r="AR116" s="5"/>
      <c r="AS116" s="5"/>
      <c r="AT116" s="5"/>
      <c r="BC116" s="5"/>
      <c r="BD116" s="5"/>
    </row>
    <row r="117" spans="1:56" x14ac:dyDescent="0.2">
      <c r="A117" s="13">
        <v>44252.59778935185</v>
      </c>
      <c r="B117">
        <v>27924</v>
      </c>
      <c r="C117">
        <v>117</v>
      </c>
      <c r="D117" t="s">
        <v>196</v>
      </c>
      <c r="F117">
        <v>5.6890000000000001</v>
      </c>
      <c r="G117">
        <v>5</v>
      </c>
      <c r="H117">
        <v>325.39999999999998</v>
      </c>
      <c r="I117">
        <v>94</v>
      </c>
      <c r="J117">
        <v>1.4</v>
      </c>
      <c r="K117">
        <v>1.8</v>
      </c>
      <c r="L117">
        <v>2.7</v>
      </c>
      <c r="M117">
        <v>1955</v>
      </c>
      <c r="N117">
        <v>2313</v>
      </c>
      <c r="O117">
        <v>2804</v>
      </c>
      <c r="P117">
        <v>38.369999999999997</v>
      </c>
      <c r="Q117">
        <v>37.762</v>
      </c>
      <c r="R117">
        <v>0.44500000000000001</v>
      </c>
      <c r="S117">
        <v>0.16300000000000001</v>
      </c>
      <c r="U117">
        <v>1.0788990000000001</v>
      </c>
      <c r="V117">
        <v>-24.466000000000001</v>
      </c>
      <c r="W117" s="1"/>
      <c r="X117" s="5">
        <f t="shared" si="14"/>
        <v>-29.602811907983984</v>
      </c>
      <c r="Y117" s="11">
        <f t="shared" si="15"/>
        <v>0.37939031901873932</v>
      </c>
      <c r="Z117" s="11">
        <f t="shared" si="16"/>
        <v>-24.730467210807547</v>
      </c>
      <c r="AP117" s="5"/>
      <c r="AQ117" s="5"/>
      <c r="AR117" s="5"/>
      <c r="AS117" s="5"/>
      <c r="AT117" s="5"/>
      <c r="BC117" s="5"/>
      <c r="BD117" s="5"/>
    </row>
    <row r="118" spans="1:56" x14ac:dyDescent="0.2">
      <c r="A118" s="13">
        <v>44252.605127314811</v>
      </c>
      <c r="B118">
        <v>27925</v>
      </c>
      <c r="C118">
        <v>118</v>
      </c>
      <c r="D118" t="s">
        <v>197</v>
      </c>
      <c r="F118">
        <v>5.6379999999999999</v>
      </c>
      <c r="G118">
        <v>5</v>
      </c>
      <c r="H118">
        <v>346.9</v>
      </c>
      <c r="I118">
        <v>78</v>
      </c>
      <c r="J118">
        <v>2.4</v>
      </c>
      <c r="K118">
        <v>3</v>
      </c>
      <c r="L118">
        <v>4.0999999999999996</v>
      </c>
      <c r="M118">
        <v>4170</v>
      </c>
      <c r="N118">
        <v>4933</v>
      </c>
      <c r="O118">
        <v>6045</v>
      </c>
      <c r="P118">
        <v>111.41200000000001</v>
      </c>
      <c r="Q118">
        <v>109.639</v>
      </c>
      <c r="R118">
        <v>1.296</v>
      </c>
      <c r="S118">
        <v>0.47799999999999998</v>
      </c>
      <c r="U118">
        <v>1.0814980000000001</v>
      </c>
      <c r="V118">
        <v>-22.091000000000001</v>
      </c>
      <c r="W118" s="1"/>
      <c r="X118" s="5">
        <f t="shared" si="14"/>
        <v>-27.227995864863658</v>
      </c>
      <c r="Y118" s="11">
        <f t="shared" si="15"/>
        <v>0.70058324627154889</v>
      </c>
      <c r="Z118" s="11">
        <f t="shared" si="16"/>
        <v>-22.311246209164324</v>
      </c>
      <c r="AP118" s="5"/>
      <c r="AQ118" s="5"/>
      <c r="AR118" s="5"/>
      <c r="AS118" s="5"/>
      <c r="AT118" s="5"/>
      <c r="BC118" s="5"/>
      <c r="BD118" s="5"/>
    </row>
    <row r="119" spans="1:56" x14ac:dyDescent="0.2">
      <c r="A119" s="13">
        <v>44252.612453703703</v>
      </c>
      <c r="B119">
        <v>27926</v>
      </c>
      <c r="C119">
        <v>119</v>
      </c>
      <c r="D119" t="s">
        <v>198</v>
      </c>
      <c r="F119">
        <v>5.7649999999999997</v>
      </c>
      <c r="G119">
        <v>5</v>
      </c>
      <c r="H119">
        <v>346.5</v>
      </c>
      <c r="I119">
        <v>79</v>
      </c>
      <c r="J119">
        <v>2.2000000000000002</v>
      </c>
      <c r="K119">
        <v>2.8</v>
      </c>
      <c r="L119">
        <v>3.8</v>
      </c>
      <c r="M119">
        <v>5260</v>
      </c>
      <c r="N119">
        <v>6219</v>
      </c>
      <c r="O119">
        <v>7607</v>
      </c>
      <c r="P119">
        <v>143.42099999999999</v>
      </c>
      <c r="Q119">
        <v>141.13999999999999</v>
      </c>
      <c r="R119">
        <v>1.667</v>
      </c>
      <c r="S119">
        <v>0.61299999999999999</v>
      </c>
      <c r="U119">
        <v>1.080565</v>
      </c>
      <c r="V119">
        <v>-22.943999999999999</v>
      </c>
      <c r="W119" s="1"/>
      <c r="X119" s="5">
        <f t="shared" si="14"/>
        <v>-28.081179821743326</v>
      </c>
      <c r="Y119" s="11">
        <f t="shared" si="15"/>
        <v>0.83823856154799614</v>
      </c>
      <c r="Z119" s="11">
        <f t="shared" si="16"/>
        <v>-23.180401734014822</v>
      </c>
      <c r="AP119" s="5"/>
      <c r="AQ119" s="5"/>
      <c r="AR119" s="5"/>
      <c r="AS119" s="5"/>
      <c r="AT119" s="5"/>
      <c r="BC119" s="5"/>
      <c r="BD119" s="5"/>
    </row>
    <row r="120" spans="1:56" x14ac:dyDescent="0.2">
      <c r="A120" s="13">
        <v>44252.619780092595</v>
      </c>
      <c r="B120">
        <v>27927</v>
      </c>
      <c r="C120">
        <v>120</v>
      </c>
      <c r="D120" t="s">
        <v>102</v>
      </c>
      <c r="G120">
        <v>5</v>
      </c>
      <c r="H120">
        <v>327.9</v>
      </c>
      <c r="I120">
        <v>89</v>
      </c>
      <c r="J120">
        <v>1.5</v>
      </c>
      <c r="K120">
        <v>1.9</v>
      </c>
      <c r="L120">
        <v>2.8</v>
      </c>
      <c r="M120">
        <v>3416</v>
      </c>
      <c r="N120">
        <v>4010</v>
      </c>
      <c r="O120">
        <v>4930</v>
      </c>
      <c r="P120">
        <v>63.212000000000003</v>
      </c>
      <c r="Q120">
        <v>62.212000000000003</v>
      </c>
      <c r="R120">
        <v>0.72899999999999998</v>
      </c>
      <c r="S120">
        <v>0.27</v>
      </c>
      <c r="U120">
        <v>1.072289</v>
      </c>
      <c r="V120">
        <v>-30.507999999999999</v>
      </c>
      <c r="W120" s="1"/>
      <c r="X120" s="5">
        <f t="shared" si="14"/>
        <v>-35.645363778623</v>
      </c>
      <c r="Y120" s="11">
        <f t="shared" si="15"/>
        <v>0.48849350733655683</v>
      </c>
      <c r="Z120" s="11">
        <f t="shared" si="16"/>
        <v>-30.885279587343348</v>
      </c>
      <c r="AP120" s="5"/>
      <c r="AQ120" s="5"/>
      <c r="AR120" s="5"/>
      <c r="AS120" s="5"/>
      <c r="AT120" s="5"/>
      <c r="BC120" s="5"/>
      <c r="BD120" s="5"/>
    </row>
    <row r="121" spans="1:56" x14ac:dyDescent="0.2">
      <c r="A121" s="13">
        <v>44252.627106481479</v>
      </c>
      <c r="B121">
        <v>27928</v>
      </c>
      <c r="C121">
        <v>121</v>
      </c>
      <c r="D121" t="s">
        <v>11</v>
      </c>
      <c r="G121">
        <v>5</v>
      </c>
      <c r="H121">
        <v>347.4</v>
      </c>
      <c r="I121">
        <v>50</v>
      </c>
      <c r="J121">
        <v>2.6</v>
      </c>
      <c r="K121">
        <v>3.3</v>
      </c>
      <c r="L121">
        <v>4.5</v>
      </c>
      <c r="M121">
        <v>4047</v>
      </c>
      <c r="N121">
        <v>4699</v>
      </c>
      <c r="O121">
        <v>5900</v>
      </c>
      <c r="P121">
        <v>102.80800000000001</v>
      </c>
      <c r="Q121">
        <v>101.19</v>
      </c>
      <c r="R121">
        <v>1.1739999999999999</v>
      </c>
      <c r="S121">
        <v>0.443</v>
      </c>
      <c r="U121">
        <v>1.0607530000000001</v>
      </c>
      <c r="V121">
        <v>-41.05</v>
      </c>
      <c r="W121" s="1"/>
      <c r="X121" s="5">
        <f t="shared" si="14"/>
        <v>-46.187547735502669</v>
      </c>
      <c r="Y121" s="11">
        <f t="shared" si="15"/>
        <v>0.66489494908353208</v>
      </c>
      <c r="Z121" s="11">
        <f t="shared" si="16"/>
        <v>-41.620828924622401</v>
      </c>
      <c r="AP121" s="5"/>
      <c r="AQ121" s="5"/>
      <c r="AR121" s="5"/>
      <c r="AS121" s="5"/>
      <c r="AT121" s="5"/>
      <c r="BC121" s="5"/>
      <c r="BD121" s="5"/>
    </row>
    <row r="122" spans="1:56" x14ac:dyDescent="0.2">
      <c r="A122" s="13">
        <v>44252.634444444448</v>
      </c>
      <c r="B122">
        <v>27929</v>
      </c>
      <c r="C122">
        <v>122</v>
      </c>
      <c r="D122" t="s">
        <v>13</v>
      </c>
      <c r="G122">
        <v>4</v>
      </c>
      <c r="H122">
        <v>347.6</v>
      </c>
      <c r="I122">
        <v>78</v>
      </c>
      <c r="J122">
        <v>2.1</v>
      </c>
      <c r="K122">
        <v>2.8</v>
      </c>
      <c r="L122">
        <v>3.7</v>
      </c>
      <c r="M122">
        <v>3555</v>
      </c>
      <c r="N122">
        <v>4249</v>
      </c>
      <c r="O122">
        <v>5160</v>
      </c>
      <c r="P122">
        <v>95.522999999999996</v>
      </c>
      <c r="Q122">
        <v>93.991</v>
      </c>
      <c r="R122">
        <v>1.1220000000000001</v>
      </c>
      <c r="S122">
        <v>0.41</v>
      </c>
      <c r="U122">
        <v>1.0931850000000001</v>
      </c>
      <c r="V122">
        <v>-11.406000000000001</v>
      </c>
      <c r="W122" s="1"/>
      <c r="X122" s="5">
        <f t="shared" si="14"/>
        <v>-16.543731692382348</v>
      </c>
      <c r="Y122" s="11">
        <f t="shared" si="15"/>
        <v>0.63124602762241011</v>
      </c>
      <c r="Z122" s="11">
        <f t="shared" si="16"/>
        <v>-11.425215992457197</v>
      </c>
      <c r="AP122" s="5"/>
      <c r="AQ122" s="5"/>
      <c r="AR122" s="5"/>
      <c r="AS122" s="5"/>
      <c r="AT122" s="5"/>
      <c r="BC122" s="5"/>
      <c r="BD122" s="5"/>
    </row>
    <row r="123" spans="1:56" x14ac:dyDescent="0.2">
      <c r="A123" s="13">
        <v>44252.641770833332</v>
      </c>
      <c r="B123">
        <v>27930</v>
      </c>
      <c r="C123">
        <v>123</v>
      </c>
      <c r="D123" t="s">
        <v>14</v>
      </c>
      <c r="E123" t="s">
        <v>57</v>
      </c>
      <c r="G123">
        <v>5</v>
      </c>
      <c r="H123">
        <v>347.4</v>
      </c>
      <c r="I123">
        <v>78</v>
      </c>
      <c r="J123">
        <v>2.1</v>
      </c>
      <c r="K123">
        <v>2.7</v>
      </c>
      <c r="L123">
        <v>3.7</v>
      </c>
      <c r="M123">
        <v>4207</v>
      </c>
      <c r="N123">
        <v>4943</v>
      </c>
      <c r="O123">
        <v>6090</v>
      </c>
      <c r="P123">
        <v>114.03100000000001</v>
      </c>
      <c r="Q123">
        <v>112.226</v>
      </c>
      <c r="R123">
        <v>1.3180000000000001</v>
      </c>
      <c r="S123">
        <v>0.48799999999999999</v>
      </c>
      <c r="U123">
        <v>1.074057</v>
      </c>
      <c r="V123">
        <v>-28.891999999999999</v>
      </c>
      <c r="W123" s="1"/>
      <c r="X123" s="5">
        <f t="shared" si="14"/>
        <v>-34.029915649262023</v>
      </c>
      <c r="Y123" s="11">
        <f t="shared" si="15"/>
        <v>0.71077991152662889</v>
      </c>
      <c r="Z123" s="11">
        <f t="shared" si="16"/>
        <v>-29.239921035342604</v>
      </c>
      <c r="AP123" s="5"/>
      <c r="AQ123" s="5"/>
      <c r="AR123" s="5"/>
      <c r="AS123" s="5"/>
      <c r="AT123" s="5"/>
      <c r="BC123" s="5"/>
      <c r="BD123" s="5"/>
    </row>
    <row r="124" spans="1:56" x14ac:dyDescent="0.2">
      <c r="A124" s="13">
        <v>44252.649097222224</v>
      </c>
      <c r="B124">
        <v>27931</v>
      </c>
      <c r="C124">
        <v>124</v>
      </c>
      <c r="D124" t="s">
        <v>12</v>
      </c>
      <c r="G124">
        <v>5</v>
      </c>
      <c r="H124">
        <v>325.60000000000002</v>
      </c>
      <c r="I124">
        <v>89</v>
      </c>
      <c r="J124">
        <v>1.3</v>
      </c>
      <c r="K124">
        <v>1.7</v>
      </c>
      <c r="L124">
        <v>2.5</v>
      </c>
      <c r="M124">
        <v>3908</v>
      </c>
      <c r="N124">
        <v>4585</v>
      </c>
      <c r="O124">
        <v>5631</v>
      </c>
      <c r="P124">
        <v>72.283000000000001</v>
      </c>
      <c r="Q124">
        <v>71.141999999999996</v>
      </c>
      <c r="R124">
        <v>0.83299999999999996</v>
      </c>
      <c r="S124">
        <v>0.308</v>
      </c>
      <c r="U124">
        <v>1.0708899999999999</v>
      </c>
      <c r="V124">
        <v>-31.786999999999999</v>
      </c>
      <c r="W124" s="1"/>
      <c r="X124" s="5">
        <f t="shared" si="14"/>
        <v>-36.925099606141693</v>
      </c>
      <c r="Y124" s="11">
        <f t="shared" si="15"/>
        <v>0.52724054319355673</v>
      </c>
      <c r="Z124" s="11">
        <f t="shared" si="16"/>
        <v>-32.188657254959253</v>
      </c>
      <c r="AP124" s="5"/>
      <c r="AQ124" s="5"/>
      <c r="AR124" s="5"/>
      <c r="AS124" s="5"/>
      <c r="AT124" s="5"/>
      <c r="BC124" s="5"/>
      <c r="BD124" s="5"/>
    </row>
    <row r="125" spans="1:56" x14ac:dyDescent="0.2">
      <c r="A125" s="13">
        <v>44252.656423611108</v>
      </c>
      <c r="B125">
        <v>27932</v>
      </c>
      <c r="C125">
        <v>125</v>
      </c>
      <c r="D125" t="s">
        <v>12</v>
      </c>
      <c r="G125">
        <v>5</v>
      </c>
      <c r="H125">
        <v>325.8</v>
      </c>
      <c r="I125">
        <v>89</v>
      </c>
      <c r="J125">
        <v>1.3</v>
      </c>
      <c r="K125">
        <v>1.7</v>
      </c>
      <c r="L125">
        <v>2.6</v>
      </c>
      <c r="M125">
        <v>4053</v>
      </c>
      <c r="N125">
        <v>4753</v>
      </c>
      <c r="O125">
        <v>5836</v>
      </c>
      <c r="P125">
        <v>75.117000000000004</v>
      </c>
      <c r="Q125">
        <v>73.930999999999997</v>
      </c>
      <c r="R125">
        <v>0.86499999999999999</v>
      </c>
      <c r="S125">
        <v>0.32</v>
      </c>
      <c r="U125">
        <v>1.070783</v>
      </c>
      <c r="V125">
        <v>-31.884</v>
      </c>
      <c r="W125" s="1"/>
      <c r="X125" s="5">
        <f t="shared" si="14"/>
        <v>-37.022283563021368</v>
      </c>
      <c r="Y125" s="11">
        <f t="shared" si="15"/>
        <v>0.53947646114102099</v>
      </c>
      <c r="Z125" s="11">
        <f t="shared" si="16"/>
        <v>-32.287634681918348</v>
      </c>
      <c r="AP125" s="5"/>
      <c r="AQ125" s="5"/>
      <c r="AR125" s="5"/>
      <c r="AS125" s="5"/>
      <c r="AT125" s="5"/>
      <c r="BC125" s="5"/>
      <c r="BD125" s="5"/>
    </row>
    <row r="126" spans="1:56" x14ac:dyDescent="0.2">
      <c r="A126" s="14"/>
      <c r="B126" s="1"/>
      <c r="C126" s="14"/>
      <c r="D126" s="14"/>
      <c r="G126" s="14"/>
      <c r="H126" s="14"/>
      <c r="I126" s="14"/>
      <c r="J126" s="14"/>
      <c r="K126" s="14"/>
      <c r="L126" s="14"/>
      <c r="M126" s="14"/>
      <c r="N126" s="14"/>
      <c r="O126" s="14"/>
      <c r="P126" s="14"/>
      <c r="R126" s="14"/>
      <c r="S126" s="14"/>
      <c r="T126" s="14"/>
      <c r="U126" s="14"/>
      <c r="V126" s="14"/>
      <c r="W126" s="1"/>
      <c r="X126" s="5" t="str">
        <f t="shared" si="14"/>
        <v/>
      </c>
      <c r="Y126" s="11" t="str">
        <f t="shared" si="15"/>
        <v/>
      </c>
      <c r="Z126" s="11" t="str">
        <f t="shared" si="16"/>
        <v/>
      </c>
      <c r="AP126" s="5"/>
      <c r="AQ126" s="5"/>
      <c r="AR126" s="5"/>
      <c r="AS126" s="5"/>
      <c r="AT126" s="5"/>
      <c r="BC126" s="5"/>
      <c r="BD126" s="5"/>
    </row>
    <row r="127" spans="1:56" x14ac:dyDescent="0.2">
      <c r="A127" s="14"/>
      <c r="B127" s="1"/>
      <c r="C127" s="14"/>
      <c r="D127" s="14"/>
      <c r="G127" s="14"/>
      <c r="H127" s="14"/>
      <c r="I127" s="14"/>
      <c r="J127" s="14"/>
      <c r="K127" s="14"/>
      <c r="L127" s="14"/>
      <c r="M127" s="14"/>
      <c r="N127" s="14"/>
      <c r="O127" s="14"/>
      <c r="P127" s="14"/>
      <c r="R127" s="14"/>
      <c r="S127" s="14"/>
      <c r="T127" s="14"/>
      <c r="U127" s="14"/>
      <c r="V127" s="14"/>
      <c r="W127" s="1"/>
      <c r="X127" s="5" t="str">
        <f t="shared" si="14"/>
        <v/>
      </c>
      <c r="Y127" s="11" t="str">
        <f t="shared" si="15"/>
        <v/>
      </c>
      <c r="Z127" s="11" t="str">
        <f t="shared" si="16"/>
        <v/>
      </c>
      <c r="AP127" s="5"/>
      <c r="AQ127" s="5"/>
      <c r="AR127" s="5"/>
      <c r="AS127" s="5"/>
      <c r="AT127" s="5"/>
      <c r="BC127" s="5"/>
      <c r="BD127" s="5"/>
    </row>
    <row r="128" spans="1:56" x14ac:dyDescent="0.2">
      <c r="A128" s="14"/>
      <c r="B128" s="1"/>
      <c r="C128" s="14"/>
      <c r="D128" s="14"/>
      <c r="G128" s="14"/>
      <c r="H128" s="14"/>
      <c r="I128" s="14"/>
      <c r="J128" s="14"/>
      <c r="K128" s="14"/>
      <c r="L128" s="14"/>
      <c r="M128" s="14"/>
      <c r="N128" s="14"/>
      <c r="O128" s="14"/>
      <c r="P128" s="14"/>
      <c r="R128" s="14"/>
      <c r="S128" s="14"/>
      <c r="T128" s="14"/>
      <c r="U128" s="14"/>
      <c r="V128" s="14"/>
      <c r="W128" s="1"/>
      <c r="X128" s="5" t="str">
        <f t="shared" si="14"/>
        <v/>
      </c>
      <c r="Y128" s="11" t="str">
        <f t="shared" si="15"/>
        <v/>
      </c>
      <c r="Z128" s="11" t="str">
        <f t="shared" si="16"/>
        <v/>
      </c>
      <c r="AP128" s="5"/>
      <c r="AQ128" s="5"/>
      <c r="AR128" s="5"/>
      <c r="AS128" s="5"/>
      <c r="AT128" s="5"/>
      <c r="BC128" s="5"/>
      <c r="BD128" s="5"/>
    </row>
    <row r="129" spans="1:56" x14ac:dyDescent="0.2">
      <c r="A129" s="14"/>
      <c r="B129" s="1"/>
      <c r="C129" s="14"/>
      <c r="D129" s="14"/>
      <c r="G129" s="14"/>
      <c r="H129" s="14"/>
      <c r="I129" s="14"/>
      <c r="J129" s="14"/>
      <c r="K129" s="14"/>
      <c r="L129" s="14"/>
      <c r="M129" s="14"/>
      <c r="N129" s="14"/>
      <c r="O129" s="14"/>
      <c r="P129" s="14"/>
      <c r="R129" s="14"/>
      <c r="S129" s="14"/>
      <c r="T129" s="14"/>
      <c r="U129" s="14"/>
      <c r="V129" s="14"/>
      <c r="W129" s="1"/>
      <c r="X129" s="5" t="str">
        <f t="shared" si="14"/>
        <v/>
      </c>
      <c r="Y129" s="11" t="str">
        <f t="shared" si="15"/>
        <v/>
      </c>
      <c r="Z129" s="11" t="str">
        <f t="shared" si="16"/>
        <v/>
      </c>
      <c r="AP129" s="5"/>
      <c r="AQ129" s="5"/>
      <c r="AR129" s="5"/>
      <c r="AS129" s="5"/>
      <c r="AT129" s="5"/>
      <c r="BC129" s="5"/>
      <c r="BD129" s="5"/>
    </row>
    <row r="130" spans="1:56" x14ac:dyDescent="0.2">
      <c r="A130" s="14"/>
      <c r="B130" s="1"/>
      <c r="C130" s="14"/>
      <c r="D130" s="14"/>
      <c r="G130" s="14"/>
      <c r="H130" s="14"/>
      <c r="I130" s="14"/>
      <c r="J130" s="14"/>
      <c r="K130" s="14"/>
      <c r="L130" s="14"/>
      <c r="M130" s="14"/>
      <c r="N130" s="14"/>
      <c r="O130" s="14"/>
      <c r="P130" s="14"/>
      <c r="R130" s="14"/>
      <c r="S130" s="14"/>
      <c r="T130" s="14"/>
      <c r="U130" s="14"/>
      <c r="V130" s="14"/>
      <c r="W130" s="1"/>
      <c r="X130" s="5" t="str">
        <f t="shared" si="14"/>
        <v/>
      </c>
      <c r="Y130" s="11" t="str">
        <f t="shared" si="15"/>
        <v/>
      </c>
      <c r="Z130" s="11" t="str">
        <f t="shared" si="16"/>
        <v/>
      </c>
      <c r="AP130" s="5"/>
      <c r="AQ130" s="5"/>
      <c r="AR130" s="5"/>
      <c r="AS130" s="5"/>
      <c r="AT130" s="5"/>
      <c r="BC130" s="5"/>
      <c r="BD130" s="5"/>
    </row>
    <row r="131" spans="1:56" x14ac:dyDescent="0.2">
      <c r="A131" s="14"/>
      <c r="B131" s="1"/>
      <c r="C131" s="14"/>
      <c r="D131" s="14"/>
      <c r="G131" s="14"/>
      <c r="H131" s="14"/>
      <c r="I131" s="14"/>
      <c r="J131" s="14"/>
      <c r="K131" s="14"/>
      <c r="L131" s="14"/>
      <c r="M131" s="14"/>
      <c r="N131" s="14"/>
      <c r="O131" s="14"/>
      <c r="P131" s="14"/>
      <c r="R131" s="14"/>
      <c r="S131" s="14"/>
      <c r="T131" s="14"/>
      <c r="U131" s="14"/>
      <c r="V131" s="14"/>
      <c r="W131" s="1"/>
      <c r="X131" s="5" t="str">
        <f t="shared" ref="X131:X147" si="17">IF(ISNUMBER(V131),V131-B131*$AB$3,"")</f>
        <v/>
      </c>
      <c r="Y131" s="11" t="str">
        <f t="shared" ref="Y131:Y147" si="18">IF(ISNUMBER(S131),(S131+1000)/((S131*$AU$1+$AV$1)/1000+1)-1000,"")</f>
        <v/>
      </c>
      <c r="Z131" s="11" t="str">
        <f t="shared" ref="Z131:Z147" si="19">IF(ISNUMBER(X131),(X131+1000)/((X131*$AU$2+$AV$2)/1000+1)-1000,"")</f>
        <v/>
      </c>
      <c r="AP131" s="5"/>
      <c r="AQ131" s="5"/>
      <c r="AR131" s="5"/>
      <c r="AS131" s="5"/>
      <c r="AT131" s="5"/>
      <c r="BC131" s="5"/>
      <c r="BD131" s="5"/>
    </row>
    <row r="132" spans="1:56" x14ac:dyDescent="0.2">
      <c r="A132" s="14"/>
      <c r="B132" s="1"/>
      <c r="C132" s="14"/>
      <c r="D132" s="14"/>
      <c r="G132" s="14"/>
      <c r="H132" s="14"/>
      <c r="I132" s="14"/>
      <c r="J132" s="14"/>
      <c r="K132" s="14"/>
      <c r="L132" s="14"/>
      <c r="M132" s="14"/>
      <c r="N132" s="14"/>
      <c r="O132" s="14"/>
      <c r="P132" s="14"/>
      <c r="R132" s="14"/>
      <c r="S132" s="14"/>
      <c r="T132" s="14"/>
      <c r="U132" s="14"/>
      <c r="V132" s="14"/>
      <c r="W132" s="1"/>
      <c r="X132" s="5" t="str">
        <f t="shared" si="17"/>
        <v/>
      </c>
      <c r="Y132" s="11" t="str">
        <f t="shared" si="18"/>
        <v/>
      </c>
      <c r="Z132" s="11" t="str">
        <f t="shared" si="19"/>
        <v/>
      </c>
      <c r="AP132" s="5"/>
      <c r="AQ132" s="5"/>
      <c r="AR132" s="5"/>
      <c r="AS132" s="5"/>
      <c r="AT132" s="5"/>
      <c r="BC132" s="5"/>
      <c r="BD132" s="5"/>
    </row>
    <row r="133" spans="1:56" x14ac:dyDescent="0.2">
      <c r="A133" s="14"/>
      <c r="B133" s="1"/>
      <c r="C133" s="14"/>
      <c r="D133" s="14"/>
      <c r="G133" s="14"/>
      <c r="H133" s="14"/>
      <c r="I133" s="14"/>
      <c r="J133" s="14"/>
      <c r="K133" s="14"/>
      <c r="L133" s="14"/>
      <c r="M133" s="14"/>
      <c r="N133" s="14"/>
      <c r="O133" s="14"/>
      <c r="P133" s="14"/>
      <c r="R133" s="14"/>
      <c r="S133" s="14"/>
      <c r="T133" s="14"/>
      <c r="U133" s="14"/>
      <c r="V133" s="14"/>
      <c r="W133" s="1"/>
      <c r="X133" s="5" t="str">
        <f t="shared" si="17"/>
        <v/>
      </c>
      <c r="Y133" s="11" t="str">
        <f t="shared" si="18"/>
        <v/>
      </c>
      <c r="Z133" s="11" t="str">
        <f t="shared" si="19"/>
        <v/>
      </c>
      <c r="AP133" s="5"/>
      <c r="AQ133" s="5"/>
      <c r="AR133" s="5"/>
      <c r="AS133" s="5"/>
      <c r="AT133" s="5"/>
      <c r="BC133" s="5"/>
      <c r="BD133" s="5"/>
    </row>
    <row r="134" spans="1:56" x14ac:dyDescent="0.2">
      <c r="A134" s="14"/>
      <c r="B134" s="1"/>
      <c r="C134" s="14"/>
      <c r="D134" s="14"/>
      <c r="G134" s="14"/>
      <c r="H134" s="14"/>
      <c r="I134" s="14"/>
      <c r="J134" s="14"/>
      <c r="K134" s="14"/>
      <c r="L134" s="14"/>
      <c r="M134" s="14"/>
      <c r="N134" s="14"/>
      <c r="O134" s="14"/>
      <c r="P134" s="14"/>
      <c r="R134" s="14"/>
      <c r="S134" s="14"/>
      <c r="T134" s="14"/>
      <c r="U134" s="14"/>
      <c r="V134" s="14"/>
      <c r="W134" s="1"/>
      <c r="X134" s="5" t="str">
        <f t="shared" si="17"/>
        <v/>
      </c>
      <c r="Y134" s="11" t="str">
        <f t="shared" si="18"/>
        <v/>
      </c>
      <c r="Z134" s="11" t="str">
        <f t="shared" si="19"/>
        <v/>
      </c>
      <c r="AP134" s="5"/>
      <c r="AQ134" s="5"/>
      <c r="AR134" s="5"/>
      <c r="AS134" s="5"/>
      <c r="AT134" s="5"/>
      <c r="BC134" s="5"/>
      <c r="BD134" s="5"/>
    </row>
    <row r="135" spans="1:56" x14ac:dyDescent="0.2">
      <c r="A135" s="14"/>
      <c r="B135" s="1"/>
      <c r="C135" s="14"/>
      <c r="D135" s="14"/>
      <c r="G135" s="14"/>
      <c r="H135" s="14"/>
      <c r="I135" s="14"/>
      <c r="J135" s="14"/>
      <c r="K135" s="14"/>
      <c r="L135" s="14"/>
      <c r="M135" s="14"/>
      <c r="N135" s="14"/>
      <c r="O135" s="14"/>
      <c r="P135" s="14"/>
      <c r="R135" s="14"/>
      <c r="S135" s="14"/>
      <c r="T135" s="14"/>
      <c r="U135" s="14"/>
      <c r="V135" s="14"/>
      <c r="W135" s="1"/>
      <c r="X135" s="5" t="str">
        <f t="shared" si="17"/>
        <v/>
      </c>
      <c r="Y135" s="11" t="str">
        <f t="shared" si="18"/>
        <v/>
      </c>
      <c r="Z135" s="11" t="str">
        <f t="shared" si="19"/>
        <v/>
      </c>
      <c r="AP135" s="5"/>
      <c r="AQ135" s="5"/>
      <c r="AR135" s="5"/>
      <c r="AS135" s="5"/>
      <c r="AT135" s="5"/>
      <c r="BC135" s="5"/>
      <c r="BD135" s="5"/>
    </row>
    <row r="136" spans="1:56" x14ac:dyDescent="0.2">
      <c r="A136" s="14"/>
      <c r="B136" s="1"/>
      <c r="C136" s="14"/>
      <c r="D136" s="14"/>
      <c r="G136" s="14"/>
      <c r="H136" s="14"/>
      <c r="I136" s="14"/>
      <c r="J136" s="14"/>
      <c r="K136" s="14"/>
      <c r="L136" s="14"/>
      <c r="M136" s="14"/>
      <c r="N136" s="14"/>
      <c r="O136" s="14"/>
      <c r="P136" s="14"/>
      <c r="R136" s="14"/>
      <c r="S136" s="14"/>
      <c r="T136" s="14"/>
      <c r="U136" s="14"/>
      <c r="V136" s="14"/>
      <c r="W136" s="1"/>
      <c r="X136" s="5" t="str">
        <f t="shared" si="17"/>
        <v/>
      </c>
      <c r="Y136" s="11" t="str">
        <f t="shared" si="18"/>
        <v/>
      </c>
      <c r="Z136" s="11" t="str">
        <f t="shared" si="19"/>
        <v/>
      </c>
      <c r="AP136" s="5"/>
      <c r="AQ136" s="5"/>
      <c r="AR136" s="5"/>
      <c r="AS136" s="5"/>
      <c r="AT136" s="5"/>
      <c r="BC136" s="5"/>
      <c r="BD136" s="5"/>
    </row>
    <row r="137" spans="1:56" x14ac:dyDescent="0.2">
      <c r="A137" s="14"/>
      <c r="B137" s="1"/>
      <c r="C137" s="14"/>
      <c r="D137" s="14"/>
      <c r="G137" s="14"/>
      <c r="H137" s="14"/>
      <c r="I137" s="14"/>
      <c r="J137" s="14"/>
      <c r="K137" s="14"/>
      <c r="L137" s="14"/>
      <c r="M137" s="14"/>
      <c r="N137" s="14"/>
      <c r="O137" s="14"/>
      <c r="P137" s="14"/>
      <c r="R137" s="14"/>
      <c r="S137" s="14"/>
      <c r="T137" s="14"/>
      <c r="U137" s="14"/>
      <c r="V137" s="14"/>
      <c r="W137" s="1"/>
      <c r="X137" s="5" t="str">
        <f t="shared" si="17"/>
        <v/>
      </c>
      <c r="Y137" s="11" t="str">
        <f t="shared" si="18"/>
        <v/>
      </c>
      <c r="Z137" s="11" t="str">
        <f t="shared" si="19"/>
        <v/>
      </c>
      <c r="AP137" s="5"/>
      <c r="AQ137" s="5"/>
      <c r="AR137" s="5"/>
      <c r="AS137" s="5"/>
      <c r="AT137" s="5"/>
      <c r="BC137" s="5"/>
      <c r="BD137" s="5"/>
    </row>
    <row r="138" spans="1:56" x14ac:dyDescent="0.2">
      <c r="A138" s="14"/>
      <c r="B138" s="1"/>
      <c r="C138" s="14"/>
      <c r="D138" s="14"/>
      <c r="G138" s="14"/>
      <c r="H138" s="14"/>
      <c r="I138" s="14"/>
      <c r="J138" s="14"/>
      <c r="K138" s="14"/>
      <c r="L138" s="14"/>
      <c r="M138" s="14"/>
      <c r="N138" s="14"/>
      <c r="O138" s="14"/>
      <c r="P138" s="14"/>
      <c r="R138" s="14"/>
      <c r="S138" s="14"/>
      <c r="T138" s="14"/>
      <c r="U138" s="14"/>
      <c r="V138" s="14"/>
      <c r="W138" s="1"/>
      <c r="X138" s="5" t="str">
        <f t="shared" si="17"/>
        <v/>
      </c>
      <c r="Y138" s="11" t="str">
        <f t="shared" si="18"/>
        <v/>
      </c>
      <c r="Z138" s="11" t="str">
        <f t="shared" si="19"/>
        <v/>
      </c>
      <c r="AP138" s="5"/>
      <c r="AQ138" s="5"/>
      <c r="AR138" s="5"/>
      <c r="AS138" s="5"/>
      <c r="AT138" s="5"/>
      <c r="BC138" s="5"/>
      <c r="BD138" s="5"/>
    </row>
    <row r="139" spans="1:56" x14ac:dyDescent="0.2">
      <c r="A139" s="14"/>
      <c r="B139" s="1"/>
      <c r="C139" s="14"/>
      <c r="D139" s="14"/>
      <c r="G139" s="14"/>
      <c r="H139" s="14"/>
      <c r="I139" s="14"/>
      <c r="J139" s="14"/>
      <c r="K139" s="14"/>
      <c r="L139" s="14"/>
      <c r="M139" s="14"/>
      <c r="N139" s="14"/>
      <c r="O139" s="14"/>
      <c r="P139" s="14"/>
      <c r="R139" s="14"/>
      <c r="S139" s="14"/>
      <c r="T139" s="14"/>
      <c r="U139" s="14"/>
      <c r="V139" s="14"/>
      <c r="W139" s="1"/>
      <c r="X139" s="5" t="str">
        <f t="shared" si="17"/>
        <v/>
      </c>
      <c r="Y139" s="11" t="str">
        <f t="shared" si="18"/>
        <v/>
      </c>
      <c r="Z139" s="11" t="str">
        <f t="shared" si="19"/>
        <v/>
      </c>
      <c r="AP139" s="5"/>
      <c r="AQ139" s="5"/>
      <c r="AR139" s="5"/>
      <c r="AS139" s="5"/>
      <c r="AT139" s="5"/>
      <c r="BC139" s="5"/>
      <c r="BD139" s="5"/>
    </row>
    <row r="140" spans="1:56" x14ac:dyDescent="0.2">
      <c r="A140" s="14"/>
      <c r="B140" s="1"/>
      <c r="C140" s="14"/>
      <c r="D140" s="14"/>
      <c r="G140" s="14"/>
      <c r="H140" s="14"/>
      <c r="I140" s="14"/>
      <c r="J140" s="14"/>
      <c r="K140" s="14"/>
      <c r="L140" s="14"/>
      <c r="M140" s="14"/>
      <c r="N140" s="14"/>
      <c r="O140" s="14"/>
      <c r="P140" s="14"/>
      <c r="R140" s="14"/>
      <c r="S140" s="14"/>
      <c r="T140" s="14"/>
      <c r="U140" s="14"/>
      <c r="V140" s="14"/>
      <c r="W140" s="1"/>
      <c r="X140" s="5" t="str">
        <f t="shared" si="17"/>
        <v/>
      </c>
      <c r="Y140" s="11" t="str">
        <f t="shared" si="18"/>
        <v/>
      </c>
      <c r="Z140" s="11" t="str">
        <f t="shared" si="19"/>
        <v/>
      </c>
      <c r="AP140" s="5"/>
      <c r="AQ140" s="5"/>
      <c r="AR140" s="5"/>
      <c r="AS140" s="5"/>
      <c r="AT140" s="5"/>
      <c r="BC140" s="5"/>
      <c r="BD140" s="5"/>
    </row>
    <row r="141" spans="1:56" x14ac:dyDescent="0.2">
      <c r="A141" s="14"/>
      <c r="B141" s="1"/>
      <c r="C141" s="14"/>
      <c r="D141" s="14"/>
      <c r="G141" s="14"/>
      <c r="H141" s="14"/>
      <c r="I141" s="14"/>
      <c r="J141" s="14"/>
      <c r="K141" s="14"/>
      <c r="L141" s="14"/>
      <c r="M141" s="14"/>
      <c r="N141" s="14"/>
      <c r="O141" s="14"/>
      <c r="P141" s="14"/>
      <c r="R141" s="14"/>
      <c r="S141" s="14"/>
      <c r="T141" s="14"/>
      <c r="U141" s="14"/>
      <c r="V141" s="14"/>
      <c r="X141" s="5" t="str">
        <f t="shared" si="17"/>
        <v/>
      </c>
      <c r="Y141" s="11" t="str">
        <f t="shared" si="18"/>
        <v/>
      </c>
      <c r="Z141" s="11" t="str">
        <f t="shared" si="19"/>
        <v/>
      </c>
    </row>
    <row r="142" spans="1:56" x14ac:dyDescent="0.2">
      <c r="A142" s="14"/>
      <c r="B142" s="1"/>
      <c r="C142" s="14"/>
      <c r="D142" s="14"/>
      <c r="G142" s="14"/>
      <c r="H142" s="14"/>
      <c r="I142" s="14"/>
      <c r="J142" s="14"/>
      <c r="K142" s="14"/>
      <c r="L142" s="14"/>
      <c r="M142" s="14"/>
      <c r="N142" s="14"/>
      <c r="O142" s="14"/>
      <c r="P142" s="14"/>
      <c r="R142" s="14"/>
      <c r="S142" s="14"/>
      <c r="T142" s="14"/>
      <c r="U142" s="14"/>
      <c r="V142" s="14"/>
      <c r="X142" s="5" t="str">
        <f t="shared" si="17"/>
        <v/>
      </c>
      <c r="Y142" s="11" t="str">
        <f t="shared" si="18"/>
        <v/>
      </c>
      <c r="Z142" s="11" t="str">
        <f t="shared" si="19"/>
        <v/>
      </c>
    </row>
    <row r="143" spans="1:56" x14ac:dyDescent="0.2">
      <c r="A143" s="14"/>
      <c r="B143" s="1"/>
      <c r="C143" s="14"/>
      <c r="D143" s="14"/>
      <c r="G143" s="14"/>
      <c r="H143" s="14"/>
      <c r="I143" s="14"/>
      <c r="J143" s="14"/>
      <c r="K143" s="14"/>
      <c r="L143" s="14"/>
      <c r="M143" s="14"/>
      <c r="N143" s="14"/>
      <c r="O143" s="14"/>
      <c r="P143" s="14"/>
      <c r="R143" s="14"/>
      <c r="S143" s="14"/>
      <c r="T143" s="14"/>
      <c r="U143" s="14"/>
      <c r="V143" s="14"/>
      <c r="X143" s="5" t="str">
        <f t="shared" si="17"/>
        <v/>
      </c>
      <c r="Y143" s="11" t="str">
        <f t="shared" si="18"/>
        <v/>
      </c>
      <c r="Z143" s="11" t="str">
        <f t="shared" si="19"/>
        <v/>
      </c>
    </row>
    <row r="144" spans="1:56" x14ac:dyDescent="0.2">
      <c r="A144" s="14"/>
      <c r="B144" s="1"/>
      <c r="C144" s="14"/>
      <c r="D144" s="14"/>
      <c r="G144" s="14"/>
      <c r="H144" s="14"/>
      <c r="I144" s="14"/>
      <c r="J144" s="14"/>
      <c r="K144" s="14"/>
      <c r="L144" s="14"/>
      <c r="M144" s="14"/>
      <c r="N144" s="14"/>
      <c r="O144" s="14"/>
      <c r="P144" s="14"/>
      <c r="R144" s="14"/>
      <c r="S144" s="14"/>
      <c r="T144" s="14"/>
      <c r="U144" s="14"/>
      <c r="V144" s="14"/>
      <c r="X144" s="5" t="str">
        <f t="shared" si="17"/>
        <v/>
      </c>
      <c r="Y144" s="11" t="str">
        <f t="shared" si="18"/>
        <v/>
      </c>
      <c r="Z144" s="11" t="str">
        <f t="shared" si="19"/>
        <v/>
      </c>
    </row>
    <row r="145" spans="1:26" x14ac:dyDescent="0.2">
      <c r="A145" s="14"/>
      <c r="B145" s="1"/>
      <c r="C145" s="14"/>
      <c r="D145" s="14"/>
      <c r="G145" s="14"/>
      <c r="H145" s="14"/>
      <c r="I145" s="14"/>
      <c r="J145" s="14"/>
      <c r="K145" s="14"/>
      <c r="L145" s="14"/>
      <c r="M145" s="14"/>
      <c r="N145" s="14"/>
      <c r="O145" s="14"/>
      <c r="P145" s="14"/>
      <c r="R145" s="14"/>
      <c r="S145" s="14"/>
      <c r="T145" s="14"/>
      <c r="U145" s="14"/>
      <c r="V145" s="14"/>
      <c r="X145" s="5" t="str">
        <f t="shared" si="17"/>
        <v/>
      </c>
      <c r="Y145" s="11" t="str">
        <f t="shared" si="18"/>
        <v/>
      </c>
      <c r="Z145" s="11" t="str">
        <f t="shared" si="19"/>
        <v/>
      </c>
    </row>
    <row r="146" spans="1:26" x14ac:dyDescent="0.2">
      <c r="A146" s="14"/>
      <c r="B146" s="1"/>
      <c r="C146" s="14"/>
      <c r="D146" s="14"/>
      <c r="G146" s="14"/>
      <c r="H146" s="14"/>
      <c r="I146" s="14"/>
      <c r="J146" s="14"/>
      <c r="K146" s="14"/>
      <c r="L146" s="14"/>
      <c r="M146" s="14"/>
      <c r="N146" s="14"/>
      <c r="O146" s="14"/>
      <c r="P146" s="14"/>
      <c r="R146" s="14"/>
      <c r="S146" s="14"/>
      <c r="T146" s="14"/>
      <c r="U146" s="14"/>
      <c r="V146" s="14"/>
      <c r="X146" s="5" t="str">
        <f t="shared" si="17"/>
        <v/>
      </c>
      <c r="Y146" s="11" t="str">
        <f t="shared" si="18"/>
        <v/>
      </c>
      <c r="Z146" s="11" t="str">
        <f t="shared" si="19"/>
        <v/>
      </c>
    </row>
    <row r="147" spans="1:26" x14ac:dyDescent="0.2">
      <c r="A147" s="14"/>
      <c r="B147" s="1"/>
      <c r="C147" s="14"/>
      <c r="D147" s="14"/>
      <c r="G147" s="14"/>
      <c r="H147" s="14"/>
      <c r="I147" s="14"/>
      <c r="J147" s="14"/>
      <c r="K147" s="14"/>
      <c r="L147" s="14"/>
      <c r="M147" s="14"/>
      <c r="N147" s="14"/>
      <c r="O147" s="14"/>
      <c r="P147" s="14"/>
      <c r="R147" s="14"/>
      <c r="S147" s="14"/>
      <c r="T147" s="14"/>
      <c r="U147" s="14"/>
      <c r="V147" s="14"/>
      <c r="X147" s="5" t="str">
        <f t="shared" si="17"/>
        <v/>
      </c>
      <c r="Y147" s="11" t="str">
        <f t="shared" si="18"/>
        <v/>
      </c>
      <c r="Z147" s="11" t="str">
        <f t="shared" si="19"/>
        <v/>
      </c>
    </row>
  </sheetData>
  <conditionalFormatting sqref="BW2:BW25">
    <cfRule type="cellIs" dxfId="2" priority="1" operator="equal">
      <formula>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8" r:id="rId3" name="Button 6">
              <controlPr defaultSize="0" autoFill="0" autoPict="0" macro="[0]!d13C_drift">
                <anchor moveWithCells="1" sizeWithCells="1">
                  <from>
                    <xdr:col>27</xdr:col>
                    <xdr:colOff>0</xdr:colOff>
                    <xdr:row>3</xdr:row>
                    <xdr:rowOff>25400</xdr:rowOff>
                  </from>
                  <to>
                    <xdr:col>28</xdr:col>
                    <xdr:colOff>101600</xdr:colOff>
                    <xdr:row>5</xdr:row>
                    <xdr:rowOff>152400</xdr:rowOff>
                  </to>
                </anchor>
              </controlPr>
            </control>
          </mc:Choice>
        </mc:AlternateContent>
        <mc:AlternateContent xmlns:mc="http://schemas.openxmlformats.org/markup-compatibility/2006">
          <mc:Choice Requires="x14">
            <control shapeId="3079" r:id="rId4" name="Button 7">
              <controlPr defaultSize="0" autoFill="0" autoPict="0" macro="[0]!d13C_ref">
                <anchor moveWithCells="1" sizeWithCells="1">
                  <from>
                    <xdr:col>37</xdr:col>
                    <xdr:colOff>25400</xdr:colOff>
                    <xdr:row>4</xdr:row>
                    <xdr:rowOff>12700</xdr:rowOff>
                  </from>
                  <to>
                    <xdr:col>38</xdr:col>
                    <xdr:colOff>508000</xdr:colOff>
                    <xdr:row>6</xdr:row>
                    <xdr:rowOff>101600</xdr:rowOff>
                  </to>
                </anchor>
              </controlPr>
            </control>
          </mc:Choice>
        </mc:AlternateContent>
        <mc:AlternateContent xmlns:mc="http://schemas.openxmlformats.org/markup-compatibility/2006">
          <mc:Choice Requires="x14">
            <control shapeId="3080" r:id="rId5" name="Button 8">
              <controlPr defaultSize="0" autoFill="0" autoPict="0" macro="[0]!C_qc">
                <anchor moveWithCells="1" sizeWithCells="1">
                  <from>
                    <xdr:col>49</xdr:col>
                    <xdr:colOff>0</xdr:colOff>
                    <xdr:row>2</xdr:row>
                    <xdr:rowOff>203200</xdr:rowOff>
                  </from>
                  <to>
                    <xdr:col>50</xdr:col>
                    <xdr:colOff>596900</xdr:colOff>
                    <xdr:row>5</xdr:row>
                    <xdr:rowOff>190500</xdr:rowOff>
                  </to>
                </anchor>
              </controlPr>
            </control>
          </mc:Choice>
        </mc:AlternateContent>
        <mc:AlternateContent xmlns:mc="http://schemas.openxmlformats.org/markup-compatibility/2006">
          <mc:Choice Requires="x14">
            <control shapeId="3082" r:id="rId6" name="Button 10">
              <controlPr defaultSize="0" print="0" autoFill="0" autoPict="0" macro="[0]!d13C_lincheck">
                <anchor moveWithCells="1" sizeWithCells="1">
                  <from>
                    <xdr:col>62</xdr:col>
                    <xdr:colOff>0</xdr:colOff>
                    <xdr:row>6</xdr:row>
                    <xdr:rowOff>190500</xdr:rowOff>
                  </from>
                  <to>
                    <xdr:col>64</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promptTitle="Reference" prompt="Select two" xr:uid="{00000000-0002-0000-0500-000000000000}">
          <x14:formula1>
            <xm:f>References!$A$2:$A$6</xm:f>
          </x14:formula1>
          <xm:sqref>AB2 BK2:BK5 AX2 AL2:AL4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FF0000"/>
  </sheetPr>
  <dimension ref="A1:P341"/>
  <sheetViews>
    <sheetView tabSelected="1" zoomScale="80" zoomScaleNormal="80" workbookViewId="0">
      <pane ySplit="1" topLeftCell="A2" activePane="bottomLeft" state="frozen"/>
      <selection pane="bottomLeft" activeCell="J13" sqref="J13"/>
    </sheetView>
  </sheetViews>
  <sheetFormatPr baseColWidth="10" defaultColWidth="11" defaultRowHeight="16" x14ac:dyDescent="0.2"/>
  <cols>
    <col min="1" max="1" width="11.33203125" style="3" customWidth="1"/>
    <col min="2" max="2" width="45.6640625" style="3" bestFit="1" customWidth="1"/>
    <col min="3" max="4" width="7.33203125" style="3" bestFit="1" customWidth="1"/>
    <col min="5" max="5" width="10.5" style="3" bestFit="1" customWidth="1"/>
    <col min="6" max="7" width="13.83203125" style="3" bestFit="1" customWidth="1"/>
    <col min="8" max="8" width="20.33203125" style="3" bestFit="1" customWidth="1"/>
    <col min="9" max="9" width="18.6640625" style="3" bestFit="1" customWidth="1"/>
    <col min="11" max="11" width="17.6640625" customWidth="1"/>
    <col min="12" max="12" width="23.83203125" customWidth="1"/>
    <col min="13" max="13" width="20.33203125" customWidth="1"/>
    <col min="14" max="14" width="17.6640625" customWidth="1"/>
    <col min="15" max="15" width="23.83203125" customWidth="1"/>
    <col min="16" max="16" width="18.6640625" customWidth="1"/>
  </cols>
  <sheetData>
    <row r="1" spans="1:16" s="8" customFormat="1" ht="34" x14ac:dyDescent="0.2">
      <c r="A1" s="21" t="s">
        <v>40</v>
      </c>
      <c r="B1" s="22" t="s">
        <v>1</v>
      </c>
      <c r="C1" s="23" t="s">
        <v>22</v>
      </c>
      <c r="D1" s="23" t="s">
        <v>26</v>
      </c>
      <c r="E1" s="53" t="s">
        <v>2</v>
      </c>
      <c r="F1" s="23" t="s">
        <v>91</v>
      </c>
      <c r="G1" s="23" t="s">
        <v>92</v>
      </c>
      <c r="H1" s="18" t="s">
        <v>77</v>
      </c>
      <c r="I1" s="18" t="s">
        <v>76</v>
      </c>
      <c r="K1" s="46" t="s">
        <v>40</v>
      </c>
      <c r="L1" s="46" t="s">
        <v>57</v>
      </c>
      <c r="M1" s="46" t="s">
        <v>77</v>
      </c>
      <c r="N1" s="49" t="s">
        <v>40</v>
      </c>
      <c r="O1" s="49" t="s">
        <v>57</v>
      </c>
      <c r="P1" s="49" t="s">
        <v>76</v>
      </c>
    </row>
    <row r="2" spans="1:16" x14ac:dyDescent="0.2">
      <c r="A2">
        <v>27817</v>
      </c>
      <c r="B2" t="s">
        <v>103</v>
      </c>
      <c r="C2" s="10">
        <f>IF(ISNA(MATCH(A2,'Elemental analysis'!$Q$5:$Q$139,0)),"",INDEX('Elemental analysis'!$Q$5:$W$139,MATCH(Summary!$A2,'Elemental analysis'!$Q$5:$Q$139,0),MATCH(Summary!C$1,'Elemental analysis'!$Q$5:$W$5,0)))</f>
        <v>2.4094974410409489E-2</v>
      </c>
      <c r="D2" s="10">
        <f>IF(ISNA(MATCH(A2,'Elemental analysis'!$Y$5:$Y$139,0)),"",INDEX('Elemental analysis'!$Y$5:$AE$139,MATCH(Summary!$A2,'Elemental analysis'!$Y$5:$Y$139,0),MATCH(Summary!D$1,'Elemental analysis'!$Y$5:$AE$5,0)))</f>
        <v>0.39638022297517461</v>
      </c>
      <c r="E2" s="10">
        <f>IF( IF(ISNA(MATCH(A2,'Elemental analysis'!$Y$5:$Y$139,0)),"",INDEX('Elemental analysis'!$Y$5:$AE$139,MATCH(Summary!$A2,'Elemental analysis'!$Y$5:$Y$139,0),MATCH(Summary!E$1,'Elemental analysis'!$Y$5:$AE$5,0)))=0,"",IF(ISNA(MATCH(A2,'Elemental analysis'!$Y$5:$Y$139,0)),"",INDEX('Elemental analysis'!$Y$5:$AE$139,MATCH(Summary!$A2,'Elemental analysis'!$Y$5:$Y$139,0),MATCH(Summary!E$1,'Elemental analysis'!$Y$5:$AE$5,0))))</f>
        <v>5.4130000000000003</v>
      </c>
      <c r="F2" s="10">
        <f t="shared" ref="F2:F60" si="0">IF(ISERROR(C2/E2),"",C2/E2)</f>
        <v>4.451316166711526E-3</v>
      </c>
      <c r="G2" s="10">
        <f t="shared" ref="G2:G60" si="1">IF(ISERROR(D2/E2),"",D2/E2)</f>
        <v>7.3227456673780639E-2</v>
      </c>
      <c r="H2" s="11">
        <f>IF(ISNA(MATCH(A2,'15N'!$B:$B,0)),"",INDEX('15N'!$A:$Y,MATCH(A2,'15N'!$B:$B,0),MATCH(Summary!$H$1,'15N'!$A$1:$Y$1,0)))</f>
        <v>3.5096171194602448</v>
      </c>
      <c r="I2" s="11">
        <f>IF(ISNA(MATCH(A2,'13C'!$B:$B,0)),"",INDEX('13C'!$A:$Z,MATCH(A2,'13C'!$B:$B,0),MATCH(Summary!$I$1,'13C'!$A$1:$Z$1,0)))</f>
        <v>-26.277089487176568</v>
      </c>
      <c r="K2" s="47">
        <f>IF(ISBLANK('15N'!AZ2),"",'15N'!AZ2)</f>
        <v>27813</v>
      </c>
      <c r="L2" s="47" t="str">
        <f>IF(ISBLANK('15N'!BA2),"",'15N'!BA2)</f>
        <v>Urea</v>
      </c>
      <c r="M2" s="48">
        <f>IF(ISBLANK('15N'!BB2),"",'15N'!BC2)</f>
        <v>-0.28924987743596375</v>
      </c>
      <c r="N2" s="50">
        <f>IF(ISBLANK('13C'!BA2),"",'13C'!BA2)</f>
        <v>27815</v>
      </c>
      <c r="O2" s="50" t="str">
        <f>IF(ISBLANK('13C'!BB2),"",'13C'!BB2)</f>
        <v>Spirulina</v>
      </c>
      <c r="P2" s="51">
        <f>IF(ISBLANK('13C'!BC2),"",'13C'!BD2)</f>
        <v>-29.406803012814748</v>
      </c>
    </row>
    <row r="3" spans="1:16" x14ac:dyDescent="0.2">
      <c r="A3">
        <v>27818</v>
      </c>
      <c r="B3" t="s">
        <v>104</v>
      </c>
      <c r="C3" s="10">
        <f>IF(ISNA(MATCH(A3,'Elemental analysis'!$Q$5:$Q$139,0)),"",INDEX('Elemental analysis'!$Q$5:$W$139,MATCH(Summary!$A3,'Elemental analysis'!$Q$5:$Q$139,0),MATCH(Summary!C$1,'Elemental analysis'!$Q$5:$W$5,0)))</f>
        <v>2.3671121252921666E-2</v>
      </c>
      <c r="D3" s="10">
        <f>IF(ISNA(MATCH(A3,'Elemental analysis'!$Y$5:$Y$139,0)),"",INDEX('Elemental analysis'!$Y$5:$AE$139,MATCH(Summary!$A3,'Elemental analysis'!$Y$5:$Y$139,0),MATCH(Summary!D$1,'Elemental analysis'!$Y$5:$AE$5,0)))</f>
        <v>0.29873013987689384</v>
      </c>
      <c r="E3" s="10">
        <f>IF( IF(ISNA(MATCH(A3,'Elemental analysis'!$Y$5:$Y$139,0)),"",INDEX('Elemental analysis'!$Y$5:$AE$139,MATCH(Summary!$A3,'Elemental analysis'!$Y$5:$Y$139,0),MATCH(Summary!E$1,'Elemental analysis'!$Y$5:$AE$5,0)))=0,"",IF(ISNA(MATCH(A3,'Elemental analysis'!$Y$5:$Y$139,0)),"",INDEX('Elemental analysis'!$Y$5:$AE$139,MATCH(Summary!$A3,'Elemental analysis'!$Y$5:$Y$139,0),MATCH(Summary!E$1,'Elemental analysis'!$Y$5:$AE$5,0))))</f>
        <v>6.4379999999999997</v>
      </c>
      <c r="F3" s="10">
        <f t="shared" si="0"/>
        <v>3.6767818038088954E-3</v>
      </c>
      <c r="G3" s="10">
        <f t="shared" si="1"/>
        <v>4.6401077955404449E-2</v>
      </c>
      <c r="H3" s="11">
        <f>IF(ISNA(MATCH(A3,'15N'!$B:$B,0)),"",INDEX('15N'!$A:$Y,MATCH(A3,'15N'!$B:$B,0),MATCH(Summary!$H$1,'15N'!$A$1:$Y$1,0)))</f>
        <v>4.4802217249604155</v>
      </c>
      <c r="I3" s="11">
        <f>IF(ISNA(MATCH(A3,'13C'!$B:$B,0)),"",INDEX('13C'!$A:$Z,MATCH(A3,'13C'!$B:$B,0),MATCH(Summary!$I$1,'13C'!$A$1:$Z$1,0)))</f>
        <v>-26.400529820306929</v>
      </c>
      <c r="K3" s="47">
        <f>IF(ISBLANK('15N'!AZ3),"",'15N'!AZ3)</f>
        <v>27869</v>
      </c>
      <c r="L3" s="47" t="str">
        <f>IF(ISBLANK('15N'!BA3),"",'15N'!BA3)</f>
        <v>Urea</v>
      </c>
      <c r="M3" s="48">
        <f>IF(ISBLANK('15N'!BB3),"",'15N'!BC3)</f>
        <v>-0.29993796080020729</v>
      </c>
      <c r="N3" s="50">
        <f>IF(ISBLANK('13C'!BA3),"",'13C'!BA3)</f>
        <v>27871</v>
      </c>
      <c r="O3" s="50" t="str">
        <f>IF(ISBLANK('13C'!BB3),"",'13C'!BB3)</f>
        <v>Spirulina</v>
      </c>
      <c r="P3" s="51">
        <f>IF(ISBLANK('13C'!BC3),"",'13C'!BD3)</f>
        <v>-29.355164937556765</v>
      </c>
    </row>
    <row r="4" spans="1:16" x14ac:dyDescent="0.2">
      <c r="A4">
        <v>27819</v>
      </c>
      <c r="B4" t="s">
        <v>105</v>
      </c>
      <c r="C4" s="10">
        <f>IF(ISNA(MATCH(A4,'Elemental analysis'!$Q$5:$Q$139,0)),"",INDEX('Elemental analysis'!$Q$5:$W$139,MATCH(Summary!$A4,'Elemental analysis'!$Q$5:$Q$139,0),MATCH(Summary!C$1,'Elemental analysis'!$Q$5:$W$5,0)))</f>
        <v>3.4737599926012407E-2</v>
      </c>
      <c r="D4" s="10">
        <f>IF(ISNA(MATCH(A4,'Elemental analysis'!$Y$5:$Y$139,0)),"",INDEX('Elemental analysis'!$Y$5:$AE$139,MATCH(Summary!$A4,'Elemental analysis'!$Y$5:$Y$139,0),MATCH(Summary!D$1,'Elemental analysis'!$Y$5:$AE$5,0)))</f>
        <v>0.48997618791259839</v>
      </c>
      <c r="E4" s="10">
        <f>IF( IF(ISNA(MATCH(A4,'Elemental analysis'!$Y$5:$Y$139,0)),"",INDEX('Elemental analysis'!$Y$5:$AE$139,MATCH(Summary!$A4,'Elemental analysis'!$Y$5:$Y$139,0),MATCH(Summary!E$1,'Elemental analysis'!$Y$5:$AE$5,0)))=0,"",IF(ISNA(MATCH(A4,'Elemental analysis'!$Y$5:$Y$139,0)),"",INDEX('Elemental analysis'!$Y$5:$AE$139,MATCH(Summary!$A4,'Elemental analysis'!$Y$5:$Y$139,0),MATCH(Summary!E$1,'Elemental analysis'!$Y$5:$AE$5,0))))</f>
        <v>6.3029999999999999</v>
      </c>
      <c r="F4" s="10">
        <f t="shared" si="0"/>
        <v>5.511280330955483E-3</v>
      </c>
      <c r="G4" s="10">
        <f t="shared" si="1"/>
        <v>7.7736980471616438E-2</v>
      </c>
      <c r="H4" s="11">
        <f>IF(ISNA(MATCH(A4,'15N'!$B:$B,0)),"",INDEX('15N'!$A:$Y,MATCH(A4,'15N'!$B:$B,0),MATCH(Summary!$H$1,'15N'!$A$1:$Y$1,0)))</f>
        <v>4.8833861258812021</v>
      </c>
      <c r="I4" s="11">
        <f>IF(ISNA(MATCH(A4,'13C'!$B:$B,0)),"",INDEX('13C'!$A:$Z,MATCH(A4,'13C'!$B:$B,0),MATCH(Summary!$I$1,'13C'!$A$1:$Z$1,0)))</f>
        <v>-24.7963589786184</v>
      </c>
      <c r="K4" s="47">
        <f>IF(ISBLANK('15N'!AZ4),"",'15N'!AZ4)</f>
        <v>27928</v>
      </c>
      <c r="L4" s="47" t="str">
        <f>IF(ISBLANK('15N'!BA4),"",'15N'!BA4)</f>
        <v>Urea</v>
      </c>
      <c r="M4" s="48">
        <f>IF(ISBLANK('15N'!BB4),"",'15N'!BC4)</f>
        <v>-0.28179467103063871</v>
      </c>
      <c r="N4" s="50">
        <f>IF(ISBLANK('13C'!BA4),"",'13C'!BA4)</f>
        <v>27930</v>
      </c>
      <c r="O4" s="50" t="str">
        <f>IF(ISBLANK('13C'!BB4),"",'13C'!BB4)</f>
        <v>Spirulina</v>
      </c>
      <c r="P4" s="51">
        <f>IF(ISBLANK('13C'!BC4),"",'13C'!BD4)</f>
        <v>-29.239921035342604</v>
      </c>
    </row>
    <row r="5" spans="1:16" x14ac:dyDescent="0.2">
      <c r="A5">
        <v>27820</v>
      </c>
      <c r="B5" t="s">
        <v>106</v>
      </c>
      <c r="C5" s="10">
        <f>IF(ISNA(MATCH(A5,'Elemental analysis'!$Q$5:$Q$139,0)),"",INDEX('Elemental analysis'!$Q$5:$W$139,MATCH(Summary!$A5,'Elemental analysis'!$Q$5:$Q$139,0),MATCH(Summary!C$1,'Elemental analysis'!$Q$5:$W$5,0)))</f>
        <v>2.7467440682322961E-2</v>
      </c>
      <c r="D5" s="10">
        <f>IF(ISNA(MATCH(A5,'Elemental analysis'!$Y$5:$Y$139,0)),"",INDEX('Elemental analysis'!$Y$5:$AE$139,MATCH(Summary!$A5,'Elemental analysis'!$Y$5:$Y$139,0),MATCH(Summary!D$1,'Elemental analysis'!$Y$5:$AE$5,0)))</f>
        <v>0.42659144570814383</v>
      </c>
      <c r="E5" s="10">
        <f>IF( IF(ISNA(MATCH(A5,'Elemental analysis'!$Y$5:$Y$139,0)),"",INDEX('Elemental analysis'!$Y$5:$AE$139,MATCH(Summary!$A5,'Elemental analysis'!$Y$5:$Y$139,0),MATCH(Summary!E$1,'Elemental analysis'!$Y$5:$AE$5,0)))=0,"",IF(ISNA(MATCH(A5,'Elemental analysis'!$Y$5:$Y$139,0)),"",INDEX('Elemental analysis'!$Y$5:$AE$139,MATCH(Summary!$A5,'Elemental analysis'!$Y$5:$Y$139,0),MATCH(Summary!E$1,'Elemental analysis'!$Y$5:$AE$5,0))))</f>
        <v>5.7480000000000002</v>
      </c>
      <c r="F5" s="10">
        <f t="shared" si="0"/>
        <v>4.7786083302579956E-3</v>
      </c>
      <c r="G5" s="10">
        <f t="shared" si="1"/>
        <v>7.4215630777338865E-2</v>
      </c>
      <c r="H5" s="11">
        <f>IF(ISNA(MATCH(A5,'15N'!$B:$B,0)),"",INDEX('15N'!$A:$Y,MATCH(A5,'15N'!$B:$B,0),MATCH(Summary!$H$1,'15N'!$A$1:$Y$1,0)))</f>
        <v>2.0551307674433019</v>
      </c>
      <c r="I5" s="11">
        <f>IF(ISNA(MATCH(A5,'13C'!$B:$B,0)),"",INDEX('13C'!$A:$Z,MATCH(A5,'13C'!$B:$B,0),MATCH(Summary!$I$1,'13C'!$A$1:$Z$1,0)))</f>
        <v>-26.467114673620586</v>
      </c>
      <c r="K5" s="47" t="str">
        <f>IF(ISBLANK('15N'!AZ5),"",'15N'!AZ5)</f>
        <v/>
      </c>
      <c r="L5" s="47" t="str">
        <f>IF(ISBLANK('15N'!BA5),"",'15N'!BA5)</f>
        <v/>
      </c>
      <c r="M5" s="48" t="str">
        <f>IF(ISBLANK('15N'!BB5),"",'15N'!BC5)</f>
        <v/>
      </c>
      <c r="N5" s="50" t="str">
        <f>IF(ISBLANK('13C'!BA5),"",'13C'!BA5)</f>
        <v/>
      </c>
      <c r="O5" s="50" t="str">
        <f>IF(ISBLANK('13C'!BB5),"",'13C'!BB5)</f>
        <v/>
      </c>
      <c r="P5" s="51" t="str">
        <f>IF(ISBLANK('13C'!BC5),"",'13C'!BD5)</f>
        <v/>
      </c>
    </row>
    <row r="6" spans="1:16" x14ac:dyDescent="0.2">
      <c r="A6">
        <v>27821</v>
      </c>
      <c r="B6" t="s">
        <v>107</v>
      </c>
      <c r="C6" s="10">
        <f>IF(ISNA(MATCH(A6,'Elemental analysis'!$Q$5:$Q$139,0)),"",INDEX('Elemental analysis'!$Q$5:$W$139,MATCH(Summary!$A6,'Elemental analysis'!$Q$5:$Q$139,0),MATCH(Summary!C$1,'Elemental analysis'!$Q$5:$W$5,0)))</f>
        <v>1.8284753820289212E-2</v>
      </c>
      <c r="D6" s="10">
        <f>IF(ISNA(MATCH(A6,'Elemental analysis'!$Y$5:$Y$139,0)),"",INDEX('Elemental analysis'!$Y$5:$AE$139,MATCH(Summary!$A6,'Elemental analysis'!$Y$5:$Y$139,0),MATCH(Summary!D$1,'Elemental analysis'!$Y$5:$AE$5,0)))</f>
        <v>0.22968187868171991</v>
      </c>
      <c r="E6" s="10">
        <f>IF( IF(ISNA(MATCH(A6,'Elemental analysis'!$Y$5:$Y$139,0)),"",INDEX('Elemental analysis'!$Y$5:$AE$139,MATCH(Summary!$A6,'Elemental analysis'!$Y$5:$Y$139,0),MATCH(Summary!E$1,'Elemental analysis'!$Y$5:$AE$5,0)))=0,"",IF(ISNA(MATCH(A6,'Elemental analysis'!$Y$5:$Y$139,0)),"",INDEX('Elemental analysis'!$Y$5:$AE$139,MATCH(Summary!$A6,'Elemental analysis'!$Y$5:$Y$139,0),MATCH(Summary!E$1,'Elemental analysis'!$Y$5:$AE$5,0))))</f>
        <v>5.915</v>
      </c>
      <c r="F6" s="10">
        <f t="shared" si="0"/>
        <v>3.0912517025002894E-3</v>
      </c>
      <c r="G6" s="10">
        <f t="shared" si="1"/>
        <v>3.8830410597078598E-2</v>
      </c>
      <c r="H6" s="11">
        <f>IF(ISNA(MATCH(A6,'15N'!$B:$B,0)),"",INDEX('15N'!$A:$Y,MATCH(A6,'15N'!$B:$B,0),MATCH(Summary!$H$1,'15N'!$A$1:$Y$1,0)))</f>
        <v>4.8385625239220644</v>
      </c>
      <c r="I6" s="11">
        <f>IF(ISNA(MATCH(A6,'13C'!$B:$B,0)),"",INDEX('13C'!$A:$Z,MATCH(A6,'13C'!$B:$B,0),MATCH(Summary!$I$1,'13C'!$A$1:$Z$1,0)))</f>
        <v>-26.402110583179137</v>
      </c>
      <c r="K6" s="47" t="str">
        <f>IF(ISBLANK('15N'!AZ6),"",'15N'!AZ6)</f>
        <v/>
      </c>
      <c r="L6" s="47" t="str">
        <f>IF(ISBLANK('15N'!BA6),"",'15N'!BA6)</f>
        <v/>
      </c>
      <c r="M6" s="48" t="str">
        <f>IF(ISBLANK('15N'!BB6),"",'15N'!BC6)</f>
        <v/>
      </c>
      <c r="N6" s="50" t="str">
        <f>IF(ISBLANK('13C'!BA6),"",'13C'!BA6)</f>
        <v/>
      </c>
      <c r="O6" s="50" t="str">
        <f>IF(ISBLANK('13C'!BB6),"",'13C'!BB6)</f>
        <v/>
      </c>
      <c r="P6" s="51" t="str">
        <f>IF(ISBLANK('13C'!BC6),"",'13C'!BD6)</f>
        <v/>
      </c>
    </row>
    <row r="7" spans="1:16" x14ac:dyDescent="0.2">
      <c r="A7">
        <v>27822</v>
      </c>
      <c r="B7" t="s">
        <v>108</v>
      </c>
      <c r="C7" s="10">
        <f>IF(ISNA(MATCH(A7,'Elemental analysis'!$Q$5:$Q$139,0)),"",INDEX('Elemental analysis'!$Q$5:$W$139,MATCH(Summary!$A7,'Elemental analysis'!$Q$5:$Q$139,0),MATCH(Summary!C$1,'Elemental analysis'!$Q$5:$W$5,0)))</f>
        <v>3.4439865033841111E-2</v>
      </c>
      <c r="D7" s="10">
        <f>IF(ISNA(MATCH(A7,'Elemental analysis'!$Y$5:$Y$139,0)),"",INDEX('Elemental analysis'!$Y$5:$AE$139,MATCH(Summary!$A7,'Elemental analysis'!$Y$5:$Y$139,0),MATCH(Summary!D$1,'Elemental analysis'!$Y$5:$AE$5,0)))</f>
        <v>0.46795728149926907</v>
      </c>
      <c r="E7" s="10">
        <f>IF( IF(ISNA(MATCH(A7,'Elemental analysis'!$Y$5:$Y$139,0)),"",INDEX('Elemental analysis'!$Y$5:$AE$139,MATCH(Summary!$A7,'Elemental analysis'!$Y$5:$Y$139,0),MATCH(Summary!E$1,'Elemental analysis'!$Y$5:$AE$5,0)))=0,"",IF(ISNA(MATCH(A7,'Elemental analysis'!$Y$5:$Y$139,0)),"",INDEX('Elemental analysis'!$Y$5:$AE$139,MATCH(Summary!$A7,'Elemental analysis'!$Y$5:$Y$139,0),MATCH(Summary!E$1,'Elemental analysis'!$Y$5:$AE$5,0))))</f>
        <v>5.6639999999999997</v>
      </c>
      <c r="F7" s="10">
        <f t="shared" si="0"/>
        <v>6.0804846458052814E-3</v>
      </c>
      <c r="G7" s="10">
        <f t="shared" si="1"/>
        <v>8.2619576535887904E-2</v>
      </c>
      <c r="H7" s="11">
        <f>IF(ISNA(MATCH(A7,'15N'!$B:$B,0)),"",INDEX('15N'!$A:$Y,MATCH(A7,'15N'!$B:$B,0),MATCH(Summary!$H$1,'15N'!$A$1:$Y$1,0)))</f>
        <v>5.200910466454161</v>
      </c>
      <c r="I7" s="11">
        <f>IF(ISNA(MATCH(A7,'13C'!$B:$B,0)),"",INDEX('13C'!$A:$Z,MATCH(A7,'13C'!$B:$B,0),MATCH(Summary!$I$1,'13C'!$A$1:$Z$1,0)))</f>
        <v>-24.708297397122237</v>
      </c>
      <c r="K7" s="47" t="str">
        <f>IF(ISBLANK('15N'!AZ7),"",'15N'!AZ7)</f>
        <v/>
      </c>
      <c r="L7" s="47" t="str">
        <f>IF(ISBLANK('15N'!BA7),"",'15N'!BA7)</f>
        <v/>
      </c>
      <c r="M7" s="48" t="str">
        <f>IF(ISBLANK('15N'!BB7),"",'15N'!BC7)</f>
        <v/>
      </c>
      <c r="N7" s="50" t="str">
        <f>IF(ISBLANK('13C'!BA7),"",'13C'!BA7)</f>
        <v/>
      </c>
      <c r="O7" s="50" t="str">
        <f>IF(ISBLANK('13C'!BB7),"",'13C'!BB7)</f>
        <v/>
      </c>
      <c r="P7" s="51" t="str">
        <f>IF(ISBLANK('13C'!BC7),"",'13C'!BD7)</f>
        <v/>
      </c>
    </row>
    <row r="8" spans="1:16" x14ac:dyDescent="0.2">
      <c r="A8">
        <v>27824</v>
      </c>
      <c r="B8" t="s">
        <v>109</v>
      </c>
      <c r="C8" s="10">
        <f>IF(ISNA(MATCH(A8,'Elemental analysis'!$Q$5:$Q$139,0)),"",INDEX('Elemental analysis'!$Q$5:$W$139,MATCH(Summary!$A8,'Elemental analysis'!$Q$5:$Q$139,0),MATCH(Summary!C$1,'Elemental analysis'!$Q$5:$W$5,0)))</f>
        <v>3.1698788305379366E-2</v>
      </c>
      <c r="D8" s="10">
        <f>IF(ISNA(MATCH(A8,'Elemental analysis'!$Y$5:$Y$139,0)),"",INDEX('Elemental analysis'!$Y$5:$AE$139,MATCH(Summary!$A8,'Elemental analysis'!$Y$5:$Y$139,0),MATCH(Summary!D$1,'Elemental analysis'!$Y$5:$AE$5,0)))</f>
        <v>0.52820791131727207</v>
      </c>
      <c r="E8" s="10">
        <f>IF( IF(ISNA(MATCH(A8,'Elemental analysis'!$Y$5:$Y$139,0)),"",INDEX('Elemental analysis'!$Y$5:$AE$139,MATCH(Summary!$A8,'Elemental analysis'!$Y$5:$Y$139,0),MATCH(Summary!E$1,'Elemental analysis'!$Y$5:$AE$5,0)))=0,"",IF(ISNA(MATCH(A8,'Elemental analysis'!$Y$5:$Y$139,0)),"",INDEX('Elemental analysis'!$Y$5:$AE$139,MATCH(Summary!$A8,'Elemental analysis'!$Y$5:$Y$139,0),MATCH(Summary!E$1,'Elemental analysis'!$Y$5:$AE$5,0))))</f>
        <v>5.9850000000000003</v>
      </c>
      <c r="F8" s="10">
        <f t="shared" si="0"/>
        <v>5.2963723150174381E-3</v>
      </c>
      <c r="G8" s="10">
        <f t="shared" si="1"/>
        <v>8.8255290111490733E-2</v>
      </c>
      <c r="H8" s="11">
        <f>IF(ISNA(MATCH(A8,'15N'!$B:$B,0)),"",INDEX('15N'!$A:$Y,MATCH(A8,'15N'!$B:$B,0),MATCH(Summary!$H$1,'15N'!$A$1:$Y$1,0)))</f>
        <v>1.9326293574684996</v>
      </c>
      <c r="I8" s="11">
        <f>IF(ISNA(MATCH(A8,'13C'!$B:$B,0)),"",INDEX('13C'!$A:$Z,MATCH(A8,'13C'!$B:$B,0),MATCH(Summary!$I$1,'13C'!$A$1:$Z$1,0)))</f>
        <v>-25.728341603440981</v>
      </c>
      <c r="K8" s="55" t="s">
        <v>83</v>
      </c>
      <c r="L8" s="55"/>
      <c r="M8" s="52">
        <f>AVERAGE(M2:M7)</f>
        <v>-0.29032750308893657</v>
      </c>
      <c r="N8" s="37"/>
      <c r="P8" s="52">
        <f>AVERAGE(P2:P7)</f>
        <v>-29.333962995238039</v>
      </c>
    </row>
    <row r="9" spans="1:16" x14ac:dyDescent="0.2">
      <c r="A9">
        <v>27825</v>
      </c>
      <c r="B9" t="s">
        <v>110</v>
      </c>
      <c r="C9" s="10">
        <f>IF(ISNA(MATCH(A9,'Elemental analysis'!$Q$5:$Q$139,0)),"",INDEX('Elemental analysis'!$Q$5:$W$139,MATCH(Summary!$A9,'Elemental analysis'!$Q$5:$Q$139,0),MATCH(Summary!C$1,'Elemental analysis'!$Q$5:$W$5,0)))</f>
        <v>4.6760342408275299E-2</v>
      </c>
      <c r="D9" s="10">
        <f>IF(ISNA(MATCH(A9,'Elemental analysis'!$Y$5:$Y$139,0)),"",INDEX('Elemental analysis'!$Y$5:$AE$139,MATCH(Summary!$A9,'Elemental analysis'!$Y$5:$Y$139,0),MATCH(Summary!D$1,'Elemental analysis'!$Y$5:$AE$5,0)))</f>
        <v>0.7701209925958068</v>
      </c>
      <c r="E9" s="10">
        <f>IF( IF(ISNA(MATCH(A9,'Elemental analysis'!$Y$5:$Y$139,0)),"",INDEX('Elemental analysis'!$Y$5:$AE$139,MATCH(Summary!$A9,'Elemental analysis'!$Y$5:$Y$139,0),MATCH(Summary!E$1,'Elemental analysis'!$Y$5:$AE$5,0)))=0,"",IF(ISNA(MATCH(A9,'Elemental analysis'!$Y$5:$Y$139,0)),"",INDEX('Elemental analysis'!$Y$5:$AE$139,MATCH(Summary!$A9,'Elemental analysis'!$Y$5:$Y$139,0),MATCH(Summary!E$1,'Elemental analysis'!$Y$5:$AE$5,0))))</f>
        <v>6.0289999999999999</v>
      </c>
      <c r="F9" s="10">
        <f t="shared" si="0"/>
        <v>7.7559035342967819E-3</v>
      </c>
      <c r="G9" s="10">
        <f t="shared" si="1"/>
        <v>0.12773610757933435</v>
      </c>
      <c r="H9" s="11">
        <f>IF(ISNA(MATCH(A9,'15N'!$B:$B,0)),"",INDEX('15N'!$A:$Y,MATCH(A9,'15N'!$B:$B,0),MATCH(Summary!$H$1,'15N'!$A$1:$Y$1,0)))</f>
        <v>3.7056275957916114</v>
      </c>
      <c r="I9" s="11">
        <f>IF(ISNA(MATCH(A9,'13C'!$B:$B,0)),"",INDEX('13C'!$A:$Z,MATCH(A9,'13C'!$B:$B,0),MATCH(Summary!$I$1,'13C'!$A$1:$Z$1,0)))</f>
        <v>-24.9675995677012</v>
      </c>
      <c r="K9" s="56" t="s">
        <v>84</v>
      </c>
      <c r="L9" s="56"/>
      <c r="M9" s="52">
        <f>((M8+1000)/(VLOOKUP(L2,refs[],3)+1000)-1)*1000</f>
        <v>0.10971638346446433</v>
      </c>
      <c r="N9" s="37"/>
      <c r="P9" s="52">
        <f>((P8+1000)/(VLOOKUP(O2,refs[],5)+1000)-1)*1000</f>
        <v>-0.12769290499281549</v>
      </c>
    </row>
    <row r="10" spans="1:16" x14ac:dyDescent="0.2">
      <c r="A10">
        <v>27826</v>
      </c>
      <c r="B10" t="s">
        <v>111</v>
      </c>
      <c r="C10" s="10">
        <f>IF(ISNA(MATCH(A10,'Elemental analysis'!$Q$5:$Q$139,0)),"",INDEX('Elemental analysis'!$Q$5:$W$139,MATCH(Summary!$A10,'Elemental analysis'!$Q$5:$Q$139,0),MATCH(Summary!C$1,'Elemental analysis'!$Q$5:$W$5,0)))</f>
        <v>2.251290857586925E-2</v>
      </c>
      <c r="D10" s="10">
        <f>IF(ISNA(MATCH(A10,'Elemental analysis'!$Y$5:$Y$139,0)),"",INDEX('Elemental analysis'!$Y$5:$AE$139,MATCH(Summary!$A10,'Elemental analysis'!$Y$5:$Y$139,0),MATCH(Summary!D$1,'Elemental analysis'!$Y$5:$AE$5,0)))</f>
        <v>0.34141383824420396</v>
      </c>
      <c r="E10" s="10">
        <f>IF( IF(ISNA(MATCH(A10,'Elemental analysis'!$Y$5:$Y$139,0)),"",INDEX('Elemental analysis'!$Y$5:$AE$139,MATCH(Summary!$A10,'Elemental analysis'!$Y$5:$Y$139,0),MATCH(Summary!E$1,'Elemental analysis'!$Y$5:$AE$5,0)))=0,"",IF(ISNA(MATCH(A10,'Elemental analysis'!$Y$5:$Y$139,0)),"",INDEX('Elemental analysis'!$Y$5:$AE$139,MATCH(Summary!$A10,'Elemental analysis'!$Y$5:$Y$139,0),MATCH(Summary!E$1,'Elemental analysis'!$Y$5:$AE$5,0))))</f>
        <v>5.8079999999999998</v>
      </c>
      <c r="F10" s="10">
        <f t="shared" si="0"/>
        <v>3.8761894930904356E-3</v>
      </c>
      <c r="G10" s="10">
        <f t="shared" si="1"/>
        <v>5.8783374353340904E-2</v>
      </c>
      <c r="H10" s="11">
        <f>IF(ISNA(MATCH(A10,'15N'!$B:$B,0)),"",INDEX('15N'!$A:$Y,MATCH(A10,'15N'!$B:$B,0),MATCH(Summary!$H$1,'15N'!$A$1:$Y$1,0)))</f>
        <v>3.0216989715009959</v>
      </c>
      <c r="I10" s="11">
        <f>IF(ISNA(MATCH(A10,'13C'!$B:$B,0)),"",INDEX('13C'!$A:$Z,MATCH(A10,'13C'!$B:$B,0),MATCH(Summary!$I$1,'13C'!$A$1:$Z$1,0)))</f>
        <v>-26.061808985534071</v>
      </c>
      <c r="K10" s="56" t="s">
        <v>85</v>
      </c>
      <c r="L10" s="56"/>
      <c r="M10" s="52">
        <f>_xlfn.STDEV.S(M2:M5)</f>
        <v>9.1195229426539546E-3</v>
      </c>
      <c r="N10" s="37"/>
      <c r="P10" s="52">
        <f>_xlfn.STDEV.S(P2:P5)</f>
        <v>8.5437347628646798E-2</v>
      </c>
    </row>
    <row r="11" spans="1:16" x14ac:dyDescent="0.2">
      <c r="A11">
        <v>27827</v>
      </c>
      <c r="B11" t="s">
        <v>112</v>
      </c>
      <c r="C11" s="10">
        <f>IF(ISNA(MATCH(A11,'Elemental analysis'!$Q$5:$Q$139,0)),"",INDEX('Elemental analysis'!$Q$5:$W$139,MATCH(Summary!$A11,'Elemental analysis'!$Q$5:$Q$139,0),MATCH(Summary!C$1,'Elemental analysis'!$Q$5:$W$5,0)))</f>
        <v>2.9119749601343288E-2</v>
      </c>
      <c r="D11" s="10">
        <f>IF(ISNA(MATCH(A11,'Elemental analysis'!$Y$5:$Y$139,0)),"",INDEX('Elemental analysis'!$Y$5:$AE$139,MATCH(Summary!$A11,'Elemental analysis'!$Y$5:$Y$139,0),MATCH(Summary!D$1,'Elemental analysis'!$Y$5:$AE$5,0)))</f>
        <v>0.4960652857333987</v>
      </c>
      <c r="E11" s="10">
        <f>IF( IF(ISNA(MATCH(A11,'Elemental analysis'!$Y$5:$Y$139,0)),"",INDEX('Elemental analysis'!$Y$5:$AE$139,MATCH(Summary!$A11,'Elemental analysis'!$Y$5:$Y$139,0),MATCH(Summary!E$1,'Elemental analysis'!$Y$5:$AE$5,0)))=0,"",IF(ISNA(MATCH(A11,'Elemental analysis'!$Y$5:$Y$139,0)),"",INDEX('Elemental analysis'!$Y$5:$AE$139,MATCH(Summary!$A11,'Elemental analysis'!$Y$5:$Y$139,0),MATCH(Summary!E$1,'Elemental analysis'!$Y$5:$AE$5,0))))</f>
        <v>5.9530000000000003</v>
      </c>
      <c r="F11" s="10">
        <f t="shared" si="0"/>
        <v>4.8916092056682826E-3</v>
      </c>
      <c r="G11" s="10">
        <f t="shared" si="1"/>
        <v>8.3330301651839189E-2</v>
      </c>
      <c r="H11" s="11">
        <f>IF(ISNA(MATCH(A11,'15N'!$B:$B,0)),"",INDEX('15N'!$A:$Y,MATCH(A11,'15N'!$B:$B,0),MATCH(Summary!$H$1,'15N'!$A$1:$Y$1,0)))</f>
        <v>4.8972184360441133</v>
      </c>
      <c r="I11" s="11">
        <f>IF(ISNA(MATCH(A11,'13C'!$B:$B,0)),"",INDEX('13C'!$A:$Z,MATCH(A11,'13C'!$B:$B,0),MATCH(Summary!$I$1,'13C'!$A$1:$Z$1,0)))</f>
        <v>-26.330912950106267</v>
      </c>
    </row>
    <row r="12" spans="1:16" x14ac:dyDescent="0.2">
      <c r="A12">
        <v>27828</v>
      </c>
      <c r="B12" t="s">
        <v>113</v>
      </c>
      <c r="C12" s="10">
        <f>IF(ISNA(MATCH(A12,'Elemental analysis'!$Q$5:$Q$139,0)),"",INDEX('Elemental analysis'!$Q$5:$W$139,MATCH(Summary!$A12,'Elemental analysis'!$Q$5:$Q$139,0),MATCH(Summary!C$1,'Elemental analysis'!$Q$5:$W$5,0)))</f>
        <v>2.7128996729827975E-2</v>
      </c>
      <c r="D12" s="10">
        <f>IF(ISNA(MATCH(A12,'Elemental analysis'!$Y$5:$Y$139,0)),"",INDEX('Elemental analysis'!$Y$5:$AE$139,MATCH(Summary!$A12,'Elemental analysis'!$Y$5:$Y$139,0),MATCH(Summary!D$1,'Elemental analysis'!$Y$5:$AE$5,0)))</f>
        <v>0.49666146166072039</v>
      </c>
      <c r="E12" s="10">
        <f>IF( IF(ISNA(MATCH(A12,'Elemental analysis'!$Y$5:$Y$139,0)),"",INDEX('Elemental analysis'!$Y$5:$AE$139,MATCH(Summary!$A12,'Elemental analysis'!$Y$5:$Y$139,0),MATCH(Summary!E$1,'Elemental analysis'!$Y$5:$AE$5,0)))=0,"",IF(ISNA(MATCH(A12,'Elemental analysis'!$Y$5:$Y$139,0)),"",INDEX('Elemental analysis'!$Y$5:$AE$139,MATCH(Summary!$A12,'Elemental analysis'!$Y$5:$Y$139,0),MATCH(Summary!E$1,'Elemental analysis'!$Y$5:$AE$5,0))))</f>
        <v>5.6909999999999998</v>
      </c>
      <c r="F12" s="10">
        <f t="shared" si="0"/>
        <v>4.7669999525264406E-3</v>
      </c>
      <c r="G12" s="10">
        <f t="shared" si="1"/>
        <v>8.7271386691393504E-2</v>
      </c>
      <c r="H12" s="11">
        <f>IF(ISNA(MATCH(A12,'15N'!$B:$B,0)),"",INDEX('15N'!$A:$Y,MATCH(A12,'15N'!$B:$B,0),MATCH(Summary!$H$1,'15N'!$A$1:$Y$1,0)))</f>
        <v>3.3730883803749521</v>
      </c>
      <c r="I12" s="11">
        <f>IF(ISNA(MATCH(A12,'13C'!$B:$B,0)),"",INDEX('13C'!$A:$Z,MATCH(A12,'13C'!$B:$B,0),MATCH(Summary!$I$1,'13C'!$A$1:$Z$1,0)))</f>
        <v>-26.11922682931538</v>
      </c>
    </row>
    <row r="13" spans="1:16" x14ac:dyDescent="0.2">
      <c r="A13">
        <v>27829</v>
      </c>
      <c r="B13" t="s">
        <v>114</v>
      </c>
      <c r="C13" s="10">
        <f>IF(ISNA(MATCH(A13,'Elemental analysis'!$Q$5:$Q$139,0)),"",INDEX('Elemental analysis'!$Q$5:$W$139,MATCH(Summary!$A13,'Elemental analysis'!$Q$5:$Q$139,0),MATCH(Summary!C$1,'Elemental analysis'!$Q$5:$W$5,0)))</f>
        <v>2.2813038118647821E-2</v>
      </c>
      <c r="D13" s="10">
        <f>IF(ISNA(MATCH(A13,'Elemental analysis'!$Y$5:$Y$139,0)),"",INDEX('Elemental analysis'!$Y$5:$AE$139,MATCH(Summary!$A13,'Elemental analysis'!$Y$5:$Y$139,0),MATCH(Summary!D$1,'Elemental analysis'!$Y$5:$AE$5,0)))</f>
        <v>0.35875533781640018</v>
      </c>
      <c r="E13" s="10">
        <f>IF( IF(ISNA(MATCH(A13,'Elemental analysis'!$Y$5:$Y$139,0)),"",INDEX('Elemental analysis'!$Y$5:$AE$139,MATCH(Summary!$A13,'Elemental analysis'!$Y$5:$Y$139,0),MATCH(Summary!E$1,'Elemental analysis'!$Y$5:$AE$5,0)))=0,"",IF(ISNA(MATCH(A13,'Elemental analysis'!$Y$5:$Y$139,0)),"",INDEX('Elemental analysis'!$Y$5:$AE$139,MATCH(Summary!$A13,'Elemental analysis'!$Y$5:$Y$139,0),MATCH(Summary!E$1,'Elemental analysis'!$Y$5:$AE$5,0))))</f>
        <v>5.867</v>
      </c>
      <c r="F13" s="10">
        <f t="shared" si="0"/>
        <v>3.8883651131153608E-3</v>
      </c>
      <c r="G13" s="10">
        <f t="shared" si="1"/>
        <v>6.1148003718493299E-2</v>
      </c>
      <c r="H13" s="11">
        <f>IF(ISNA(MATCH(A13,'15N'!$B:$B,0)),"",INDEX('15N'!$A:$Y,MATCH(A13,'15N'!$B:$B,0),MATCH(Summary!$H$1,'15N'!$A$1:$Y$1,0)))</f>
        <v>4.5527493994346742</v>
      </c>
      <c r="I13" s="11">
        <f>IF(ISNA(MATCH(A13,'13C'!$B:$B,0)),"",INDEX('13C'!$A:$Z,MATCH(A13,'13C'!$B:$B,0),MATCH(Summary!$I$1,'13C'!$A$1:$Z$1,0)))</f>
        <v>-24.549678371899404</v>
      </c>
    </row>
    <row r="14" spans="1:16" x14ac:dyDescent="0.2">
      <c r="A14">
        <v>27830</v>
      </c>
      <c r="B14" t="s">
        <v>115</v>
      </c>
      <c r="C14" s="10">
        <f>IF(ISNA(MATCH(A14,'Elemental analysis'!$Q$5:$Q$139,0)),"",INDEX('Elemental analysis'!$Q$5:$W$139,MATCH(Summary!$A14,'Elemental analysis'!$Q$5:$Q$139,0),MATCH(Summary!C$1,'Elemental analysis'!$Q$5:$W$5,0)))</f>
        <v>6.7873976812626372E-2</v>
      </c>
      <c r="D14" s="10">
        <f>IF(ISNA(MATCH(A14,'Elemental analysis'!$Y$5:$Y$139,0)),"",INDEX('Elemental analysis'!$Y$5:$AE$139,MATCH(Summary!$A14,'Elemental analysis'!$Y$5:$Y$139,0),MATCH(Summary!D$1,'Elemental analysis'!$Y$5:$AE$5,0)))</f>
        <v>1.2757196096882271</v>
      </c>
      <c r="E14" s="10">
        <f>IF( IF(ISNA(MATCH(A14,'Elemental analysis'!$Y$5:$Y$139,0)),"",INDEX('Elemental analysis'!$Y$5:$AE$139,MATCH(Summary!$A14,'Elemental analysis'!$Y$5:$Y$139,0),MATCH(Summary!E$1,'Elemental analysis'!$Y$5:$AE$5,0)))=0,"",IF(ISNA(MATCH(A14,'Elemental analysis'!$Y$5:$Y$139,0)),"",INDEX('Elemental analysis'!$Y$5:$AE$139,MATCH(Summary!$A14,'Elemental analysis'!$Y$5:$Y$139,0),MATCH(Summary!E$1,'Elemental analysis'!$Y$5:$AE$5,0))))</f>
        <v>5.9059999999999997</v>
      </c>
      <c r="F14" s="10">
        <f t="shared" si="0"/>
        <v>1.1492376703797219E-2</v>
      </c>
      <c r="G14" s="10">
        <f t="shared" si="1"/>
        <v>0.2160039975767401</v>
      </c>
      <c r="H14" s="11">
        <f>IF(ISNA(MATCH(A14,'15N'!$B:$B,0)),"",INDEX('15N'!$A:$Y,MATCH(A14,'15N'!$B:$B,0),MATCH(Summary!$H$1,'15N'!$A$1:$Y$1,0)))</f>
        <v>4.8434222676445415</v>
      </c>
      <c r="I14" s="11">
        <f>IF(ISNA(MATCH(A14,'13C'!$B:$B,0)),"",INDEX('13C'!$A:$Z,MATCH(A14,'13C'!$B:$B,0),MATCH(Summary!$I$1,'13C'!$A$1:$Z$1,0)))</f>
        <v>-25.078551386023491</v>
      </c>
    </row>
    <row r="15" spans="1:16" x14ac:dyDescent="0.2">
      <c r="A15">
        <v>27831</v>
      </c>
      <c r="B15" t="s">
        <v>116</v>
      </c>
      <c r="C15" s="10">
        <f>IF(ISNA(MATCH(A15,'Elemental analysis'!$Q$5:$Q$139,0)),"",INDEX('Elemental analysis'!$Q$5:$W$139,MATCH(Summary!$A15,'Elemental analysis'!$Q$5:$Q$139,0),MATCH(Summary!C$1,'Elemental analysis'!$Q$5:$W$5,0)))</f>
        <v>2.6457696342921649E-2</v>
      </c>
      <c r="D15" s="10">
        <f>IF(ISNA(MATCH(A15,'Elemental analysis'!$Y$5:$Y$139,0)),"",INDEX('Elemental analysis'!$Y$5:$AE$139,MATCH(Summary!$A15,'Elemental analysis'!$Y$5:$Y$139,0),MATCH(Summary!D$1,'Elemental analysis'!$Y$5:$AE$5,0)))</f>
        <v>0.42846679522709752</v>
      </c>
      <c r="E15" s="10">
        <f>IF( IF(ISNA(MATCH(A15,'Elemental analysis'!$Y$5:$Y$139,0)),"",INDEX('Elemental analysis'!$Y$5:$AE$139,MATCH(Summary!$A15,'Elemental analysis'!$Y$5:$Y$139,0),MATCH(Summary!E$1,'Elemental analysis'!$Y$5:$AE$5,0)))=0,"",IF(ISNA(MATCH(A15,'Elemental analysis'!$Y$5:$Y$139,0)),"",INDEX('Elemental analysis'!$Y$5:$AE$139,MATCH(Summary!$A15,'Elemental analysis'!$Y$5:$Y$139,0),MATCH(Summary!E$1,'Elemental analysis'!$Y$5:$AE$5,0))))</f>
        <v>5.7560000000000002</v>
      </c>
      <c r="F15" s="10">
        <f t="shared" si="0"/>
        <v>4.5965421026618568E-3</v>
      </c>
      <c r="G15" s="10">
        <f t="shared" si="1"/>
        <v>7.4438289650294906E-2</v>
      </c>
      <c r="H15" s="11">
        <f>IF(ISNA(MATCH(A15,'15N'!$B:$B,0)),"",INDEX('15N'!$A:$Y,MATCH(A15,'15N'!$B:$B,0),MATCH(Summary!$H$1,'15N'!$A$1:$Y$1,0)))</f>
        <v>2.448216824291876</v>
      </c>
      <c r="I15" s="11">
        <f>IF(ISNA(MATCH(A15,'13C'!$B:$B,0)),"",INDEX('13C'!$A:$Z,MATCH(A15,'13C'!$B:$B,0),MATCH(Summary!$I$1,'13C'!$A$1:$Z$1,0)))</f>
        <v>-25.418967849728574</v>
      </c>
    </row>
    <row r="16" spans="1:16" x14ac:dyDescent="0.2">
      <c r="A16">
        <v>27832</v>
      </c>
      <c r="B16" t="s">
        <v>117</v>
      </c>
      <c r="C16" s="10">
        <f>IF(ISNA(MATCH(A16,'Elemental analysis'!$Q$5:$Q$139,0)),"",INDEX('Elemental analysis'!$Q$5:$W$139,MATCH(Summary!$A16,'Elemental analysis'!$Q$5:$Q$139,0),MATCH(Summary!C$1,'Elemental analysis'!$Q$5:$W$5,0)))</f>
        <v>2.7931204683265383E-2</v>
      </c>
      <c r="D16" s="10">
        <f>IF(ISNA(MATCH(A16,'Elemental analysis'!$Y$5:$Y$139,0)),"",INDEX('Elemental analysis'!$Y$5:$AE$139,MATCH(Summary!$A16,'Elemental analysis'!$Y$5:$Y$139,0),MATCH(Summary!D$1,'Elemental analysis'!$Y$5:$AE$5,0)))</f>
        <v>0.51014746683527556</v>
      </c>
      <c r="E16" s="10">
        <f>IF( IF(ISNA(MATCH(A16,'Elemental analysis'!$Y$5:$Y$139,0)),"",INDEX('Elemental analysis'!$Y$5:$AE$139,MATCH(Summary!$A16,'Elemental analysis'!$Y$5:$Y$139,0),MATCH(Summary!E$1,'Elemental analysis'!$Y$5:$AE$5,0)))=0,"",IF(ISNA(MATCH(A16,'Elemental analysis'!$Y$5:$Y$139,0)),"",INDEX('Elemental analysis'!$Y$5:$AE$139,MATCH(Summary!$A16,'Elemental analysis'!$Y$5:$Y$139,0),MATCH(Summary!E$1,'Elemental analysis'!$Y$5:$AE$5,0))))</f>
        <v>5.5410000000000004</v>
      </c>
      <c r="F16" s="10">
        <f t="shared" si="0"/>
        <v>5.0408238013472982E-3</v>
      </c>
      <c r="G16" s="10">
        <f t="shared" si="1"/>
        <v>9.2067761565651607E-2</v>
      </c>
      <c r="H16" s="11">
        <f>IF(ISNA(MATCH(A16,'15N'!$B:$B,0)),"",INDEX('15N'!$A:$Y,MATCH(A16,'15N'!$B:$B,0),MATCH(Summary!$H$1,'15N'!$A$1:$Y$1,0)))</f>
        <v>3.8240013588075499</v>
      </c>
      <c r="I16" s="11">
        <f>IF(ISNA(MATCH(A16,'13C'!$B:$B,0)),"",INDEX('13C'!$A:$Z,MATCH(A16,'13C'!$B:$B,0),MATCH(Summary!$I$1,'13C'!$A$1:$Z$1,0)))</f>
        <v>-25.516945040626979</v>
      </c>
    </row>
    <row r="17" spans="1:9" x14ac:dyDescent="0.2">
      <c r="A17">
        <v>27833</v>
      </c>
      <c r="B17" t="s">
        <v>118</v>
      </c>
      <c r="C17" s="10">
        <f>IF(ISNA(MATCH(A17,'Elemental analysis'!$Q$5:$Q$139,0)),"",INDEX('Elemental analysis'!$Q$5:$W$139,MATCH(Summary!$A17,'Elemental analysis'!$Q$5:$Q$139,0),MATCH(Summary!C$1,'Elemental analysis'!$Q$5:$W$5,0)))</f>
        <v>4.0357844901288797E-2</v>
      </c>
      <c r="D17" s="10">
        <f>IF(ISNA(MATCH(A17,'Elemental analysis'!$Y$5:$Y$139,0)),"",INDEX('Elemental analysis'!$Y$5:$AE$139,MATCH(Summary!$A17,'Elemental analysis'!$Y$5:$Y$139,0),MATCH(Summary!D$1,'Elemental analysis'!$Y$5:$AE$5,0)))</f>
        <v>0.65667666466976859</v>
      </c>
      <c r="E17" s="10">
        <f>IF( IF(ISNA(MATCH(A17,'Elemental analysis'!$Y$5:$Y$139,0)),"",INDEX('Elemental analysis'!$Y$5:$AE$139,MATCH(Summary!$A17,'Elemental analysis'!$Y$5:$Y$139,0),MATCH(Summary!E$1,'Elemental analysis'!$Y$5:$AE$5,0)))=0,"",IF(ISNA(MATCH(A17,'Elemental analysis'!$Y$5:$Y$139,0)),"",INDEX('Elemental analysis'!$Y$5:$AE$139,MATCH(Summary!$A17,'Elemental analysis'!$Y$5:$Y$139,0),MATCH(Summary!E$1,'Elemental analysis'!$Y$5:$AE$5,0))))</f>
        <v>5.9279999999999999</v>
      </c>
      <c r="F17" s="10">
        <f t="shared" si="0"/>
        <v>6.808003525858434E-3</v>
      </c>
      <c r="G17" s="10">
        <f t="shared" si="1"/>
        <v>0.11077541576750483</v>
      </c>
      <c r="H17" s="11">
        <f>IF(ISNA(MATCH(A17,'15N'!$B:$B,0)),"",INDEX('15N'!$A:$Y,MATCH(A17,'15N'!$B:$B,0),MATCH(Summary!$H$1,'15N'!$A$1:$Y$1,0)))</f>
        <v>3.1709342372923857</v>
      </c>
      <c r="I17" s="11">
        <f>IF(ISNA(MATCH(A17,'13C'!$B:$B,0)),"",INDEX('13C'!$A:$Z,MATCH(A17,'13C'!$B:$B,0),MATCH(Summary!$I$1,'13C'!$A$1:$Z$1,0)))</f>
        <v>-25.360261156336719</v>
      </c>
    </row>
    <row r="18" spans="1:9" x14ac:dyDescent="0.2">
      <c r="A18">
        <v>27835</v>
      </c>
      <c r="B18" t="s">
        <v>119</v>
      </c>
      <c r="C18" s="10">
        <f>IF(ISNA(MATCH(A18,'Elemental analysis'!$Q$5:$Q$139,0)),"",INDEX('Elemental analysis'!$Q$5:$W$139,MATCH(Summary!$A18,'Elemental analysis'!$Q$5:$Q$139,0),MATCH(Summary!C$1,'Elemental analysis'!$Q$5:$W$5,0)))</f>
        <v>1.5252327934608907E-2</v>
      </c>
      <c r="D18" s="10">
        <f>IF(ISNA(MATCH(A18,'Elemental analysis'!$Y$5:$Y$139,0)),"",INDEX('Elemental analysis'!$Y$5:$AE$139,MATCH(Summary!$A18,'Elemental analysis'!$Y$5:$Y$139,0),MATCH(Summary!D$1,'Elemental analysis'!$Y$5:$AE$5,0)))</f>
        <v>0.22998621171769046</v>
      </c>
      <c r="E18" s="10">
        <f>IF( IF(ISNA(MATCH(A18,'Elemental analysis'!$Y$5:$Y$139,0)),"",INDEX('Elemental analysis'!$Y$5:$AE$139,MATCH(Summary!$A18,'Elemental analysis'!$Y$5:$Y$139,0),MATCH(Summary!E$1,'Elemental analysis'!$Y$5:$AE$5,0)))=0,"",IF(ISNA(MATCH(A18,'Elemental analysis'!$Y$5:$Y$139,0)),"",INDEX('Elemental analysis'!$Y$5:$AE$139,MATCH(Summary!$A18,'Elemental analysis'!$Y$5:$Y$139,0),MATCH(Summary!E$1,'Elemental analysis'!$Y$5:$AE$5,0))))</f>
        <v>5.9210000000000003</v>
      </c>
      <c r="F18" s="10">
        <f t="shared" si="0"/>
        <v>2.5759716153705295E-3</v>
      </c>
      <c r="G18" s="10">
        <f t="shared" si="1"/>
        <v>3.8842461023085702E-2</v>
      </c>
      <c r="H18" s="11">
        <f>IF(ISNA(MATCH(A18,'15N'!$B:$B,0)),"",INDEX('15N'!$A:$Y,MATCH(A18,'15N'!$B:$B,0),MATCH(Summary!$H$1,'15N'!$A$1:$Y$1,0)))</f>
        <v>3.0643882682611547</v>
      </c>
      <c r="I18" s="11">
        <f>IF(ISNA(MATCH(A18,'13C'!$B:$B,0)),"",INDEX('13C'!$A:$Z,MATCH(A18,'13C'!$B:$B,0),MATCH(Summary!$I$1,'13C'!$A$1:$Z$1,0)))</f>
        <v>-26.363989201013737</v>
      </c>
    </row>
    <row r="19" spans="1:9" x14ac:dyDescent="0.2">
      <c r="A19">
        <v>27836</v>
      </c>
      <c r="B19" t="s">
        <v>120</v>
      </c>
      <c r="C19" s="10">
        <f>IF(ISNA(MATCH(A19,'Elemental analysis'!$Q$5:$Q$139,0)),"",INDEX('Elemental analysis'!$Q$5:$W$139,MATCH(Summary!$A19,'Elemental analysis'!$Q$5:$Q$139,0),MATCH(Summary!C$1,'Elemental analysis'!$Q$5:$W$5,0)))</f>
        <v>1.3596826148112211E-2</v>
      </c>
      <c r="D19" s="10">
        <f>IF(ISNA(MATCH(A19,'Elemental analysis'!$Y$5:$Y$139,0)),"",INDEX('Elemental analysis'!$Y$5:$AE$139,MATCH(Summary!$A19,'Elemental analysis'!$Y$5:$Y$139,0),MATCH(Summary!D$1,'Elemental analysis'!$Y$5:$AE$5,0)))</f>
        <v>0.25163163234313196</v>
      </c>
      <c r="E19" s="10">
        <f>IF( IF(ISNA(MATCH(A19,'Elemental analysis'!$Y$5:$Y$139,0)),"",INDEX('Elemental analysis'!$Y$5:$AE$139,MATCH(Summary!$A19,'Elemental analysis'!$Y$5:$Y$139,0),MATCH(Summary!E$1,'Elemental analysis'!$Y$5:$AE$5,0)))=0,"",IF(ISNA(MATCH(A19,'Elemental analysis'!$Y$5:$Y$139,0)),"",INDEX('Elemental analysis'!$Y$5:$AE$139,MATCH(Summary!$A19,'Elemental analysis'!$Y$5:$Y$139,0),MATCH(Summary!E$1,'Elemental analysis'!$Y$5:$AE$5,0))))</f>
        <v>5.9809999999999999</v>
      </c>
      <c r="F19" s="10">
        <f t="shared" si="0"/>
        <v>2.2733365905554608E-3</v>
      </c>
      <c r="G19" s="10">
        <f t="shared" si="1"/>
        <v>4.2071832861249284E-2</v>
      </c>
      <c r="H19" s="11">
        <f>IF(ISNA(MATCH(A19,'15N'!$B:$B,0)),"",INDEX('15N'!$A:$Y,MATCH(A19,'15N'!$B:$B,0),MATCH(Summary!$H$1,'15N'!$A$1:$Y$1,0)))</f>
        <v>3.6487397332693945</v>
      </c>
      <c r="I19" s="11">
        <f>IF(ISNA(MATCH(A19,'13C'!$B:$B,0)),"",INDEX('13C'!$A:$Z,MATCH(A19,'13C'!$B:$B,0),MATCH(Summary!$I$1,'13C'!$A$1:$Z$1,0)))</f>
        <v>-25.834490995073793</v>
      </c>
    </row>
    <row r="20" spans="1:9" x14ac:dyDescent="0.2">
      <c r="A20">
        <v>27837</v>
      </c>
      <c r="B20" t="s">
        <v>121</v>
      </c>
      <c r="C20" s="10">
        <f>IF(ISNA(MATCH(A20,'Elemental analysis'!$Q$5:$Q$139,0)),"",INDEX('Elemental analysis'!$Q$5:$W$139,MATCH(Summary!$A20,'Elemental analysis'!$Q$5:$Q$139,0),MATCH(Summary!C$1,'Elemental analysis'!$Q$5:$W$5,0)))</f>
        <v>2.1713893489908213E-2</v>
      </c>
      <c r="D20" s="10">
        <f>IF(ISNA(MATCH(A20,'Elemental analysis'!$Y$5:$Y$139,0)),"",INDEX('Elemental analysis'!$Y$5:$AE$139,MATCH(Summary!$A20,'Elemental analysis'!$Y$5:$Y$139,0),MATCH(Summary!D$1,'Elemental analysis'!$Y$5:$AE$5,0)))</f>
        <v>0.3153953438135999</v>
      </c>
      <c r="E20" s="10">
        <f>IF( IF(ISNA(MATCH(A20,'Elemental analysis'!$Y$5:$Y$139,0)),"",INDEX('Elemental analysis'!$Y$5:$AE$139,MATCH(Summary!$A20,'Elemental analysis'!$Y$5:$Y$139,0),MATCH(Summary!E$1,'Elemental analysis'!$Y$5:$AE$5,0)))=0,"",IF(ISNA(MATCH(A20,'Elemental analysis'!$Y$5:$Y$139,0)),"",INDEX('Elemental analysis'!$Y$5:$AE$139,MATCH(Summary!$A20,'Elemental analysis'!$Y$5:$Y$139,0),MATCH(Summary!E$1,'Elemental analysis'!$Y$5:$AE$5,0))))</f>
        <v>5.6360000000000001</v>
      </c>
      <c r="F20" s="10">
        <f t="shared" si="0"/>
        <v>3.8527135361795975E-3</v>
      </c>
      <c r="G20" s="10">
        <f t="shared" si="1"/>
        <v>5.5960848795883589E-2</v>
      </c>
      <c r="H20" s="11">
        <f>IF(ISNA(MATCH(A20,'15N'!$B:$B,0)),"",INDEX('15N'!$A:$Y,MATCH(A20,'15N'!$B:$B,0),MATCH(Summary!$H$1,'15N'!$A$1:$Y$1,0)))</f>
        <v>1.83888022276426</v>
      </c>
      <c r="I20" s="11">
        <f>IF(ISNA(MATCH(A20,'13C'!$B:$B,0)),"",INDEX('13C'!$A:$Z,MATCH(A20,'13C'!$B:$B,0),MATCH(Summary!$I$1,'13C'!$A$1:$Z$1,0)))</f>
        <v>-24.419768906303148</v>
      </c>
    </row>
    <row r="21" spans="1:9" x14ac:dyDescent="0.2">
      <c r="A21">
        <v>27838</v>
      </c>
      <c r="B21" t="s">
        <v>122</v>
      </c>
      <c r="C21" s="10">
        <f>IF(ISNA(MATCH(A21,'Elemental analysis'!$Q$5:$Q$139,0)),"",INDEX('Elemental analysis'!$Q$5:$W$139,MATCH(Summary!$A21,'Elemental analysis'!$Q$5:$Q$139,0),MATCH(Summary!C$1,'Elemental analysis'!$Q$5:$W$5,0)))</f>
        <v>3.3462049369203474E-2</v>
      </c>
      <c r="D21" s="10">
        <f>IF(ISNA(MATCH(A21,'Elemental analysis'!$Y$5:$Y$139,0)),"",INDEX('Elemental analysis'!$Y$5:$AE$139,MATCH(Summary!$A21,'Elemental analysis'!$Y$5:$Y$139,0),MATCH(Summary!D$1,'Elemental analysis'!$Y$5:$AE$5,0)))</f>
        <v>0.54346538456406834</v>
      </c>
      <c r="E21" s="10">
        <f>IF( IF(ISNA(MATCH(A21,'Elemental analysis'!$Y$5:$Y$139,0)),"",INDEX('Elemental analysis'!$Y$5:$AE$139,MATCH(Summary!$A21,'Elemental analysis'!$Y$5:$Y$139,0),MATCH(Summary!E$1,'Elemental analysis'!$Y$5:$AE$5,0)))=0,"",IF(ISNA(MATCH(A21,'Elemental analysis'!$Y$5:$Y$139,0)),"",INDEX('Elemental analysis'!$Y$5:$AE$139,MATCH(Summary!$A21,'Elemental analysis'!$Y$5:$Y$139,0),MATCH(Summary!E$1,'Elemental analysis'!$Y$5:$AE$5,0))))</f>
        <v>5.8460000000000001</v>
      </c>
      <c r="F21" s="10">
        <f t="shared" si="0"/>
        <v>5.7239222321593354E-3</v>
      </c>
      <c r="G21" s="10">
        <f t="shared" si="1"/>
        <v>9.2963630613080453E-2</v>
      </c>
      <c r="H21" s="11">
        <f>IF(ISNA(MATCH(A21,'15N'!$B:$B,0)),"",INDEX('15N'!$A:$Y,MATCH(A21,'15N'!$B:$B,0),MATCH(Summary!$H$1,'15N'!$A$1:$Y$1,0)))</f>
        <v>4.3266527290998056</v>
      </c>
      <c r="I21" s="11">
        <f>IF(ISNA(MATCH(A21,'13C'!$B:$B,0)),"",INDEX('13C'!$A:$Z,MATCH(A21,'13C'!$B:$B,0),MATCH(Summary!$I$1,'13C'!$A$1:$Z$1,0)))</f>
        <v>-24.807050024973705</v>
      </c>
    </row>
    <row r="22" spans="1:9" x14ac:dyDescent="0.2">
      <c r="A22">
        <v>27839</v>
      </c>
      <c r="B22" t="s">
        <v>123</v>
      </c>
      <c r="C22" s="10">
        <f>IF(ISNA(MATCH(A22,'Elemental analysis'!$Q$5:$Q$139,0)),"",INDEX('Elemental analysis'!$Q$5:$W$139,MATCH(Summary!$A22,'Elemental analysis'!$Q$5:$Q$139,0),MATCH(Summary!C$1,'Elemental analysis'!$Q$5:$W$5,0)))</f>
        <v>1.9055033098962941E-2</v>
      </c>
      <c r="D22" s="10">
        <f>IF(ISNA(MATCH(A22,'Elemental analysis'!$Y$5:$Y$139,0)),"",INDEX('Elemental analysis'!$Y$5:$AE$139,MATCH(Summary!$A22,'Elemental analysis'!$Y$5:$Y$139,0),MATCH(Summary!D$1,'Elemental analysis'!$Y$5:$AE$5,0)))</f>
        <v>0.27191775966877302</v>
      </c>
      <c r="E22" s="10">
        <f>IF( IF(ISNA(MATCH(A22,'Elemental analysis'!$Y$5:$Y$139,0)),"",INDEX('Elemental analysis'!$Y$5:$AE$139,MATCH(Summary!$A22,'Elemental analysis'!$Y$5:$Y$139,0),MATCH(Summary!E$1,'Elemental analysis'!$Y$5:$AE$5,0)))=0,"",IF(ISNA(MATCH(A22,'Elemental analysis'!$Y$5:$Y$139,0)),"",INDEX('Elemental analysis'!$Y$5:$AE$139,MATCH(Summary!$A22,'Elemental analysis'!$Y$5:$Y$139,0),MATCH(Summary!E$1,'Elemental analysis'!$Y$5:$AE$5,0))))</f>
        <v>5.7869999999999999</v>
      </c>
      <c r="F22" s="10">
        <f t="shared" si="0"/>
        <v>3.2927307929778715E-3</v>
      </c>
      <c r="G22" s="10">
        <f t="shared" si="1"/>
        <v>4.6987689591977369E-2</v>
      </c>
      <c r="H22" s="11">
        <f>IF(ISNA(MATCH(A22,'15N'!$B:$B,0)),"",INDEX('15N'!$A:$Y,MATCH(A22,'15N'!$B:$B,0),MATCH(Summary!$H$1,'15N'!$A$1:$Y$1,0)))</f>
        <v>2.7457715093247543</v>
      </c>
      <c r="I22" s="11">
        <f>IF(ISNA(MATCH(A22,'13C'!$B:$B,0)),"",INDEX('13C'!$A:$Z,MATCH(A22,'13C'!$B:$B,0),MATCH(Summary!$I$1,'13C'!$A$1:$Z$1,0)))</f>
        <v>-26.665230006593447</v>
      </c>
    </row>
    <row r="23" spans="1:9" x14ac:dyDescent="0.2">
      <c r="A23">
        <v>27840</v>
      </c>
      <c r="B23" t="s">
        <v>124</v>
      </c>
      <c r="C23" s="10">
        <f>IF(ISNA(MATCH(A23,'Elemental analysis'!$Q$5:$Q$139,0)),"",INDEX('Elemental analysis'!$Q$5:$W$139,MATCH(Summary!$A23,'Elemental analysis'!$Q$5:$Q$139,0),MATCH(Summary!C$1,'Elemental analysis'!$Q$5:$W$5,0)))</f>
        <v>1.4738276270913694E-2</v>
      </c>
      <c r="D23" s="10">
        <f>IF(ISNA(MATCH(A23,'Elemental analysis'!$Y$5:$Y$139,0)),"",INDEX('Elemental analysis'!$Y$5:$AE$139,MATCH(Summary!$A23,'Elemental analysis'!$Y$5:$Y$139,0),MATCH(Summary!D$1,'Elemental analysis'!$Y$5:$AE$5,0)))</f>
        <v>0.21923493893943927</v>
      </c>
      <c r="E23" s="10">
        <f>IF( IF(ISNA(MATCH(A23,'Elemental analysis'!$Y$5:$Y$139,0)),"",INDEX('Elemental analysis'!$Y$5:$AE$139,MATCH(Summary!$A23,'Elemental analysis'!$Y$5:$Y$139,0),MATCH(Summary!E$1,'Elemental analysis'!$Y$5:$AE$5,0)))=0,"",IF(ISNA(MATCH(A23,'Elemental analysis'!$Y$5:$Y$139,0)),"",INDEX('Elemental analysis'!$Y$5:$AE$139,MATCH(Summary!$A23,'Elemental analysis'!$Y$5:$Y$139,0),MATCH(Summary!E$1,'Elemental analysis'!$Y$5:$AE$5,0))))</f>
        <v>5.8179999999999996</v>
      </c>
      <c r="F23" s="10">
        <f t="shared" si="0"/>
        <v>2.5332203972007038E-3</v>
      </c>
      <c r="G23" s="10">
        <f t="shared" si="1"/>
        <v>3.7682182698425451E-2</v>
      </c>
      <c r="H23" s="11">
        <f>IF(ISNA(MATCH(A23,'15N'!$B:$B,0)),"",INDEX('15N'!$A:$Y,MATCH(A23,'15N'!$B:$B,0),MATCH(Summary!$H$1,'15N'!$A$1:$Y$1,0)))</f>
        <v>3.0016055424888464</v>
      </c>
      <c r="I23" s="11">
        <f>IF(ISNA(MATCH(A23,'13C'!$B:$B,0)),"",INDEX('13C'!$A:$Z,MATCH(A23,'13C'!$B:$B,0),MATCH(Summary!$I$1,'13C'!$A$1:$Z$1,0)))</f>
        <v>-26.168332170786698</v>
      </c>
    </row>
    <row r="24" spans="1:9" x14ac:dyDescent="0.2">
      <c r="A24">
        <v>27841</v>
      </c>
      <c r="B24" t="s">
        <v>125</v>
      </c>
      <c r="C24" s="10">
        <f>IF(ISNA(MATCH(A24,'Elemental analysis'!$Q$5:$Q$139,0)),"",INDEX('Elemental analysis'!$Q$5:$W$139,MATCH(Summary!$A24,'Elemental analysis'!$Q$5:$Q$139,0),MATCH(Summary!C$1,'Elemental analysis'!$Q$5:$W$5,0)))</f>
        <v>2.716332005519893E-2</v>
      </c>
      <c r="D24" s="10">
        <f>IF(ISNA(MATCH(A24,'Elemental analysis'!$Y$5:$Y$139,0)),"",INDEX('Elemental analysis'!$Y$5:$AE$139,MATCH(Summary!$A24,'Elemental analysis'!$Y$5:$Y$139,0),MATCH(Summary!D$1,'Elemental analysis'!$Y$5:$AE$5,0)))</f>
        <v>0.46369479116963941</v>
      </c>
      <c r="E24" s="10">
        <f>IF( IF(ISNA(MATCH(A24,'Elemental analysis'!$Y$5:$Y$139,0)),"",INDEX('Elemental analysis'!$Y$5:$AE$139,MATCH(Summary!$A24,'Elemental analysis'!$Y$5:$Y$139,0),MATCH(Summary!E$1,'Elemental analysis'!$Y$5:$AE$5,0)))=0,"",IF(ISNA(MATCH(A24,'Elemental analysis'!$Y$5:$Y$139,0)),"",INDEX('Elemental analysis'!$Y$5:$AE$139,MATCH(Summary!$A24,'Elemental analysis'!$Y$5:$Y$139,0),MATCH(Summary!E$1,'Elemental analysis'!$Y$5:$AE$5,0))))</f>
        <v>5.8090000000000002</v>
      </c>
      <c r="F24" s="10">
        <f t="shared" si="0"/>
        <v>4.6760750654499788E-3</v>
      </c>
      <c r="G24" s="10">
        <f t="shared" si="1"/>
        <v>7.9823513714863042E-2</v>
      </c>
      <c r="H24" s="11">
        <f>IF(ISNA(MATCH(A24,'15N'!$B:$B,0)),"",INDEX('15N'!$A:$Y,MATCH(A24,'15N'!$B:$B,0),MATCH(Summary!$H$1,'15N'!$A$1:$Y$1,0)))</f>
        <v>3.8567353234423081</v>
      </c>
      <c r="I24" s="11">
        <f>IF(ISNA(MATCH(A24,'13C'!$B:$B,0)),"",INDEX('13C'!$A:$Z,MATCH(A24,'13C'!$B:$B,0),MATCH(Summary!$I$1,'13C'!$A$1:$Z$1,0)))</f>
        <v>-24.885030445063194</v>
      </c>
    </row>
    <row r="25" spans="1:9" x14ac:dyDescent="0.2">
      <c r="A25">
        <v>27842</v>
      </c>
      <c r="B25" t="s">
        <v>126</v>
      </c>
      <c r="C25" s="10">
        <f>IF(ISNA(MATCH(A25,'Elemental analysis'!$Q$5:$Q$139,0)),"",INDEX('Elemental analysis'!$Q$5:$W$139,MATCH(Summary!$A25,'Elemental analysis'!$Q$5:$Q$139,0),MATCH(Summary!C$1,'Elemental analysis'!$Q$5:$W$5,0)))</f>
        <v>1.5522125236361985E-2</v>
      </c>
      <c r="D25" s="10">
        <f>IF(ISNA(MATCH(A25,'Elemental analysis'!$Y$5:$Y$139,0)),"",INDEX('Elemental analysis'!$Y$5:$AE$139,MATCH(Summary!$A25,'Elemental analysis'!$Y$5:$Y$139,0),MATCH(Summary!D$1,'Elemental analysis'!$Y$5:$AE$5,0)))</f>
        <v>0.23965876249356752</v>
      </c>
      <c r="E25" s="10">
        <f>IF( IF(ISNA(MATCH(A25,'Elemental analysis'!$Y$5:$Y$139,0)),"",INDEX('Elemental analysis'!$Y$5:$AE$139,MATCH(Summary!$A25,'Elemental analysis'!$Y$5:$Y$139,0),MATCH(Summary!E$1,'Elemental analysis'!$Y$5:$AE$5,0)))=0,"",IF(ISNA(MATCH(A25,'Elemental analysis'!$Y$5:$Y$139,0)),"",INDEX('Elemental analysis'!$Y$5:$AE$139,MATCH(Summary!$A25,'Elemental analysis'!$Y$5:$Y$139,0),MATCH(Summary!E$1,'Elemental analysis'!$Y$5:$AE$5,0))))</f>
        <v>5.9210000000000003</v>
      </c>
      <c r="F25" s="10">
        <f t="shared" si="0"/>
        <v>2.6215377869214635E-3</v>
      </c>
      <c r="G25" s="10">
        <f t="shared" si="1"/>
        <v>4.0476061897241601E-2</v>
      </c>
      <c r="H25" s="11">
        <f>IF(ISNA(MATCH(A25,'15N'!$B:$B,0)),"",INDEX('15N'!$A:$Y,MATCH(A25,'15N'!$B:$B,0),MATCH(Summary!$H$1,'15N'!$A$1:$Y$1,0)))</f>
        <v>1.7492177797073509</v>
      </c>
      <c r="I25" s="11">
        <f>IF(ISNA(MATCH(A25,'13C'!$B:$B,0)),"",INDEX('13C'!$A:$Z,MATCH(A25,'13C'!$B:$B,0),MATCH(Summary!$I$1,'13C'!$A$1:$Z$1,0)))</f>
        <v>-26.087216910279608</v>
      </c>
    </row>
    <row r="26" spans="1:9" x14ac:dyDescent="0.2">
      <c r="A26">
        <v>27843</v>
      </c>
      <c r="B26" t="s">
        <v>127</v>
      </c>
      <c r="C26" s="10">
        <f>IF(ISNA(MATCH(A26,'Elemental analysis'!$Q$5:$Q$139,0)),"",INDEX('Elemental analysis'!$Q$5:$W$139,MATCH(Summary!$A26,'Elemental analysis'!$Q$5:$Q$139,0),MATCH(Summary!C$1,'Elemental analysis'!$Q$5:$W$5,0)))</f>
        <v>2.8754964492168269E-2</v>
      </c>
      <c r="D26" s="10">
        <f>IF(ISNA(MATCH(A26,'Elemental analysis'!$Y$5:$Y$139,0)),"",INDEX('Elemental analysis'!$Y$5:$AE$139,MATCH(Summary!$A26,'Elemental analysis'!$Y$5:$Y$139,0),MATCH(Summary!D$1,'Elemental analysis'!$Y$5:$AE$5,0)))</f>
        <v>0.46719172702540124</v>
      </c>
      <c r="E26" s="10">
        <f>IF( IF(ISNA(MATCH(A26,'Elemental analysis'!$Y$5:$Y$139,0)),"",INDEX('Elemental analysis'!$Y$5:$AE$139,MATCH(Summary!$A26,'Elemental analysis'!$Y$5:$Y$139,0),MATCH(Summary!E$1,'Elemental analysis'!$Y$5:$AE$5,0)))=0,"",IF(ISNA(MATCH(A26,'Elemental analysis'!$Y$5:$Y$139,0)),"",INDEX('Elemental analysis'!$Y$5:$AE$139,MATCH(Summary!$A26,'Elemental analysis'!$Y$5:$Y$139,0),MATCH(Summary!E$1,'Elemental analysis'!$Y$5:$AE$5,0))))</f>
        <v>5.8360000000000003</v>
      </c>
      <c r="F26" s="10">
        <f t="shared" si="0"/>
        <v>4.9271700637711219E-3</v>
      </c>
      <c r="G26" s="10">
        <f t="shared" si="1"/>
        <v>8.0053414500582801E-2</v>
      </c>
      <c r="H26" s="11">
        <f>IF(ISNA(MATCH(A26,'15N'!$B:$B,0)),"",INDEX('15N'!$A:$Y,MATCH(A26,'15N'!$B:$B,0),MATCH(Summary!$H$1,'15N'!$A$1:$Y$1,0)))</f>
        <v>4.5854177603263224</v>
      </c>
      <c r="I26" s="11">
        <f>IF(ISNA(MATCH(A26,'13C'!$B:$B,0)),"",INDEX('13C'!$A:$Z,MATCH(A26,'13C'!$B:$B,0),MATCH(Summary!$I$1,'13C'!$A$1:$Z$1,0)))</f>
        <v>-25.123770905939864</v>
      </c>
    </row>
    <row r="27" spans="1:9" x14ac:dyDescent="0.2">
      <c r="A27">
        <v>27844</v>
      </c>
      <c r="B27" t="s">
        <v>128</v>
      </c>
      <c r="C27" s="10">
        <f>IF(ISNA(MATCH(A27,'Elemental analysis'!$Q$5:$Q$139,0)),"",INDEX('Elemental analysis'!$Q$5:$W$139,MATCH(Summary!$A27,'Elemental analysis'!$Q$5:$Q$139,0),MATCH(Summary!C$1,'Elemental analysis'!$Q$5:$W$5,0)))</f>
        <v>3.3633665996058243E-2</v>
      </c>
      <c r="D27" s="10">
        <f>IF(ISNA(MATCH(A27,'Elemental analysis'!$Y$5:$Y$139,0)),"",INDEX('Elemental analysis'!$Y$5:$AE$139,MATCH(Summary!$A27,'Elemental analysis'!$Y$5:$Y$139,0),MATCH(Summary!D$1,'Elemental analysis'!$Y$5:$AE$5,0)))</f>
        <v>0.54678441201842198</v>
      </c>
      <c r="E27" s="10">
        <f>IF( IF(ISNA(MATCH(A27,'Elemental analysis'!$Y$5:$Y$139,0)),"",INDEX('Elemental analysis'!$Y$5:$AE$139,MATCH(Summary!$A27,'Elemental analysis'!$Y$5:$Y$139,0),MATCH(Summary!E$1,'Elemental analysis'!$Y$5:$AE$5,0)))=0,"",IF(ISNA(MATCH(A27,'Elemental analysis'!$Y$5:$Y$139,0)),"",INDEX('Elemental analysis'!$Y$5:$AE$139,MATCH(Summary!$A27,'Elemental analysis'!$Y$5:$Y$139,0),MATCH(Summary!E$1,'Elemental analysis'!$Y$5:$AE$5,0))))</f>
        <v>5.6589999999999998</v>
      </c>
      <c r="F27" s="10">
        <f t="shared" si="0"/>
        <v>5.9433938851490096E-3</v>
      </c>
      <c r="G27" s="10">
        <f t="shared" si="1"/>
        <v>9.662209083202368E-2</v>
      </c>
      <c r="H27" s="11">
        <f>IF(ISNA(MATCH(A27,'15N'!$B:$B,0)),"",INDEX('15N'!$A:$Y,MATCH(A27,'15N'!$B:$B,0),MATCH(Summary!$H$1,'15N'!$A$1:$Y$1,0)))</f>
        <v>3.282287586609641</v>
      </c>
      <c r="I27" s="11">
        <f>IF(ISNA(MATCH(A27,'13C'!$B:$B,0)),"",INDEX('13C'!$A:$Z,MATCH(A27,'13C'!$B:$B,0),MATCH(Summary!$I$1,'13C'!$A$1:$Z$1,0)))</f>
        <v>-23.820058568490367</v>
      </c>
    </row>
    <row r="28" spans="1:9" x14ac:dyDescent="0.2">
      <c r="A28">
        <v>27846</v>
      </c>
      <c r="B28" t="s">
        <v>129</v>
      </c>
      <c r="C28" s="10">
        <f>IF(ISNA(MATCH(A28,'Elemental analysis'!$Q$5:$Q$139,0)),"",INDEX('Elemental analysis'!$Q$5:$W$139,MATCH(Summary!$A28,'Elemental analysis'!$Q$5:$Q$139,0),MATCH(Summary!C$1,'Elemental analysis'!$Q$5:$W$5,0)))</f>
        <v>5.1872123237940125E-2</v>
      </c>
      <c r="D28" s="10">
        <f>IF(ISNA(MATCH(A28,'Elemental analysis'!$Y$5:$Y$139,0)),"",INDEX('Elemental analysis'!$Y$5:$AE$139,MATCH(Summary!$A28,'Elemental analysis'!$Y$5:$Y$139,0),MATCH(Summary!D$1,'Elemental analysis'!$Y$5:$AE$5,0)))</f>
        <v>1.0951498935630573</v>
      </c>
      <c r="E28" s="10">
        <f>IF( IF(ISNA(MATCH(A28,'Elemental analysis'!$Y$5:$Y$139,0)),"",INDEX('Elemental analysis'!$Y$5:$AE$139,MATCH(Summary!$A28,'Elemental analysis'!$Y$5:$Y$139,0),MATCH(Summary!E$1,'Elemental analysis'!$Y$5:$AE$5,0)))=0,"",IF(ISNA(MATCH(A28,'Elemental analysis'!$Y$5:$Y$139,0)),"",INDEX('Elemental analysis'!$Y$5:$AE$139,MATCH(Summary!$A28,'Elemental analysis'!$Y$5:$Y$139,0),MATCH(Summary!E$1,'Elemental analysis'!$Y$5:$AE$5,0))))</f>
        <v>5.8029999999999999</v>
      </c>
      <c r="F28" s="10">
        <f t="shared" si="0"/>
        <v>8.9388459827572167E-3</v>
      </c>
      <c r="G28" s="10">
        <f t="shared" si="1"/>
        <v>0.18872133268362179</v>
      </c>
      <c r="H28" s="11">
        <f>IF(ISNA(MATCH(A28,'15N'!$B:$B,0)),"",INDEX('15N'!$A:$Y,MATCH(A28,'15N'!$B:$B,0),MATCH(Summary!$H$1,'15N'!$A$1:$Y$1,0)))</f>
        <v>4.1304338728158427</v>
      </c>
      <c r="I28" s="11">
        <f>IF(ISNA(MATCH(A28,'13C'!$B:$B,0)),"",INDEX('13C'!$A:$Z,MATCH(A28,'13C'!$B:$B,0),MATCH(Summary!$I$1,'13C'!$A$1:$Z$1,0)))</f>
        <v>-25.280186708931637</v>
      </c>
    </row>
    <row r="29" spans="1:9" x14ac:dyDescent="0.2">
      <c r="A29">
        <v>27847</v>
      </c>
      <c r="B29" t="s">
        <v>130</v>
      </c>
      <c r="C29" s="10">
        <f>IF(ISNA(MATCH(A29,'Elemental analysis'!$Q$5:$Q$139,0)),"",INDEX('Elemental analysis'!$Q$5:$W$139,MATCH(Summary!$A29,'Elemental analysis'!$Q$5:$Q$139,0),MATCH(Summary!C$1,'Elemental analysis'!$Q$5:$W$5,0)))</f>
        <v>1.4221031739742113E-2</v>
      </c>
      <c r="D29" s="10">
        <f>IF(ISNA(MATCH(A29,'Elemental analysis'!$Y$5:$Y$139,0)),"",INDEX('Elemental analysis'!$Y$5:$AE$139,MATCH(Summary!$A29,'Elemental analysis'!$Y$5:$Y$139,0),MATCH(Summary!D$1,'Elemental analysis'!$Y$5:$AE$5,0)))</f>
        <v>0.21126988232433797</v>
      </c>
      <c r="E29" s="10">
        <f>IF( IF(ISNA(MATCH(A29,'Elemental analysis'!$Y$5:$Y$139,0)),"",INDEX('Elemental analysis'!$Y$5:$AE$139,MATCH(Summary!$A29,'Elemental analysis'!$Y$5:$Y$139,0),MATCH(Summary!E$1,'Elemental analysis'!$Y$5:$AE$5,0)))=0,"",IF(ISNA(MATCH(A29,'Elemental analysis'!$Y$5:$Y$139,0)),"",INDEX('Elemental analysis'!$Y$5:$AE$139,MATCH(Summary!$A29,'Elemental analysis'!$Y$5:$Y$139,0),MATCH(Summary!E$1,'Elemental analysis'!$Y$5:$AE$5,0))))</f>
        <v>5.742</v>
      </c>
      <c r="F29" s="10">
        <f t="shared" si="0"/>
        <v>2.4766687112055229E-3</v>
      </c>
      <c r="G29" s="10">
        <f t="shared" si="1"/>
        <v>3.6793779575816435E-2</v>
      </c>
      <c r="H29" s="11">
        <f>IF(ISNA(MATCH(A29,'15N'!$B:$B,0)),"",INDEX('15N'!$A:$Y,MATCH(A29,'15N'!$B:$B,0),MATCH(Summary!$H$1,'15N'!$A$1:$Y$1,0)))</f>
        <v>2.536608504642345</v>
      </c>
      <c r="I29" s="11">
        <f>IF(ISNA(MATCH(A29,'13C'!$B:$B,0)),"",INDEX('13C'!$A:$Z,MATCH(A29,'13C'!$B:$B,0),MATCH(Summary!$I$1,'13C'!$A$1:$Z$1,0)))</f>
        <v>-24.684459529025617</v>
      </c>
    </row>
    <row r="30" spans="1:9" x14ac:dyDescent="0.2">
      <c r="A30">
        <v>27848</v>
      </c>
      <c r="B30" t="s">
        <v>131</v>
      </c>
      <c r="C30" s="10">
        <f>IF(ISNA(MATCH(A30,'Elemental analysis'!$Q$5:$Q$139,0)),"",INDEX('Elemental analysis'!$Q$5:$W$139,MATCH(Summary!$A30,'Elemental analysis'!$Q$5:$Q$139,0),MATCH(Summary!C$1,'Elemental analysis'!$Q$5:$W$5,0)))</f>
        <v>6.0815345039246287E-2</v>
      </c>
      <c r="D30" s="10">
        <f>IF(ISNA(MATCH(A30,'Elemental analysis'!$Y$5:$Y$139,0)),"",INDEX('Elemental analysis'!$Y$5:$AE$139,MATCH(Summary!$A30,'Elemental analysis'!$Y$5:$Y$139,0),MATCH(Summary!D$1,'Elemental analysis'!$Y$5:$AE$5,0)))</f>
        <v>1.0051242821607436</v>
      </c>
      <c r="E30" s="10">
        <f>IF( IF(ISNA(MATCH(A30,'Elemental analysis'!$Y$5:$Y$139,0)),"",INDEX('Elemental analysis'!$Y$5:$AE$139,MATCH(Summary!$A30,'Elemental analysis'!$Y$5:$Y$139,0),MATCH(Summary!E$1,'Elemental analysis'!$Y$5:$AE$5,0)))=0,"",IF(ISNA(MATCH(A30,'Elemental analysis'!$Y$5:$Y$139,0)),"",INDEX('Elemental analysis'!$Y$5:$AE$139,MATCH(Summary!$A30,'Elemental analysis'!$Y$5:$Y$139,0),MATCH(Summary!E$1,'Elemental analysis'!$Y$5:$AE$5,0))))</f>
        <v>5.6749999999999998</v>
      </c>
      <c r="F30" s="10">
        <f t="shared" si="0"/>
        <v>1.0716360359338553E-2</v>
      </c>
      <c r="G30" s="10">
        <f t="shared" si="1"/>
        <v>0.177114410953435</v>
      </c>
      <c r="H30" s="11">
        <f>IF(ISNA(MATCH(A30,'15N'!$B:$B,0)),"",INDEX('15N'!$A:$Y,MATCH(A30,'15N'!$B:$B,0),MATCH(Summary!$H$1,'15N'!$A$1:$Y$1,0)))</f>
        <v>1.7790049598755786</v>
      </c>
      <c r="I30" s="11">
        <f>IF(ISNA(MATCH(A30,'13C'!$B:$B,0)),"",INDEX('13C'!$A:$Z,MATCH(A30,'13C'!$B:$B,0),MATCH(Summary!$I$1,'13C'!$A$1:$Z$1,0)))</f>
        <v>-25.554577044134135</v>
      </c>
    </row>
    <row r="31" spans="1:9" x14ac:dyDescent="0.2">
      <c r="A31">
        <v>27849</v>
      </c>
      <c r="B31" t="s">
        <v>132</v>
      </c>
      <c r="C31" s="10">
        <f>IF(ISNA(MATCH(A31,'Elemental analysis'!$Q$5:$Q$139,0)),"",INDEX('Elemental analysis'!$Q$5:$W$139,MATCH(Summary!$A31,'Elemental analysis'!$Q$5:$Q$139,0),MATCH(Summary!C$1,'Elemental analysis'!$Q$5:$W$5,0)))</f>
        <v>5.1000470416891722E-2</v>
      </c>
      <c r="D31" s="10">
        <f>IF(ISNA(MATCH(A31,'Elemental analysis'!$Y$5:$Y$139,0)),"",INDEX('Elemental analysis'!$Y$5:$AE$139,MATCH(Summary!$A31,'Elemental analysis'!$Y$5:$Y$139,0),MATCH(Summary!D$1,'Elemental analysis'!$Y$5:$AE$5,0)))</f>
        <v>0.91253819111145029</v>
      </c>
      <c r="E31" s="10">
        <f>IF( IF(ISNA(MATCH(A31,'Elemental analysis'!$Y$5:$Y$139,0)),"",INDEX('Elemental analysis'!$Y$5:$AE$139,MATCH(Summary!$A31,'Elemental analysis'!$Y$5:$Y$139,0),MATCH(Summary!E$1,'Elemental analysis'!$Y$5:$AE$5,0)))=0,"",IF(ISNA(MATCH(A31,'Elemental analysis'!$Y$5:$Y$139,0)),"",INDEX('Elemental analysis'!$Y$5:$AE$139,MATCH(Summary!$A31,'Elemental analysis'!$Y$5:$Y$139,0),MATCH(Summary!E$1,'Elemental analysis'!$Y$5:$AE$5,0))))</f>
        <v>5.7279999999999998</v>
      </c>
      <c r="F31" s="10">
        <f t="shared" si="0"/>
        <v>8.9037134107702032E-3</v>
      </c>
      <c r="G31" s="10">
        <f t="shared" si="1"/>
        <v>0.15931183504040683</v>
      </c>
      <c r="H31" s="11">
        <f>IF(ISNA(MATCH(A31,'15N'!$B:$B,0)),"",INDEX('15N'!$A:$Y,MATCH(A31,'15N'!$B:$B,0),MATCH(Summary!$H$1,'15N'!$A$1:$Y$1,0)))</f>
        <v>3.4454858497495024</v>
      </c>
      <c r="I31" s="11">
        <f>IF(ISNA(MATCH(A31,'13C'!$B:$B,0)),"",INDEX('13C'!$A:$Z,MATCH(A31,'13C'!$B:$B,0),MATCH(Summary!$I$1,'13C'!$A$1:$Z$1,0)))</f>
        <v>-25.066831946008278</v>
      </c>
    </row>
    <row r="32" spans="1:9" x14ac:dyDescent="0.2">
      <c r="A32">
        <v>27850</v>
      </c>
      <c r="B32" t="s">
        <v>133</v>
      </c>
      <c r="C32" s="10">
        <f>IF(ISNA(MATCH(A32,'Elemental analysis'!$Q$5:$Q$139,0)),"",INDEX('Elemental analysis'!$Q$5:$W$139,MATCH(Summary!$A32,'Elemental analysis'!$Q$5:$Q$139,0),MATCH(Summary!C$1,'Elemental analysis'!$Q$5:$W$5,0)))</f>
        <v>2.5920496390022769E-2</v>
      </c>
      <c r="D32" s="10">
        <f>IF(ISNA(MATCH(A32,'Elemental analysis'!$Y$5:$Y$139,0)),"",INDEX('Elemental analysis'!$Y$5:$AE$139,MATCH(Summary!$A32,'Elemental analysis'!$Y$5:$Y$139,0),MATCH(Summary!D$1,'Elemental analysis'!$Y$5:$AE$5,0)))</f>
        <v>0.45733151944255934</v>
      </c>
      <c r="E32" s="10">
        <f>IF( IF(ISNA(MATCH(A32,'Elemental analysis'!$Y$5:$Y$139,0)),"",INDEX('Elemental analysis'!$Y$5:$AE$139,MATCH(Summary!$A32,'Elemental analysis'!$Y$5:$Y$139,0),MATCH(Summary!E$1,'Elemental analysis'!$Y$5:$AE$5,0)))=0,"",IF(ISNA(MATCH(A32,'Elemental analysis'!$Y$5:$Y$139,0)),"",INDEX('Elemental analysis'!$Y$5:$AE$139,MATCH(Summary!$A32,'Elemental analysis'!$Y$5:$Y$139,0),MATCH(Summary!E$1,'Elemental analysis'!$Y$5:$AE$5,0))))</f>
        <v>5.8879999999999999</v>
      </c>
      <c r="F32" s="10">
        <f t="shared" si="0"/>
        <v>4.402258218414193E-3</v>
      </c>
      <c r="G32" s="10">
        <f t="shared" si="1"/>
        <v>7.7671793383586846E-2</v>
      </c>
      <c r="H32" s="11">
        <f>IF(ISNA(MATCH(A32,'15N'!$B:$B,0)),"",INDEX('15N'!$A:$Y,MATCH(A32,'15N'!$B:$B,0),MATCH(Summary!$H$1,'15N'!$A$1:$Y$1,0)))</f>
        <v>4.2249544093384657</v>
      </c>
      <c r="I32" s="11">
        <f>IF(ISNA(MATCH(A32,'13C'!$B:$B,0)),"",INDEX('13C'!$A:$Z,MATCH(A32,'13C'!$B:$B,0),MATCH(Summary!$I$1,'13C'!$A$1:$Z$1,0)))</f>
        <v>-26.047970897120877</v>
      </c>
    </row>
    <row r="33" spans="1:9" x14ac:dyDescent="0.2">
      <c r="A33">
        <v>27851</v>
      </c>
      <c r="B33" t="s">
        <v>134</v>
      </c>
      <c r="C33" s="10">
        <f>IF(ISNA(MATCH(A33,'Elemental analysis'!$Q$5:$Q$139,0)),"",INDEX('Elemental analysis'!$Q$5:$W$139,MATCH(Summary!$A33,'Elemental analysis'!$Q$5:$Q$139,0),MATCH(Summary!C$1,'Elemental analysis'!$Q$5:$W$5,0)))</f>
        <v>2.2342090165883573E-2</v>
      </c>
      <c r="D33" s="10">
        <f>IF(ISNA(MATCH(A33,'Elemental analysis'!$Y$5:$Y$139,0)),"",INDEX('Elemental analysis'!$Y$5:$AE$139,MATCH(Summary!$A33,'Elemental analysis'!$Y$5:$Y$139,0),MATCH(Summary!D$1,'Elemental analysis'!$Y$5:$AE$5,0)))</f>
        <v>0.33331839670478292</v>
      </c>
      <c r="E33" s="10">
        <f>IF( IF(ISNA(MATCH(A33,'Elemental analysis'!$Y$5:$Y$139,0)),"",INDEX('Elemental analysis'!$Y$5:$AE$139,MATCH(Summary!$A33,'Elemental analysis'!$Y$5:$Y$139,0),MATCH(Summary!E$1,'Elemental analysis'!$Y$5:$AE$5,0)))=0,"",IF(ISNA(MATCH(A33,'Elemental analysis'!$Y$5:$Y$139,0)),"",INDEX('Elemental analysis'!$Y$5:$AE$139,MATCH(Summary!$A33,'Elemental analysis'!$Y$5:$Y$139,0),MATCH(Summary!E$1,'Elemental analysis'!$Y$5:$AE$5,0))))</f>
        <v>5.9550000000000001</v>
      </c>
      <c r="F33" s="10">
        <f t="shared" si="0"/>
        <v>3.7518203469157972E-3</v>
      </c>
      <c r="G33" s="10">
        <f t="shared" si="1"/>
        <v>5.5972862586865312E-2</v>
      </c>
      <c r="H33" s="11">
        <f>IF(ISNA(MATCH(A33,'15N'!$B:$B,0)),"",INDEX('15N'!$A:$Y,MATCH(A33,'15N'!$B:$B,0),MATCH(Summary!$H$1,'15N'!$A$1:$Y$1,0)))</f>
        <v>5.0293056393638835</v>
      </c>
      <c r="I33" s="11">
        <f>IF(ISNA(MATCH(A33,'13C'!$B:$B,0)),"",INDEX('13C'!$A:$Z,MATCH(A33,'13C'!$B:$B,0),MATCH(Summary!$I$1,'13C'!$A$1:$Z$1,0)))</f>
        <v>-25.710990996317264</v>
      </c>
    </row>
    <row r="34" spans="1:9" x14ac:dyDescent="0.2">
      <c r="A34">
        <v>27852</v>
      </c>
      <c r="B34" t="s">
        <v>135</v>
      </c>
      <c r="C34" s="10">
        <f>IF(ISNA(MATCH(A34,'Elemental analysis'!$Q$5:$Q$139,0)),"",INDEX('Elemental analysis'!$Q$5:$W$139,MATCH(Summary!$A34,'Elemental analysis'!$Q$5:$Q$139,0),MATCH(Summary!C$1,'Elemental analysis'!$Q$5:$W$5,0)))</f>
        <v>3.2154570137630865E-2</v>
      </c>
      <c r="D34" s="10">
        <f>IF(ISNA(MATCH(A34,'Elemental analysis'!$Y$5:$Y$139,0)),"",INDEX('Elemental analysis'!$Y$5:$AE$139,MATCH(Summary!$A34,'Elemental analysis'!$Y$5:$Y$139,0),MATCH(Summary!D$1,'Elemental analysis'!$Y$5:$AE$5,0)))</f>
        <v>0.54906949920842707</v>
      </c>
      <c r="E34" s="10">
        <f>IF( IF(ISNA(MATCH(A34,'Elemental analysis'!$Y$5:$Y$139,0)),"",INDEX('Elemental analysis'!$Y$5:$AE$139,MATCH(Summary!$A34,'Elemental analysis'!$Y$5:$Y$139,0),MATCH(Summary!E$1,'Elemental analysis'!$Y$5:$AE$5,0)))=0,"",IF(ISNA(MATCH(A34,'Elemental analysis'!$Y$5:$Y$139,0)),"",INDEX('Elemental analysis'!$Y$5:$AE$139,MATCH(Summary!$A34,'Elemental analysis'!$Y$5:$Y$139,0),MATCH(Summary!E$1,'Elemental analysis'!$Y$5:$AE$5,0))))</f>
        <v>5.6189999999999998</v>
      </c>
      <c r="F34" s="10">
        <f t="shared" si="0"/>
        <v>5.7224719945952783E-3</v>
      </c>
      <c r="G34" s="10">
        <f t="shared" si="1"/>
        <v>9.7716586440367875E-2</v>
      </c>
      <c r="H34" s="11">
        <f>IF(ISNA(MATCH(A34,'15N'!$B:$B,0)),"",INDEX('15N'!$A:$Y,MATCH(A34,'15N'!$B:$B,0),MATCH(Summary!$H$1,'15N'!$A$1:$Y$1,0)))</f>
        <v>3.2503265664945502</v>
      </c>
      <c r="I34" s="11">
        <f>IF(ISNA(MATCH(A34,'13C'!$B:$B,0)),"",INDEX('13C'!$A:$Z,MATCH(A34,'13C'!$B:$B,0),MATCH(Summary!$I$1,'13C'!$A$1:$Z$1,0)))</f>
        <v>-25.261956697439928</v>
      </c>
    </row>
    <row r="35" spans="1:9" x14ac:dyDescent="0.2">
      <c r="A35">
        <v>27853</v>
      </c>
      <c r="B35" t="s">
        <v>136</v>
      </c>
      <c r="C35" s="10">
        <f>IF(ISNA(MATCH(A35,'Elemental analysis'!$Q$5:$Q$139,0)),"",INDEX('Elemental analysis'!$Q$5:$W$139,MATCH(Summary!$A35,'Elemental analysis'!$Q$5:$Q$139,0),MATCH(Summary!C$1,'Elemental analysis'!$Q$5:$W$5,0)))</f>
        <v>1.9493254160094418E-2</v>
      </c>
      <c r="D35" s="10">
        <f>IF(ISNA(MATCH(A35,'Elemental analysis'!$Y$5:$Y$139,0)),"",INDEX('Elemental analysis'!$Y$5:$AE$139,MATCH(Summary!$A35,'Elemental analysis'!$Y$5:$Y$139,0),MATCH(Summary!D$1,'Elemental analysis'!$Y$5:$AE$5,0)))</f>
        <v>0.24606864378471519</v>
      </c>
      <c r="E35" s="10">
        <f>IF( IF(ISNA(MATCH(A35,'Elemental analysis'!$Y$5:$Y$139,0)),"",INDEX('Elemental analysis'!$Y$5:$AE$139,MATCH(Summary!$A35,'Elemental analysis'!$Y$5:$Y$139,0),MATCH(Summary!E$1,'Elemental analysis'!$Y$5:$AE$5,0)))=0,"",IF(ISNA(MATCH(A35,'Elemental analysis'!$Y$5:$Y$139,0)),"",INDEX('Elemental analysis'!$Y$5:$AE$139,MATCH(Summary!$A35,'Elemental analysis'!$Y$5:$Y$139,0),MATCH(Summary!E$1,'Elemental analysis'!$Y$5:$AE$5,0))))</f>
        <v>5.79</v>
      </c>
      <c r="F35" s="10">
        <f t="shared" si="0"/>
        <v>3.3667105630560308E-3</v>
      </c>
      <c r="G35" s="10">
        <f t="shared" si="1"/>
        <v>4.2498902208068255E-2</v>
      </c>
      <c r="H35" s="11">
        <f>IF(ISNA(MATCH(A35,'15N'!$B:$B,0)),"",INDEX('15N'!$A:$Y,MATCH(A35,'15N'!$B:$B,0),MATCH(Summary!$H$1,'15N'!$A$1:$Y$1,0)))</f>
        <v>5.1099147244651704</v>
      </c>
      <c r="I35" s="11">
        <f>IF(ISNA(MATCH(A35,'13C'!$B:$B,0)),"",INDEX('13C'!$A:$Z,MATCH(A35,'13C'!$B:$B,0),MATCH(Summary!$I$1,'13C'!$A$1:$Z$1,0)))</f>
        <v>-24.85570064440833</v>
      </c>
    </row>
    <row r="36" spans="1:9" x14ac:dyDescent="0.2">
      <c r="A36">
        <v>27854</v>
      </c>
      <c r="B36" t="s">
        <v>137</v>
      </c>
      <c r="C36" s="10">
        <f>IF(ISNA(MATCH(A36,'Elemental analysis'!$Q$5:$Q$139,0)),"",INDEX('Elemental analysis'!$Q$5:$W$139,MATCH(Summary!$A36,'Elemental analysis'!$Q$5:$Q$139,0),MATCH(Summary!C$1,'Elemental analysis'!$Q$5:$W$5,0)))</f>
        <v>2.9276200107685311E-2</v>
      </c>
      <c r="D36" s="10">
        <f>IF(ISNA(MATCH(A36,'Elemental analysis'!$Y$5:$Y$139,0)),"",INDEX('Elemental analysis'!$Y$5:$AE$139,MATCH(Summary!$A36,'Elemental analysis'!$Y$5:$Y$139,0),MATCH(Summary!D$1,'Elemental analysis'!$Y$5:$AE$5,0)))</f>
        <v>0.51201459113704095</v>
      </c>
      <c r="E36" s="10">
        <f>IF( IF(ISNA(MATCH(A36,'Elemental analysis'!$Y$5:$Y$139,0)),"",INDEX('Elemental analysis'!$Y$5:$AE$139,MATCH(Summary!$A36,'Elemental analysis'!$Y$5:$Y$139,0),MATCH(Summary!E$1,'Elemental analysis'!$Y$5:$AE$5,0)))=0,"",IF(ISNA(MATCH(A36,'Elemental analysis'!$Y$5:$Y$139,0)),"",INDEX('Elemental analysis'!$Y$5:$AE$139,MATCH(Summary!$A36,'Elemental analysis'!$Y$5:$Y$139,0),MATCH(Summary!E$1,'Elemental analysis'!$Y$5:$AE$5,0))))</f>
        <v>5.827</v>
      </c>
      <c r="F36" s="10">
        <f t="shared" si="0"/>
        <v>5.0242320418200292E-3</v>
      </c>
      <c r="G36" s="10">
        <f t="shared" si="1"/>
        <v>8.7869330897038092E-2</v>
      </c>
      <c r="H36" s="11">
        <f>IF(ISNA(MATCH(A36,'15N'!$B:$B,0)),"",INDEX('15N'!$A:$Y,MATCH(A36,'15N'!$B:$B,0),MATCH(Summary!$H$1,'15N'!$A$1:$Y$1,0)))</f>
        <v>3.8705023278456565</v>
      </c>
      <c r="I36" s="11">
        <f>IF(ISNA(MATCH(A36,'13C'!$B:$B,0)),"",INDEX('13C'!$A:$Z,MATCH(A36,'13C'!$B:$B,0),MATCH(Summary!$I$1,'13C'!$A$1:$Z$1,0)))</f>
        <v>-26.090484136765212</v>
      </c>
    </row>
    <row r="37" spans="1:9" x14ac:dyDescent="0.2">
      <c r="A37">
        <v>27855</v>
      </c>
      <c r="B37" t="s">
        <v>138</v>
      </c>
      <c r="C37" s="10">
        <f>IF(ISNA(MATCH(A37,'Elemental analysis'!$Q$5:$Q$139,0)),"",INDEX('Elemental analysis'!$Q$5:$W$139,MATCH(Summary!$A37,'Elemental analysis'!$Q$5:$Q$139,0),MATCH(Summary!C$1,'Elemental analysis'!$Q$5:$W$5,0)))</f>
        <v>4.5231757103964224E-2</v>
      </c>
      <c r="D37" s="10">
        <f>IF(ISNA(MATCH(A37,'Elemental analysis'!$Y$5:$Y$139,0)),"",INDEX('Elemental analysis'!$Y$5:$AE$139,MATCH(Summary!$A37,'Elemental analysis'!$Y$5:$Y$139,0),MATCH(Summary!D$1,'Elemental analysis'!$Y$5:$AE$5,0)))</f>
        <v>0.62708903525474913</v>
      </c>
      <c r="E37" s="10">
        <f>IF( IF(ISNA(MATCH(A37,'Elemental analysis'!$Y$5:$Y$139,0)),"",INDEX('Elemental analysis'!$Y$5:$AE$139,MATCH(Summary!$A37,'Elemental analysis'!$Y$5:$Y$139,0),MATCH(Summary!E$1,'Elemental analysis'!$Y$5:$AE$5,0)))=0,"",IF(ISNA(MATCH(A37,'Elemental analysis'!$Y$5:$Y$139,0)),"",INDEX('Elemental analysis'!$Y$5:$AE$139,MATCH(Summary!$A37,'Elemental analysis'!$Y$5:$Y$139,0),MATCH(Summary!E$1,'Elemental analysis'!$Y$5:$AE$5,0))))</f>
        <v>5.8220000000000001</v>
      </c>
      <c r="F37" s="10">
        <f t="shared" si="0"/>
        <v>7.7691097739546935E-3</v>
      </c>
      <c r="G37" s="10">
        <f t="shared" si="1"/>
        <v>0.1077102430873839</v>
      </c>
      <c r="H37" s="11">
        <f>IF(ISNA(MATCH(A37,'15N'!$B:$B,0)),"",INDEX('15N'!$A:$Y,MATCH(A37,'15N'!$B:$B,0),MATCH(Summary!$H$1,'15N'!$A$1:$Y$1,0)))</f>
        <v>2.3294361936320911</v>
      </c>
      <c r="I37" s="11">
        <f>IF(ISNA(MATCH(A37,'13C'!$B:$B,0)),"",INDEX('13C'!$A:$Z,MATCH(A37,'13C'!$B:$B,0),MATCH(Summary!$I$1,'13C'!$A$1:$Z$1,0)))</f>
        <v>-24.237742997720716</v>
      </c>
    </row>
    <row r="38" spans="1:9" x14ac:dyDescent="0.2">
      <c r="A38">
        <v>27857</v>
      </c>
      <c r="B38" t="s">
        <v>139</v>
      </c>
      <c r="C38" s="10">
        <f>IF(ISNA(MATCH(A38,'Elemental analysis'!$Q$5:$Q$139,0)),"",INDEX('Elemental analysis'!$Q$5:$W$139,MATCH(Summary!$A38,'Elemental analysis'!$Q$5:$Q$139,0),MATCH(Summary!C$1,'Elemental analysis'!$Q$5:$W$5,0)))</f>
        <v>1.6427303165912253E-2</v>
      </c>
      <c r="D38" s="10">
        <f>IF(ISNA(MATCH(A38,'Elemental analysis'!$Y$5:$Y$139,0)),"",INDEX('Elemental analysis'!$Y$5:$AE$139,MATCH(Summary!$A38,'Elemental analysis'!$Y$5:$Y$139,0),MATCH(Summary!D$1,'Elemental analysis'!$Y$5:$AE$5,0)))</f>
        <v>0.21720605203296889</v>
      </c>
      <c r="E38" s="10">
        <f>IF( IF(ISNA(MATCH(A38,'Elemental analysis'!$Y$5:$Y$139,0)),"",INDEX('Elemental analysis'!$Y$5:$AE$139,MATCH(Summary!$A38,'Elemental analysis'!$Y$5:$Y$139,0),MATCH(Summary!E$1,'Elemental analysis'!$Y$5:$AE$5,0)))=0,"",IF(ISNA(MATCH(A38,'Elemental analysis'!$Y$5:$Y$139,0)),"",INDEX('Elemental analysis'!$Y$5:$AE$139,MATCH(Summary!$A38,'Elemental analysis'!$Y$5:$Y$139,0),MATCH(Summary!E$1,'Elemental analysis'!$Y$5:$AE$5,0))))</f>
        <v>5.8179999999999996</v>
      </c>
      <c r="F38" s="10">
        <f t="shared" si="0"/>
        <v>2.8235309669838869E-3</v>
      </c>
      <c r="G38" s="10">
        <f t="shared" si="1"/>
        <v>3.733345686369352E-2</v>
      </c>
      <c r="H38" s="11">
        <f>IF(ISNA(MATCH(A38,'15N'!$B:$B,0)),"",INDEX('15N'!$A:$Y,MATCH(A38,'15N'!$B:$B,0),MATCH(Summary!$H$1,'15N'!$A$1:$Y$1,0)))</f>
        <v>4.1721011278011702</v>
      </c>
      <c r="I38" s="11">
        <f>IF(ISNA(MATCH(A38,'13C'!$B:$B,0)),"",INDEX('13C'!$A:$Z,MATCH(A38,'13C'!$B:$B,0),MATCH(Summary!$I$1,'13C'!$A$1:$Z$1,0)))</f>
        <v>-25.011286331397514</v>
      </c>
    </row>
    <row r="39" spans="1:9" x14ac:dyDescent="0.2">
      <c r="A39">
        <v>27858</v>
      </c>
      <c r="B39" t="s">
        <v>140</v>
      </c>
      <c r="C39" s="10">
        <f>IF(ISNA(MATCH(A39,'Elemental analysis'!$Q$5:$Q$139,0)),"",INDEX('Elemental analysis'!$Q$5:$W$139,MATCH(Summary!$A39,'Elemental analysis'!$Q$5:$Q$139,0),MATCH(Summary!C$1,'Elemental analysis'!$Q$5:$W$5,0)))</f>
        <v>2.0016086209349644E-2</v>
      </c>
      <c r="D39" s="10">
        <f>IF(ISNA(MATCH(A39,'Elemental analysis'!$Y$5:$Y$139,0)),"",INDEX('Elemental analysis'!$Y$5:$AE$139,MATCH(Summary!$A39,'Elemental analysis'!$Y$5:$Y$139,0),MATCH(Summary!D$1,'Elemental analysis'!$Y$5:$AE$5,0)))</f>
        <v>0.30782509762354149</v>
      </c>
      <c r="E39" s="10">
        <f>IF( IF(ISNA(MATCH(A39,'Elemental analysis'!$Y$5:$Y$139,0)),"",INDEX('Elemental analysis'!$Y$5:$AE$139,MATCH(Summary!$A39,'Elemental analysis'!$Y$5:$Y$139,0),MATCH(Summary!E$1,'Elemental analysis'!$Y$5:$AE$5,0)))=0,"",IF(ISNA(MATCH(A39,'Elemental analysis'!$Y$5:$Y$139,0)),"",INDEX('Elemental analysis'!$Y$5:$AE$139,MATCH(Summary!$A39,'Elemental analysis'!$Y$5:$Y$139,0),MATCH(Summary!E$1,'Elemental analysis'!$Y$5:$AE$5,0))))</f>
        <v>5.77</v>
      </c>
      <c r="F39" s="10">
        <f t="shared" si="0"/>
        <v>3.4689924106325208E-3</v>
      </c>
      <c r="G39" s="10">
        <f t="shared" si="1"/>
        <v>5.3349237023144112E-2</v>
      </c>
      <c r="H39" s="11">
        <f>IF(ISNA(MATCH(A39,'15N'!$B:$B,0)),"",INDEX('15N'!$A:$Y,MATCH(A39,'15N'!$B:$B,0),MATCH(Summary!$H$1,'15N'!$A$1:$Y$1,0)))</f>
        <v>3.4403905504379964</v>
      </c>
      <c r="I39" s="11">
        <f>IF(ISNA(MATCH(A39,'13C'!$B:$B,0)),"",INDEX('13C'!$A:$Z,MATCH(A39,'13C'!$B:$B,0),MATCH(Summary!$I$1,'13C'!$A$1:$Z$1,0)))</f>
        <v>-26.150313950856116</v>
      </c>
    </row>
    <row r="40" spans="1:9" x14ac:dyDescent="0.2">
      <c r="A40">
        <v>27859</v>
      </c>
      <c r="B40" t="s">
        <v>141</v>
      </c>
      <c r="C40" s="10">
        <f>IF(ISNA(MATCH(A40,'Elemental analysis'!$Q$5:$Q$139,0)),"",INDEX('Elemental analysis'!$Q$5:$W$139,MATCH(Summary!$A40,'Elemental analysis'!$Q$5:$Q$139,0),MATCH(Summary!C$1,'Elemental analysis'!$Q$5:$W$5,0)))</f>
        <v>1.3129869279693424E-2</v>
      </c>
      <c r="D40" s="10">
        <f>IF(ISNA(MATCH(A40,'Elemental analysis'!$Y$5:$Y$139,0)),"",INDEX('Elemental analysis'!$Y$5:$AE$139,MATCH(Summary!$A40,'Elemental analysis'!$Y$5:$Y$139,0),MATCH(Summary!D$1,'Elemental analysis'!$Y$5:$AE$5,0)))</f>
        <v>0.25824013739749563</v>
      </c>
      <c r="E40" s="10">
        <f>IF( IF(ISNA(MATCH(A40,'Elemental analysis'!$Y$5:$Y$139,0)),"",INDEX('Elemental analysis'!$Y$5:$AE$139,MATCH(Summary!$A40,'Elemental analysis'!$Y$5:$Y$139,0),MATCH(Summary!E$1,'Elemental analysis'!$Y$5:$AE$5,0)))=0,"",IF(ISNA(MATCH(A40,'Elemental analysis'!$Y$5:$Y$139,0)),"",INDEX('Elemental analysis'!$Y$5:$AE$139,MATCH(Summary!$A40,'Elemental analysis'!$Y$5:$Y$139,0),MATCH(Summary!E$1,'Elemental analysis'!$Y$5:$AE$5,0))))</f>
        <v>5.9779999999999998</v>
      </c>
      <c r="F40" s="10">
        <f t="shared" si="0"/>
        <v>2.1963648845254977E-3</v>
      </c>
      <c r="G40" s="10">
        <f t="shared" si="1"/>
        <v>4.3198417095599809E-2</v>
      </c>
      <c r="H40" s="11">
        <f>IF(ISNA(MATCH(A40,'15N'!$B:$B,0)),"",INDEX('15N'!$A:$Y,MATCH(A40,'15N'!$B:$B,0),MATCH(Summary!$H$1,'15N'!$A$1:$Y$1,0)))</f>
        <v>3.9500773893697669</v>
      </c>
      <c r="I40" s="11">
        <f>IF(ISNA(MATCH(A40,'13C'!$B:$B,0)),"",INDEX('13C'!$A:$Z,MATCH(A40,'13C'!$B:$B,0),MATCH(Summary!$I$1,'13C'!$A$1:$Z$1,0)))</f>
        <v>-25.922328686321634</v>
      </c>
    </row>
    <row r="41" spans="1:9" x14ac:dyDescent="0.2">
      <c r="A41">
        <v>27860</v>
      </c>
      <c r="B41" t="s">
        <v>142</v>
      </c>
      <c r="C41" s="10">
        <f>IF(ISNA(MATCH(A41,'Elemental analysis'!$Q$5:$Q$139,0)),"",INDEX('Elemental analysis'!$Q$5:$W$139,MATCH(Summary!$A41,'Elemental analysis'!$Q$5:$Q$139,0),MATCH(Summary!C$1,'Elemental analysis'!$Q$5:$W$5,0)))</f>
        <v>5.1567204393946998E-2</v>
      </c>
      <c r="D41" s="10">
        <f>IF(ISNA(MATCH(A41,'Elemental analysis'!$Y$5:$Y$139,0)),"",INDEX('Elemental analysis'!$Y$5:$AE$139,MATCH(Summary!$A41,'Elemental analysis'!$Y$5:$Y$139,0),MATCH(Summary!D$1,'Elemental analysis'!$Y$5:$AE$5,0)))</f>
        <v>0.89839355928647635</v>
      </c>
      <c r="E41" s="10">
        <f>IF( IF(ISNA(MATCH(A41,'Elemental analysis'!$Y$5:$Y$139,0)),"",INDEX('Elemental analysis'!$Y$5:$AE$139,MATCH(Summary!$A41,'Elemental analysis'!$Y$5:$Y$139,0),MATCH(Summary!E$1,'Elemental analysis'!$Y$5:$AE$5,0)))=0,"",IF(ISNA(MATCH(A41,'Elemental analysis'!$Y$5:$Y$139,0)),"",INDEX('Elemental analysis'!$Y$5:$AE$139,MATCH(Summary!$A41,'Elemental analysis'!$Y$5:$Y$139,0),MATCH(Summary!E$1,'Elemental analysis'!$Y$5:$AE$5,0))))</f>
        <v>5.75</v>
      </c>
      <c r="F41" s="10">
        <f t="shared" si="0"/>
        <v>8.9682094598168699E-3</v>
      </c>
      <c r="G41" s="10">
        <f t="shared" si="1"/>
        <v>0.1562423581367785</v>
      </c>
      <c r="H41" s="11">
        <f>IF(ISNA(MATCH(A41,'15N'!$B:$B,0)),"",INDEX('15N'!$A:$Y,MATCH(A41,'15N'!$B:$B,0),MATCH(Summary!$H$1,'15N'!$A$1:$Y$1,0)))</f>
        <v>1.8445524321124367</v>
      </c>
      <c r="I41" s="11">
        <f>IF(ISNA(MATCH(A41,'13C'!$B:$B,0)),"",INDEX('13C'!$A:$Z,MATCH(A41,'13C'!$B:$B,0),MATCH(Summary!$I$1,'13C'!$A$1:$Z$1,0)))</f>
        <v>-25.643410085435335</v>
      </c>
    </row>
    <row r="42" spans="1:9" x14ac:dyDescent="0.2">
      <c r="A42">
        <v>27861</v>
      </c>
      <c r="B42" t="s">
        <v>143</v>
      </c>
      <c r="C42" s="10">
        <f>IF(ISNA(MATCH(A42,'Elemental analysis'!$Q$5:$Q$139,0)),"",INDEX('Elemental analysis'!$Q$5:$W$139,MATCH(Summary!$A42,'Elemental analysis'!$Q$5:$Q$139,0),MATCH(Summary!C$1,'Elemental analysis'!$Q$5:$W$5,0)))</f>
        <v>4.0266049961343225E-2</v>
      </c>
      <c r="D42" s="10">
        <f>IF(ISNA(MATCH(A42,'Elemental analysis'!$Y$5:$Y$139,0)),"",INDEX('Elemental analysis'!$Y$5:$AE$139,MATCH(Summary!$A42,'Elemental analysis'!$Y$5:$Y$139,0),MATCH(Summary!D$1,'Elemental analysis'!$Y$5:$AE$5,0)))</f>
        <v>0.58563576845128795</v>
      </c>
      <c r="E42" s="10">
        <f>IF( IF(ISNA(MATCH(A42,'Elemental analysis'!$Y$5:$Y$139,0)),"",INDEX('Elemental analysis'!$Y$5:$AE$139,MATCH(Summary!$A42,'Elemental analysis'!$Y$5:$Y$139,0),MATCH(Summary!E$1,'Elemental analysis'!$Y$5:$AE$5,0)))=0,"",IF(ISNA(MATCH(A42,'Elemental analysis'!$Y$5:$Y$139,0)),"",INDEX('Elemental analysis'!$Y$5:$AE$139,MATCH(Summary!$A42,'Elemental analysis'!$Y$5:$Y$139,0),MATCH(Summary!E$1,'Elemental analysis'!$Y$5:$AE$5,0))))</f>
        <v>5.6180000000000003</v>
      </c>
      <c r="F42" s="10">
        <f t="shared" si="0"/>
        <v>7.1673282238061981E-3</v>
      </c>
      <c r="G42" s="10">
        <f t="shared" si="1"/>
        <v>0.10424274981333</v>
      </c>
      <c r="H42" s="11">
        <f>IF(ISNA(MATCH(A42,'15N'!$B:$B,0)),"",INDEX('15N'!$A:$Y,MATCH(A42,'15N'!$B:$B,0),MATCH(Summary!$H$1,'15N'!$A$1:$Y$1,0)))</f>
        <v>3.5339291728364515</v>
      </c>
      <c r="I42" s="11">
        <f>IF(ISNA(MATCH(A42,'13C'!$B:$B,0)),"",INDEX('13C'!$A:$Z,MATCH(A42,'13C'!$B:$B,0),MATCH(Summary!$I$1,'13C'!$A$1:$Z$1,0)))</f>
        <v>-24.991662750197861</v>
      </c>
    </row>
    <row r="43" spans="1:9" x14ac:dyDescent="0.2">
      <c r="A43">
        <v>27862</v>
      </c>
      <c r="B43" t="s">
        <v>144</v>
      </c>
      <c r="C43" s="10">
        <f>IF(ISNA(MATCH(A43,'Elemental analysis'!$Q$5:$Q$139,0)),"",INDEX('Elemental analysis'!$Q$5:$W$139,MATCH(Summary!$A43,'Elemental analysis'!$Q$5:$Q$139,0),MATCH(Summary!C$1,'Elemental analysis'!$Q$5:$W$5,0)))</f>
        <v>2.350509214415054E-2</v>
      </c>
      <c r="D43" s="10">
        <f>IF(ISNA(MATCH(A43,'Elemental analysis'!$Y$5:$Y$139,0)),"",INDEX('Elemental analysis'!$Y$5:$AE$139,MATCH(Summary!$A43,'Elemental analysis'!$Y$5:$Y$139,0),MATCH(Summary!D$1,'Elemental analysis'!$Y$5:$AE$5,0)))</f>
        <v>0.36369595160756185</v>
      </c>
      <c r="E43" s="10">
        <f>IF( IF(ISNA(MATCH(A43,'Elemental analysis'!$Y$5:$Y$139,0)),"",INDEX('Elemental analysis'!$Y$5:$AE$139,MATCH(Summary!$A43,'Elemental analysis'!$Y$5:$Y$139,0),MATCH(Summary!E$1,'Elemental analysis'!$Y$5:$AE$5,0)))=0,"",IF(ISNA(MATCH(A43,'Elemental analysis'!$Y$5:$Y$139,0)),"",INDEX('Elemental analysis'!$Y$5:$AE$139,MATCH(Summary!$A43,'Elemental analysis'!$Y$5:$Y$139,0),MATCH(Summary!E$1,'Elemental analysis'!$Y$5:$AE$5,0))))</f>
        <v>5.5990000000000002</v>
      </c>
      <c r="F43" s="10">
        <f t="shared" si="0"/>
        <v>4.1980875413735559E-3</v>
      </c>
      <c r="G43" s="10">
        <f t="shared" si="1"/>
        <v>6.4957305162986576E-2</v>
      </c>
      <c r="H43" s="11">
        <f>IF(ISNA(MATCH(A43,'15N'!$B:$B,0)),"",INDEX('15N'!$A:$Y,MATCH(A43,'15N'!$B:$B,0),MATCH(Summary!$H$1,'15N'!$A$1:$Y$1,0)))</f>
        <v>2.3004745740166754</v>
      </c>
      <c r="I43" s="11">
        <f>IF(ISNA(MATCH(A43,'13C'!$B:$B,0)),"",INDEX('13C'!$A:$Z,MATCH(A43,'13C'!$B:$B,0),MATCH(Summary!$I$1,'13C'!$A$1:$Z$1,0)))</f>
        <v>-25.660083075064335</v>
      </c>
    </row>
    <row r="44" spans="1:9" x14ac:dyDescent="0.2">
      <c r="A44">
        <v>27863</v>
      </c>
      <c r="B44" t="s">
        <v>145</v>
      </c>
      <c r="C44" s="10">
        <f>IF(ISNA(MATCH(A44,'Elemental analysis'!$Q$5:$Q$139,0)),"",INDEX('Elemental analysis'!$Q$5:$W$139,MATCH(Summary!$A44,'Elemental analysis'!$Q$5:$Q$139,0),MATCH(Summary!C$1,'Elemental analysis'!$Q$5:$W$5,0)))</f>
        <v>3.8294454294686121E-2</v>
      </c>
      <c r="D44" s="10">
        <f>IF(ISNA(MATCH(A44,'Elemental analysis'!$Y$5:$Y$139,0)),"",INDEX('Elemental analysis'!$Y$5:$AE$139,MATCH(Summary!$A44,'Elemental analysis'!$Y$5:$Y$139,0),MATCH(Summary!D$1,'Elemental analysis'!$Y$5:$AE$5,0)))</f>
        <v>0.59319291522137974</v>
      </c>
      <c r="E44" s="10">
        <f>IF( IF(ISNA(MATCH(A44,'Elemental analysis'!$Y$5:$Y$139,0)),"",INDEX('Elemental analysis'!$Y$5:$AE$139,MATCH(Summary!$A44,'Elemental analysis'!$Y$5:$Y$139,0),MATCH(Summary!E$1,'Elemental analysis'!$Y$5:$AE$5,0)))=0,"",IF(ISNA(MATCH(A44,'Elemental analysis'!$Y$5:$Y$139,0)),"",INDEX('Elemental analysis'!$Y$5:$AE$139,MATCH(Summary!$A44,'Elemental analysis'!$Y$5:$Y$139,0),MATCH(Summary!E$1,'Elemental analysis'!$Y$5:$AE$5,0))))</f>
        <v>5.8639999999999999</v>
      </c>
      <c r="F44" s="10">
        <f t="shared" si="0"/>
        <v>6.5304321784935403E-3</v>
      </c>
      <c r="G44" s="10">
        <f t="shared" si="1"/>
        <v>0.10115840982629259</v>
      </c>
      <c r="H44" s="11">
        <f>IF(ISNA(MATCH(A44,'15N'!$B:$B,0)),"",INDEX('15N'!$A:$Y,MATCH(A44,'15N'!$B:$B,0),MATCH(Summary!$H$1,'15N'!$A$1:$Y$1,0)))</f>
        <v>4.023692454208458</v>
      </c>
      <c r="I44" s="11">
        <f>IF(ISNA(MATCH(A44,'13C'!$B:$B,0)),"",INDEX('13C'!$A:$Z,MATCH(A44,'13C'!$B:$B,0),MATCH(Summary!$I$1,'13C'!$A$1:$Z$1,0)))</f>
        <v>-25.632767213021225</v>
      </c>
    </row>
    <row r="45" spans="1:9" x14ac:dyDescent="0.2">
      <c r="A45">
        <v>27864</v>
      </c>
      <c r="B45" t="s">
        <v>146</v>
      </c>
      <c r="C45" s="10">
        <f>IF(ISNA(MATCH(A45,'Elemental analysis'!$Q$5:$Q$139,0)),"",INDEX('Elemental analysis'!$Q$5:$W$139,MATCH(Summary!$A45,'Elemental analysis'!$Q$5:$Q$139,0),MATCH(Summary!C$1,'Elemental analysis'!$Q$5:$W$5,0)))</f>
        <v>2.1869545779381144E-2</v>
      </c>
      <c r="D45" s="10">
        <f>IF(ISNA(MATCH(A45,'Elemental analysis'!$Y$5:$Y$139,0)),"",INDEX('Elemental analysis'!$Y$5:$AE$139,MATCH(Summary!$A45,'Elemental analysis'!$Y$5:$Y$139,0),MATCH(Summary!D$1,'Elemental analysis'!$Y$5:$AE$5,0)))</f>
        <v>0.36014143923148129</v>
      </c>
      <c r="E45" s="10">
        <f>IF( IF(ISNA(MATCH(A45,'Elemental analysis'!$Y$5:$Y$139,0)),"",INDEX('Elemental analysis'!$Y$5:$AE$139,MATCH(Summary!$A45,'Elemental analysis'!$Y$5:$Y$139,0),MATCH(Summary!E$1,'Elemental analysis'!$Y$5:$AE$5,0)))=0,"",IF(ISNA(MATCH(A45,'Elemental analysis'!$Y$5:$Y$139,0)),"",INDEX('Elemental analysis'!$Y$5:$AE$139,MATCH(Summary!$A45,'Elemental analysis'!$Y$5:$Y$139,0),MATCH(Summary!E$1,'Elemental analysis'!$Y$5:$AE$5,0))))</f>
        <v>5.7729999999999997</v>
      </c>
      <c r="F45" s="10">
        <f t="shared" si="0"/>
        <v>3.7882462808559057E-3</v>
      </c>
      <c r="G45" s="10">
        <f t="shared" si="1"/>
        <v>6.2383758744410413E-2</v>
      </c>
      <c r="H45" s="11">
        <f>IF(ISNA(MATCH(A45,'15N'!$B:$B,0)),"",INDEX('15N'!$A:$Y,MATCH(A45,'15N'!$B:$B,0),MATCH(Summary!$H$1,'15N'!$A$1:$Y$1,0)))</f>
        <v>5.1475996742494772</v>
      </c>
      <c r="I45" s="11">
        <f>IF(ISNA(MATCH(A45,'13C'!$B:$B,0)),"",INDEX('13C'!$A:$Z,MATCH(A45,'13C'!$B:$B,0),MATCH(Summary!$I$1,'13C'!$A$1:$Z$1,0)))</f>
        <v>-25.516829547100997</v>
      </c>
    </row>
    <row r="46" spans="1:9" x14ac:dyDescent="0.2">
      <c r="A46">
        <v>27865</v>
      </c>
      <c r="B46" t="s">
        <v>147</v>
      </c>
      <c r="C46" s="10">
        <f>IF(ISNA(MATCH(A46,'Elemental analysis'!$Q$5:$Q$139,0)),"",INDEX('Elemental analysis'!$Q$5:$W$139,MATCH(Summary!$A46,'Elemental analysis'!$Q$5:$Q$139,0),MATCH(Summary!C$1,'Elemental analysis'!$Q$5:$W$5,0)))</f>
        <v>1.5969924899922567E-2</v>
      </c>
      <c r="D46" s="10">
        <f>IF(ISNA(MATCH(A46,'Elemental analysis'!$Y$5:$Y$139,0)),"",INDEX('Elemental analysis'!$Y$5:$AE$139,MATCH(Summary!$A46,'Elemental analysis'!$Y$5:$Y$139,0),MATCH(Summary!D$1,'Elemental analysis'!$Y$5:$AE$5,0)))</f>
        <v>0.23595162664299121</v>
      </c>
      <c r="E46" s="10">
        <f>IF( IF(ISNA(MATCH(A46,'Elemental analysis'!$Y$5:$Y$139,0)),"",INDEX('Elemental analysis'!$Y$5:$AE$139,MATCH(Summary!$A46,'Elemental analysis'!$Y$5:$Y$139,0),MATCH(Summary!E$1,'Elemental analysis'!$Y$5:$AE$5,0)))=0,"",IF(ISNA(MATCH(A46,'Elemental analysis'!$Y$5:$Y$139,0)),"",INDEX('Elemental analysis'!$Y$5:$AE$139,MATCH(Summary!$A46,'Elemental analysis'!$Y$5:$Y$139,0),MATCH(Summary!E$1,'Elemental analysis'!$Y$5:$AE$5,0))))</f>
        <v>5.7290000000000001</v>
      </c>
      <c r="F46" s="10">
        <f t="shared" si="0"/>
        <v>2.7875588933361085E-3</v>
      </c>
      <c r="G46" s="10">
        <f t="shared" si="1"/>
        <v>4.1185482046254357E-2</v>
      </c>
      <c r="H46" s="11">
        <f>IF(ISNA(MATCH(A46,'15N'!$B:$B,0)),"",INDEX('15N'!$A:$Y,MATCH(A46,'15N'!$B:$B,0),MATCH(Summary!$H$1,'15N'!$A$1:$Y$1,0)))</f>
        <v>3.9310842797265195</v>
      </c>
      <c r="I46" s="11">
        <f>IF(ISNA(MATCH(A46,'13C'!$B:$B,0)),"",INDEX('13C'!$A:$Z,MATCH(A46,'13C'!$B:$B,0),MATCH(Summary!$I$1,'13C'!$A$1:$Z$1,0)))</f>
        <v>-25.568967659882333</v>
      </c>
    </row>
    <row r="47" spans="1:9" x14ac:dyDescent="0.2">
      <c r="A47">
        <v>27866</v>
      </c>
      <c r="B47" t="s">
        <v>148</v>
      </c>
      <c r="C47" s="10">
        <f>IF(ISNA(MATCH(A47,'Elemental analysis'!$Q$5:$Q$139,0)),"",INDEX('Elemental analysis'!$Q$5:$W$139,MATCH(Summary!$A47,'Elemental analysis'!$Q$5:$Q$139,0),MATCH(Summary!C$1,'Elemental analysis'!$Q$5:$W$5,0)))</f>
        <v>3.6607822050294836E-2</v>
      </c>
      <c r="D47" s="10">
        <f>IF(ISNA(MATCH(A47,'Elemental analysis'!$Y$5:$Y$139,0)),"",INDEX('Elemental analysis'!$Y$5:$AE$139,MATCH(Summary!$A47,'Elemental analysis'!$Y$5:$Y$139,0),MATCH(Summary!D$1,'Elemental analysis'!$Y$5:$AE$5,0)))</f>
        <v>0.58018275409305675</v>
      </c>
      <c r="E47" s="10">
        <f>IF( IF(ISNA(MATCH(A47,'Elemental analysis'!$Y$5:$Y$139,0)),"",INDEX('Elemental analysis'!$Y$5:$AE$139,MATCH(Summary!$A47,'Elemental analysis'!$Y$5:$Y$139,0),MATCH(Summary!E$1,'Elemental analysis'!$Y$5:$AE$5,0)))=0,"",IF(ISNA(MATCH(A47,'Elemental analysis'!$Y$5:$Y$139,0)),"",INDEX('Elemental analysis'!$Y$5:$AE$139,MATCH(Summary!$A47,'Elemental analysis'!$Y$5:$Y$139,0),MATCH(Summary!E$1,'Elemental analysis'!$Y$5:$AE$5,0))))</f>
        <v>5.91</v>
      </c>
      <c r="F47" s="10">
        <f t="shared" si="0"/>
        <v>6.1942169289838974E-3</v>
      </c>
      <c r="G47" s="10">
        <f t="shared" si="1"/>
        <v>9.8169670743326012E-2</v>
      </c>
      <c r="H47" s="11">
        <f>IF(ISNA(MATCH(A47,'15N'!$B:$B,0)),"",INDEX('15N'!$A:$Y,MATCH(A47,'15N'!$B:$B,0),MATCH(Summary!$H$1,'15N'!$A$1:$Y$1,0)))</f>
        <v>2.9365570048692007</v>
      </c>
      <c r="I47" s="11">
        <f>IF(ISNA(MATCH(A47,'13C'!$B:$B,0)),"",INDEX('13C'!$A:$Z,MATCH(A47,'13C'!$B:$B,0),MATCH(Summary!$I$1,'13C'!$A$1:$Z$1,0)))</f>
        <v>-25.656758063413349</v>
      </c>
    </row>
    <row r="48" spans="1:9" x14ac:dyDescent="0.2">
      <c r="A48">
        <v>27872</v>
      </c>
      <c r="B48" t="s">
        <v>149</v>
      </c>
      <c r="C48" s="10">
        <f>IF(ISNA(MATCH(A48,'Elemental analysis'!$Q$5:$Q$139,0)),"",INDEX('Elemental analysis'!$Q$5:$W$139,MATCH(Summary!$A48,'Elemental analysis'!$Q$5:$Q$139,0),MATCH(Summary!C$1,'Elemental analysis'!$Q$5:$W$5,0)))</f>
        <v>1.0275445755820624E-2</v>
      </c>
      <c r="D48" s="10">
        <f>IF(ISNA(MATCH(A48,'Elemental analysis'!$Y$5:$Y$139,0)),"",INDEX('Elemental analysis'!$Y$5:$AE$139,MATCH(Summary!$A48,'Elemental analysis'!$Y$5:$Y$139,0),MATCH(Summary!D$1,'Elemental analysis'!$Y$5:$AE$5,0)))</f>
        <v>0.14459870889660972</v>
      </c>
      <c r="E48" s="10">
        <f>IF( IF(ISNA(MATCH(A48,'Elemental analysis'!$Y$5:$Y$139,0)),"",INDEX('Elemental analysis'!$Y$5:$AE$139,MATCH(Summary!$A48,'Elemental analysis'!$Y$5:$Y$139,0),MATCH(Summary!E$1,'Elemental analysis'!$Y$5:$AE$5,0)))=0,"",IF(ISNA(MATCH(A48,'Elemental analysis'!$Y$5:$Y$139,0)),"",INDEX('Elemental analysis'!$Y$5:$AE$139,MATCH(Summary!$A48,'Elemental analysis'!$Y$5:$Y$139,0),MATCH(Summary!E$1,'Elemental analysis'!$Y$5:$AE$5,0))))</f>
        <v>5.9589999999999996</v>
      </c>
      <c r="F48" s="10">
        <f t="shared" si="0"/>
        <v>1.7243574015473444E-3</v>
      </c>
      <c r="G48" s="10">
        <f t="shared" si="1"/>
        <v>2.4265599747710979E-2</v>
      </c>
      <c r="H48" s="11">
        <f>IF(ISNA(MATCH(A48,'15N'!$B:$B,0)),"",INDEX('15N'!$A:$Y,MATCH(A48,'15N'!$B:$B,0),MATCH(Summary!$H$1,'15N'!$A$1:$Y$1,0)))</f>
        <v>1.4043738988073073</v>
      </c>
      <c r="I48" s="11">
        <f>IF(ISNA(MATCH(A48,'13C'!$B:$B,0)),"",INDEX('13C'!$A:$Z,MATCH(A48,'13C'!$B:$B,0),MATCH(Summary!$I$1,'13C'!$A$1:$Z$1,0)))</f>
        <v>-24.715629588483466</v>
      </c>
    </row>
    <row r="49" spans="1:9" x14ac:dyDescent="0.2">
      <c r="A49">
        <v>27873</v>
      </c>
      <c r="B49" t="s">
        <v>150</v>
      </c>
      <c r="C49" s="10">
        <f>IF(ISNA(MATCH(A49,'Elemental analysis'!$Q$5:$Q$139,0)),"",INDEX('Elemental analysis'!$Q$5:$W$139,MATCH(Summary!$A49,'Elemental analysis'!$Q$5:$Q$139,0),MATCH(Summary!C$1,'Elemental analysis'!$Q$5:$W$5,0)))</f>
        <v>2.4427830844820829E-2</v>
      </c>
      <c r="D49" s="10">
        <f>IF(ISNA(MATCH(A49,'Elemental analysis'!$Y$5:$Y$139,0)),"",INDEX('Elemental analysis'!$Y$5:$AE$139,MATCH(Summary!$A49,'Elemental analysis'!$Y$5:$Y$139,0),MATCH(Summary!D$1,'Elemental analysis'!$Y$5:$AE$5,0)))</f>
        <v>0.34255683879571697</v>
      </c>
      <c r="E49" s="10">
        <f>IF( IF(ISNA(MATCH(A49,'Elemental analysis'!$Y$5:$Y$139,0)),"",INDEX('Elemental analysis'!$Y$5:$AE$139,MATCH(Summary!$A49,'Elemental analysis'!$Y$5:$Y$139,0),MATCH(Summary!E$1,'Elemental analysis'!$Y$5:$AE$5,0)))=0,"",IF(ISNA(MATCH(A49,'Elemental analysis'!$Y$5:$Y$139,0)),"",INDEX('Elemental analysis'!$Y$5:$AE$139,MATCH(Summary!$A49,'Elemental analysis'!$Y$5:$Y$139,0),MATCH(Summary!E$1,'Elemental analysis'!$Y$5:$AE$5,0))))</f>
        <v>5.6740000000000004</v>
      </c>
      <c r="F49" s="10">
        <f t="shared" si="0"/>
        <v>4.3052222144555567E-3</v>
      </c>
      <c r="G49" s="10">
        <f t="shared" si="1"/>
        <v>6.0373076981973375E-2</v>
      </c>
      <c r="H49" s="11">
        <f>IF(ISNA(MATCH(A49,'15N'!$B:$B,0)),"",INDEX('15N'!$A:$Y,MATCH(A49,'15N'!$B:$B,0),MATCH(Summary!$H$1,'15N'!$A$1:$Y$1,0)))</f>
        <v>3.3147600207522601</v>
      </c>
      <c r="I49" s="11">
        <f>IF(ISNA(MATCH(A49,'13C'!$B:$B,0)),"",INDEX('13C'!$A:$Z,MATCH(A49,'13C'!$B:$B,0),MATCH(Summary!$I$1,'13C'!$A$1:$Z$1,0)))</f>
        <v>-25.336178580840738</v>
      </c>
    </row>
    <row r="50" spans="1:9" x14ac:dyDescent="0.2">
      <c r="A50">
        <v>27874</v>
      </c>
      <c r="B50" t="s">
        <v>151</v>
      </c>
      <c r="C50" s="10">
        <f>IF(ISNA(MATCH(A50,'Elemental analysis'!$Q$5:$Q$139,0)),"",INDEX('Elemental analysis'!$Q$5:$W$139,MATCH(Summary!$A50,'Elemental analysis'!$Q$5:$Q$139,0),MATCH(Summary!C$1,'Elemental analysis'!$Q$5:$W$5,0)))</f>
        <v>1.5283458392503495E-2</v>
      </c>
      <c r="D50" s="10">
        <f>IF(ISNA(MATCH(A50,'Elemental analysis'!$Y$5:$Y$139,0)),"",INDEX('Elemental analysis'!$Y$5:$AE$139,MATCH(Summary!$A50,'Elemental analysis'!$Y$5:$Y$139,0),MATCH(Summary!D$1,'Elemental analysis'!$Y$5:$AE$5,0)))</f>
        <v>0.25213885406974956</v>
      </c>
      <c r="E50" s="10">
        <f>IF( IF(ISNA(MATCH(A50,'Elemental analysis'!$Y$5:$Y$139,0)),"",INDEX('Elemental analysis'!$Y$5:$AE$139,MATCH(Summary!$A50,'Elemental analysis'!$Y$5:$Y$139,0),MATCH(Summary!E$1,'Elemental analysis'!$Y$5:$AE$5,0)))=0,"",IF(ISNA(MATCH(A50,'Elemental analysis'!$Y$5:$Y$139,0)),"",INDEX('Elemental analysis'!$Y$5:$AE$139,MATCH(Summary!$A50,'Elemental analysis'!$Y$5:$Y$139,0),MATCH(Summary!E$1,'Elemental analysis'!$Y$5:$AE$5,0))))</f>
        <v>5.8410000000000002</v>
      </c>
      <c r="F50" s="10">
        <f t="shared" si="0"/>
        <v>2.6165825017126338E-3</v>
      </c>
      <c r="G50" s="10">
        <f t="shared" si="1"/>
        <v>4.316706969179071E-2</v>
      </c>
      <c r="H50" s="11">
        <f>IF(ISNA(MATCH(A50,'15N'!$B:$B,0)),"",INDEX('15N'!$A:$Y,MATCH(A50,'15N'!$B:$B,0),MATCH(Summary!$H$1,'15N'!$A$1:$Y$1,0)))</f>
        <v>2.6338158485482381</v>
      </c>
      <c r="I50" s="11">
        <f>IF(ISNA(MATCH(A50,'13C'!$B:$B,0)),"",INDEX('13C'!$A:$Z,MATCH(A50,'13C'!$B:$B,0),MATCH(Summary!$I$1,'13C'!$A$1:$Z$1,0)))</f>
        <v>-25.994406291539576</v>
      </c>
    </row>
    <row r="51" spans="1:9" x14ac:dyDescent="0.2">
      <c r="A51">
        <v>27875</v>
      </c>
      <c r="B51" t="s">
        <v>152</v>
      </c>
      <c r="C51" s="10">
        <f>IF(ISNA(MATCH(A51,'Elemental analysis'!$Q$5:$Q$139,0)),"",INDEX('Elemental analysis'!$Q$5:$W$139,MATCH(Summary!$A51,'Elemental analysis'!$Q$5:$Q$139,0),MATCH(Summary!C$1,'Elemental analysis'!$Q$5:$W$5,0)))</f>
        <v>2.1025830548750953E-2</v>
      </c>
      <c r="D51" s="10">
        <f>IF(ISNA(MATCH(A51,'Elemental analysis'!$Y$5:$Y$139,0)),"",INDEX('Elemental analysis'!$Y$5:$AE$139,MATCH(Summary!$A51,'Elemental analysis'!$Y$5:$Y$139,0),MATCH(Summary!D$1,'Elemental analysis'!$Y$5:$AE$5,0)))</f>
        <v>0.32011814166810598</v>
      </c>
      <c r="E51" s="10">
        <f>IF( IF(ISNA(MATCH(A51,'Elemental analysis'!$Y$5:$Y$139,0)),"",INDEX('Elemental analysis'!$Y$5:$AE$139,MATCH(Summary!$A51,'Elemental analysis'!$Y$5:$Y$139,0),MATCH(Summary!E$1,'Elemental analysis'!$Y$5:$AE$5,0)))=0,"",IF(ISNA(MATCH(A51,'Elemental analysis'!$Y$5:$Y$139,0)),"",INDEX('Elemental analysis'!$Y$5:$AE$139,MATCH(Summary!$A51,'Elemental analysis'!$Y$5:$Y$139,0),MATCH(Summary!E$1,'Elemental analysis'!$Y$5:$AE$5,0))))</f>
        <v>5.7350000000000003</v>
      </c>
      <c r="F51" s="10">
        <f t="shared" si="0"/>
        <v>3.6662302613340806E-3</v>
      </c>
      <c r="G51" s="10">
        <f t="shared" si="1"/>
        <v>5.5818333333584304E-2</v>
      </c>
      <c r="H51" s="11">
        <f>IF(ISNA(MATCH(A51,'15N'!$B:$B,0)),"",INDEX('15N'!$A:$Y,MATCH(A51,'15N'!$B:$B,0),MATCH(Summary!$H$1,'15N'!$A$1:$Y$1,0)))</f>
        <v>3.9090523156567087</v>
      </c>
      <c r="I51" s="11">
        <f>IF(ISNA(MATCH(A51,'13C'!$B:$B,0)),"",INDEX('13C'!$A:$Z,MATCH(A51,'13C'!$B:$B,0),MATCH(Summary!$I$1,'13C'!$A$1:$Z$1,0)))</f>
        <v>-26.077102535809445</v>
      </c>
    </row>
    <row r="52" spans="1:9" x14ac:dyDescent="0.2">
      <c r="A52">
        <v>27876</v>
      </c>
      <c r="B52" t="s">
        <v>153</v>
      </c>
      <c r="C52" s="10">
        <f>IF(ISNA(MATCH(A52,'Elemental analysis'!$Q$5:$Q$139,0)),"",INDEX('Elemental analysis'!$Q$5:$W$139,MATCH(Summary!$A52,'Elemental analysis'!$Q$5:$Q$139,0),MATCH(Summary!C$1,'Elemental analysis'!$Q$5:$W$5,0)))</f>
        <v>2.996825413318803E-2</v>
      </c>
      <c r="D52" s="10">
        <f>IF(ISNA(MATCH(A52,'Elemental analysis'!$Y$5:$Y$139,0)),"",INDEX('Elemental analysis'!$Y$5:$AE$139,MATCH(Summary!$A52,'Elemental analysis'!$Y$5:$Y$139,0),MATCH(Summary!D$1,'Elemental analysis'!$Y$5:$AE$5,0)))</f>
        <v>0.41959117660547368</v>
      </c>
      <c r="E52" s="10">
        <f>IF( IF(ISNA(MATCH(A52,'Elemental analysis'!$Y$5:$Y$139,0)),"",INDEX('Elemental analysis'!$Y$5:$AE$139,MATCH(Summary!$A52,'Elemental analysis'!$Y$5:$Y$139,0),MATCH(Summary!E$1,'Elemental analysis'!$Y$5:$AE$5,0)))=0,"",IF(ISNA(MATCH(A52,'Elemental analysis'!$Y$5:$Y$139,0)),"",INDEX('Elemental analysis'!$Y$5:$AE$139,MATCH(Summary!$A52,'Elemental analysis'!$Y$5:$Y$139,0),MATCH(Summary!E$1,'Elemental analysis'!$Y$5:$AE$5,0))))</f>
        <v>5.6230000000000002</v>
      </c>
      <c r="F52" s="10">
        <f t="shared" si="0"/>
        <v>5.3295845870866138E-3</v>
      </c>
      <c r="G52" s="10">
        <f t="shared" si="1"/>
        <v>7.4620518692063612E-2</v>
      </c>
      <c r="H52" s="11">
        <f>IF(ISNA(MATCH(A52,'15N'!$B:$B,0)),"",INDEX('15N'!$A:$Y,MATCH(A52,'15N'!$B:$B,0),MATCH(Summary!$H$1,'15N'!$A$1:$Y$1,0)))</f>
        <v>6.4206761223597368</v>
      </c>
      <c r="I52" s="11">
        <f>IF(ISNA(MATCH(A52,'13C'!$B:$B,0)),"",INDEX('13C'!$A:$Z,MATCH(A52,'13C'!$B:$B,0),MATCH(Summary!$I$1,'13C'!$A$1:$Z$1,0)))</f>
        <v>-25.288864280060466</v>
      </c>
    </row>
    <row r="53" spans="1:9" x14ac:dyDescent="0.2">
      <c r="A53">
        <v>27877</v>
      </c>
      <c r="B53" t="s">
        <v>154</v>
      </c>
      <c r="C53" s="10">
        <f>IF(ISNA(MATCH(A53,'Elemental analysis'!$Q$5:$Q$139,0)),"",INDEX('Elemental analysis'!$Q$5:$W$139,MATCH(Summary!$A53,'Elemental analysis'!$Q$5:$Q$139,0),MATCH(Summary!C$1,'Elemental analysis'!$Q$5:$W$5,0)))</f>
        <v>3.2299845607805605E-2</v>
      </c>
      <c r="D53" s="10">
        <f>IF(ISNA(MATCH(A53,'Elemental analysis'!$Y$5:$Y$139,0)),"",INDEX('Elemental analysis'!$Y$5:$AE$139,MATCH(Summary!$A53,'Elemental analysis'!$Y$5:$Y$139,0),MATCH(Summary!D$1,'Elemental analysis'!$Y$5:$AE$5,0)))</f>
        <v>0.57811548283970715</v>
      </c>
      <c r="E53" s="10">
        <f>IF( IF(ISNA(MATCH(A53,'Elemental analysis'!$Y$5:$Y$139,0)),"",INDEX('Elemental analysis'!$Y$5:$AE$139,MATCH(Summary!$A53,'Elemental analysis'!$Y$5:$Y$139,0),MATCH(Summary!E$1,'Elemental analysis'!$Y$5:$AE$5,0)))=0,"",IF(ISNA(MATCH(A53,'Elemental analysis'!$Y$5:$Y$139,0)),"",INDEX('Elemental analysis'!$Y$5:$AE$139,MATCH(Summary!$A53,'Elemental analysis'!$Y$5:$Y$139,0),MATCH(Summary!E$1,'Elemental analysis'!$Y$5:$AE$5,0))))</f>
        <v>5.8280000000000003</v>
      </c>
      <c r="F53" s="10">
        <f t="shared" si="0"/>
        <v>5.5421835291361706E-3</v>
      </c>
      <c r="G53" s="10">
        <f t="shared" si="1"/>
        <v>9.9196205017108297E-2</v>
      </c>
      <c r="H53" s="11">
        <f>IF(ISNA(MATCH(A53,'15N'!$B:$B,0)),"",INDEX('15N'!$A:$Y,MATCH(A53,'15N'!$B:$B,0),MATCH(Summary!$H$1,'15N'!$A$1:$Y$1,0)))</f>
        <v>3.2599545904087108</v>
      </c>
      <c r="I53" s="11">
        <f>IF(ISNA(MATCH(A53,'13C'!$B:$B,0)),"",INDEX('13C'!$A:$Z,MATCH(A53,'13C'!$B:$B,0),MATCH(Summary!$I$1,'13C'!$A$1:$Z$1,0)))</f>
        <v>-24.178707543557493</v>
      </c>
    </row>
    <row r="54" spans="1:9" x14ac:dyDescent="0.2">
      <c r="A54">
        <v>27879</v>
      </c>
      <c r="B54" t="s">
        <v>155</v>
      </c>
      <c r="C54" s="10">
        <f>IF(ISNA(MATCH(A54,'Elemental analysis'!$Q$5:$Q$139,0)),"",INDEX('Elemental analysis'!$Q$5:$W$139,MATCH(Summary!$A54,'Elemental analysis'!$Q$5:$Q$139,0),MATCH(Summary!C$1,'Elemental analysis'!$Q$5:$W$5,0)))</f>
        <v>2.3624026457645241E-2</v>
      </c>
      <c r="D54" s="10">
        <f>IF(ISNA(MATCH(A54,'Elemental analysis'!$Y$5:$Y$139,0)),"",INDEX('Elemental analysis'!$Y$5:$AE$139,MATCH(Summary!$A54,'Elemental analysis'!$Y$5:$Y$139,0),MATCH(Summary!D$1,'Elemental analysis'!$Y$5:$AE$5,0)))</f>
        <v>0.31468858441074538</v>
      </c>
      <c r="E54" s="10">
        <f>IF( IF(ISNA(MATCH(A54,'Elemental analysis'!$Y$5:$Y$139,0)),"",INDEX('Elemental analysis'!$Y$5:$AE$139,MATCH(Summary!$A54,'Elemental analysis'!$Y$5:$Y$139,0),MATCH(Summary!E$1,'Elemental analysis'!$Y$5:$AE$5,0)))=0,"",IF(ISNA(MATCH(A54,'Elemental analysis'!$Y$5:$Y$139,0)),"",INDEX('Elemental analysis'!$Y$5:$AE$139,MATCH(Summary!$A54,'Elemental analysis'!$Y$5:$Y$139,0),MATCH(Summary!E$1,'Elemental analysis'!$Y$5:$AE$5,0))))</f>
        <v>5.8150000000000004</v>
      </c>
      <c r="F54" s="10">
        <f t="shared" si="0"/>
        <v>4.0626012824841341E-3</v>
      </c>
      <c r="G54" s="10">
        <f t="shared" si="1"/>
        <v>5.4116695513455777E-2</v>
      </c>
      <c r="H54" s="11">
        <f>IF(ISNA(MATCH(A54,'15N'!$B:$B,0)),"",INDEX('15N'!$A:$Y,MATCH(A54,'15N'!$B:$B,0),MATCH(Summary!$H$1,'15N'!$A$1:$Y$1,0)))</f>
        <v>4.6725507929146488</v>
      </c>
      <c r="I54" s="11">
        <f>IF(ISNA(MATCH(A54,'13C'!$B:$B,0)),"",INDEX('13C'!$A:$Z,MATCH(A54,'13C'!$B:$B,0),MATCH(Summary!$I$1,'13C'!$A$1:$Z$1,0)))</f>
        <v>-24.693512023183644</v>
      </c>
    </row>
    <row r="55" spans="1:9" x14ac:dyDescent="0.2">
      <c r="A55">
        <v>27880</v>
      </c>
      <c r="B55" t="s">
        <v>156</v>
      </c>
      <c r="C55" s="10">
        <f>IF(ISNA(MATCH(A55,'Elemental analysis'!$Q$5:$Q$139,0)),"",INDEX('Elemental analysis'!$Q$5:$W$139,MATCH(Summary!$A55,'Elemental analysis'!$Q$5:$Q$139,0),MATCH(Summary!C$1,'Elemental analysis'!$Q$5:$W$5,0)))</f>
        <v>1.4754240608295534E-2</v>
      </c>
      <c r="D55" s="10">
        <f>IF(ISNA(MATCH(A55,'Elemental analysis'!$Y$5:$Y$139,0)),"",INDEX('Elemental analysis'!$Y$5:$AE$139,MATCH(Summary!$A55,'Elemental analysis'!$Y$5:$Y$139,0),MATCH(Summary!D$1,'Elemental analysis'!$Y$5:$AE$5,0)))</f>
        <v>0.20133869416353697</v>
      </c>
      <c r="E55" s="10">
        <f>IF( IF(ISNA(MATCH(A55,'Elemental analysis'!$Y$5:$Y$139,0)),"",INDEX('Elemental analysis'!$Y$5:$AE$139,MATCH(Summary!$A55,'Elemental analysis'!$Y$5:$Y$139,0),MATCH(Summary!E$1,'Elemental analysis'!$Y$5:$AE$5,0)))=0,"",IF(ISNA(MATCH(A55,'Elemental analysis'!$Y$5:$Y$139,0)),"",INDEX('Elemental analysis'!$Y$5:$AE$139,MATCH(Summary!$A55,'Elemental analysis'!$Y$5:$Y$139,0),MATCH(Summary!E$1,'Elemental analysis'!$Y$5:$AE$5,0))))</f>
        <v>5.718</v>
      </c>
      <c r="F55" s="10">
        <f t="shared" si="0"/>
        <v>2.5803149017655709E-3</v>
      </c>
      <c r="G55" s="10">
        <f t="shared" si="1"/>
        <v>3.5211384078967643E-2</v>
      </c>
      <c r="H55" s="11">
        <f>IF(ISNA(MATCH(A55,'15N'!$B:$B,0)),"",INDEX('15N'!$A:$Y,MATCH(A55,'15N'!$B:$B,0),MATCH(Summary!$H$1,'15N'!$A$1:$Y$1,0)))</f>
        <v>2.6247777034520823</v>
      </c>
      <c r="I55" s="11">
        <f>IF(ISNA(MATCH(A55,'13C'!$B:$B,0)),"",INDEX('13C'!$A:$Z,MATCH(A55,'13C'!$B:$B,0),MATCH(Summary!$I$1,'13C'!$A$1:$Z$1,0)))</f>
        <v>-23.633253228493118</v>
      </c>
    </row>
    <row r="56" spans="1:9" x14ac:dyDescent="0.2">
      <c r="A56">
        <v>27881</v>
      </c>
      <c r="B56" t="s">
        <v>157</v>
      </c>
      <c r="C56" s="10">
        <f>IF(ISNA(MATCH(A56,'Elemental analysis'!$Q$5:$Q$139,0)),"",INDEX('Elemental analysis'!$Q$5:$W$139,MATCH(Summary!$A56,'Elemental analysis'!$Q$5:$Q$139,0),MATCH(Summary!C$1,'Elemental analysis'!$Q$5:$W$5,0)))</f>
        <v>5.3683277313909747E-2</v>
      </c>
      <c r="D56" s="10">
        <f>IF(ISNA(MATCH(A56,'Elemental analysis'!$Y$5:$Y$139,0)),"",INDEX('Elemental analysis'!$Y$5:$AE$139,MATCH(Summary!$A56,'Elemental analysis'!$Y$5:$Y$139,0),MATCH(Summary!D$1,'Elemental analysis'!$Y$5:$AE$5,0)))</f>
        <v>0.84132578388270796</v>
      </c>
      <c r="E56" s="10">
        <f>IF( IF(ISNA(MATCH(A56,'Elemental analysis'!$Y$5:$Y$139,0)),"",INDEX('Elemental analysis'!$Y$5:$AE$139,MATCH(Summary!$A56,'Elemental analysis'!$Y$5:$Y$139,0),MATCH(Summary!E$1,'Elemental analysis'!$Y$5:$AE$5,0)))=0,"",IF(ISNA(MATCH(A56,'Elemental analysis'!$Y$5:$Y$139,0)),"",INDEX('Elemental analysis'!$Y$5:$AE$139,MATCH(Summary!$A56,'Elemental analysis'!$Y$5:$Y$139,0),MATCH(Summary!E$1,'Elemental analysis'!$Y$5:$AE$5,0))))</f>
        <v>5.7359999999999998</v>
      </c>
      <c r="F56" s="10">
        <f t="shared" si="0"/>
        <v>9.3590092946146709E-3</v>
      </c>
      <c r="G56" s="10">
        <f t="shared" si="1"/>
        <v>0.14667464851511647</v>
      </c>
      <c r="H56" s="11">
        <f>IF(ISNA(MATCH(A56,'15N'!$B:$B,0)),"",INDEX('15N'!$A:$Y,MATCH(A56,'15N'!$B:$B,0),MATCH(Summary!$H$1,'15N'!$A$1:$Y$1,0)))</f>
        <v>2.4714550613932715</v>
      </c>
      <c r="I56" s="11">
        <f>IF(ISNA(MATCH(A56,'13C'!$B:$B,0)),"",INDEX('13C'!$A:$Z,MATCH(A56,'13C'!$B:$B,0),MATCH(Summary!$I$1,'13C'!$A$1:$Z$1,0)))</f>
        <v>-25.353976033908339</v>
      </c>
    </row>
    <row r="57" spans="1:9" x14ac:dyDescent="0.2">
      <c r="A57">
        <v>27882</v>
      </c>
      <c r="B57" t="s">
        <v>158</v>
      </c>
      <c r="C57" s="10">
        <f>IF(ISNA(MATCH(A57,'Elemental analysis'!$Q$5:$Q$139,0)),"",INDEX('Elemental analysis'!$Q$5:$W$139,MATCH(Summary!$A57,'Elemental analysis'!$Q$5:$Q$139,0),MATCH(Summary!C$1,'Elemental analysis'!$Q$5:$W$5,0)))</f>
        <v>2.0053602402196963E-2</v>
      </c>
      <c r="D57" s="10">
        <f>IF(ISNA(MATCH(A57,'Elemental analysis'!$Y$5:$Y$139,0)),"",INDEX('Elemental analysis'!$Y$5:$AE$139,MATCH(Summary!$A57,'Elemental analysis'!$Y$5:$Y$139,0),MATCH(Summary!D$1,'Elemental analysis'!$Y$5:$AE$5,0)))</f>
        <v>0.30458801770339822</v>
      </c>
      <c r="E57" s="10">
        <f>IF( IF(ISNA(MATCH(A57,'Elemental analysis'!$Y$5:$Y$139,0)),"",INDEX('Elemental analysis'!$Y$5:$AE$139,MATCH(Summary!$A57,'Elemental analysis'!$Y$5:$Y$139,0),MATCH(Summary!E$1,'Elemental analysis'!$Y$5:$AE$5,0)))=0,"",IF(ISNA(MATCH(A57,'Elemental analysis'!$Y$5:$Y$139,0)),"",INDEX('Elemental analysis'!$Y$5:$AE$139,MATCH(Summary!$A57,'Elemental analysis'!$Y$5:$Y$139,0),MATCH(Summary!E$1,'Elemental analysis'!$Y$5:$AE$5,0))))</f>
        <v>5.8380000000000001</v>
      </c>
      <c r="F57" s="10">
        <f t="shared" si="0"/>
        <v>3.4350124018836868E-3</v>
      </c>
      <c r="G57" s="10">
        <f t="shared" si="1"/>
        <v>5.2173350069098699E-2</v>
      </c>
      <c r="H57" s="11">
        <f>IF(ISNA(MATCH(A57,'15N'!$B:$B,0)),"",INDEX('15N'!$A:$Y,MATCH(A57,'15N'!$B:$B,0),MATCH(Summary!$H$1,'15N'!$A$1:$Y$1,0)))</f>
        <v>3.4908475294949994</v>
      </c>
      <c r="I57" s="11">
        <f>IF(ISNA(MATCH(A57,'13C'!$B:$B,0)),"",INDEX('13C'!$A:$Z,MATCH(A57,'13C'!$B:$B,0),MATCH(Summary!$I$1,'13C'!$A$1:$Z$1,0)))</f>
        <v>-25.11885520842236</v>
      </c>
    </row>
    <row r="58" spans="1:9" x14ac:dyDescent="0.2">
      <c r="A58">
        <v>27883</v>
      </c>
      <c r="B58" t="s">
        <v>159</v>
      </c>
      <c r="C58" s="10">
        <f>IF(ISNA(MATCH(A58,'Elemental analysis'!$Q$5:$Q$139,0)),"",INDEX('Elemental analysis'!$Q$5:$W$139,MATCH(Summary!$A58,'Elemental analysis'!$Q$5:$Q$139,0),MATCH(Summary!C$1,'Elemental analysis'!$Q$5:$W$5,0)))</f>
        <v>3.8312813282675232E-2</v>
      </c>
      <c r="D58" s="10">
        <f>IF(ISNA(MATCH(A58,'Elemental analysis'!$Y$5:$Y$139,0)),"",INDEX('Elemental analysis'!$Y$5:$AE$139,MATCH(Summary!$A58,'Elemental analysis'!$Y$5:$Y$139,0),MATCH(Summary!D$1,'Elemental analysis'!$Y$5:$AE$5,0)))</f>
        <v>0.55239004985114892</v>
      </c>
      <c r="E58" s="10">
        <f>IF( IF(ISNA(MATCH(A58,'Elemental analysis'!$Y$5:$Y$139,0)),"",INDEX('Elemental analysis'!$Y$5:$AE$139,MATCH(Summary!$A58,'Elemental analysis'!$Y$5:$Y$139,0),MATCH(Summary!E$1,'Elemental analysis'!$Y$5:$AE$5,0)))=0,"",IF(ISNA(MATCH(A58,'Elemental analysis'!$Y$5:$Y$139,0)),"",INDEX('Elemental analysis'!$Y$5:$AE$139,MATCH(Summary!$A58,'Elemental analysis'!$Y$5:$Y$139,0),MATCH(Summary!E$1,'Elemental analysis'!$Y$5:$AE$5,0))))</f>
        <v>5.6669999999999998</v>
      </c>
      <c r="F58" s="10">
        <f t="shared" si="0"/>
        <v>6.7606870094715429E-3</v>
      </c>
      <c r="G58" s="10">
        <f t="shared" si="1"/>
        <v>9.7474863217072341E-2</v>
      </c>
      <c r="H58" s="11">
        <f>IF(ISNA(MATCH(A58,'15N'!$B:$B,0)),"",INDEX('15N'!$A:$Y,MATCH(A58,'15N'!$B:$B,0),MATCH(Summary!$H$1,'15N'!$A$1:$Y$1,0)))</f>
        <v>2.9751596089836312</v>
      </c>
      <c r="I58" s="11">
        <f>IF(ISNA(MATCH(A58,'13C'!$B:$B,0)),"",INDEX('13C'!$A:$Z,MATCH(A58,'13C'!$B:$B,0),MATCH(Summary!$I$1,'13C'!$A$1:$Z$1,0)))</f>
        <v>-25.024307692646516</v>
      </c>
    </row>
    <row r="59" spans="1:9" x14ac:dyDescent="0.2">
      <c r="A59">
        <v>27884</v>
      </c>
      <c r="B59" t="s">
        <v>160</v>
      </c>
      <c r="C59" s="10">
        <f>IF(ISNA(MATCH(A59,'Elemental analysis'!$Q$5:$Q$139,0)),"",INDEX('Elemental analysis'!$Q$5:$W$139,MATCH(Summary!$A59,'Elemental analysis'!$Q$5:$Q$139,0),MATCH(Summary!C$1,'Elemental analysis'!$Q$5:$W$5,0)))</f>
        <v>4.6259062214485558E-2</v>
      </c>
      <c r="D59" s="10">
        <f>IF(ISNA(MATCH(A59,'Elemental analysis'!$Y$5:$Y$139,0)),"",INDEX('Elemental analysis'!$Y$5:$AE$139,MATCH(Summary!$A59,'Elemental analysis'!$Y$5:$Y$139,0),MATCH(Summary!D$1,'Elemental analysis'!$Y$5:$AE$5,0)))</f>
        <v>0.80956639249227902</v>
      </c>
      <c r="E59" s="10">
        <f>IF( IF(ISNA(MATCH(A59,'Elemental analysis'!$Y$5:$Y$139,0)),"",INDEX('Elemental analysis'!$Y$5:$AE$139,MATCH(Summary!$A59,'Elemental analysis'!$Y$5:$Y$139,0),MATCH(Summary!E$1,'Elemental analysis'!$Y$5:$AE$5,0)))=0,"",IF(ISNA(MATCH(A59,'Elemental analysis'!$Y$5:$Y$139,0)),"",INDEX('Elemental analysis'!$Y$5:$AE$139,MATCH(Summary!$A59,'Elemental analysis'!$Y$5:$Y$139,0),MATCH(Summary!E$1,'Elemental analysis'!$Y$5:$AE$5,0))))</f>
        <v>5.72</v>
      </c>
      <c r="F59" s="10">
        <f t="shared" si="0"/>
        <v>8.0872486388960767E-3</v>
      </c>
      <c r="G59" s="10">
        <f t="shared" si="1"/>
        <v>0.14153258610004879</v>
      </c>
      <c r="H59" s="11">
        <f>IF(ISNA(MATCH(A59,'15N'!$B:$B,0)),"",INDEX('15N'!$A:$Y,MATCH(A59,'15N'!$B:$B,0),MATCH(Summary!$H$1,'15N'!$A$1:$Y$1,0)))</f>
        <v>1.8034220121548969</v>
      </c>
      <c r="I59" s="11">
        <f>IF(ISNA(MATCH(A59,'13C'!$B:$B,0)),"",INDEX('13C'!$A:$Z,MATCH(A59,'13C'!$B:$B,0),MATCH(Summary!$I$1,'13C'!$A$1:$Z$1,0)))</f>
        <v>-25.906640666173303</v>
      </c>
    </row>
    <row r="60" spans="1:9" x14ac:dyDescent="0.2">
      <c r="A60">
        <v>27885</v>
      </c>
      <c r="B60" t="s">
        <v>161</v>
      </c>
      <c r="C60" s="10">
        <f>IF(ISNA(MATCH(A60,'Elemental analysis'!$Q$5:$Q$139,0)),"",INDEX('Elemental analysis'!$Q$5:$W$139,MATCH(Summary!$A60,'Elemental analysis'!$Q$5:$Q$139,0),MATCH(Summary!C$1,'Elemental analysis'!$Q$5:$W$5,0)))</f>
        <v>1.5117429283732369E-2</v>
      </c>
      <c r="D60" s="10">
        <f>IF(ISNA(MATCH(A60,'Elemental analysis'!$Y$5:$Y$139,0)),"",INDEX('Elemental analysis'!$Y$5:$AE$139,MATCH(Summary!$A60,'Elemental analysis'!$Y$5:$Y$139,0),MATCH(Summary!D$1,'Elemental analysis'!$Y$5:$AE$5,0)))</f>
        <v>0.19540648474466343</v>
      </c>
      <c r="E60" s="10">
        <f>IF( IF(ISNA(MATCH(A60,'Elemental analysis'!$Y$5:$Y$139,0)),"",INDEX('Elemental analysis'!$Y$5:$AE$139,MATCH(Summary!$A60,'Elemental analysis'!$Y$5:$Y$139,0),MATCH(Summary!E$1,'Elemental analysis'!$Y$5:$AE$5,0)))=0,"",IF(ISNA(MATCH(A60,'Elemental analysis'!$Y$5:$Y$139,0)),"",INDEX('Elemental analysis'!$Y$5:$AE$139,MATCH(Summary!$A60,'Elemental analysis'!$Y$5:$Y$139,0),MATCH(Summary!E$1,'Elemental analysis'!$Y$5:$AE$5,0))))</f>
        <v>5.827</v>
      </c>
      <c r="F60" s="10">
        <f t="shared" si="0"/>
        <v>2.594376056930216E-3</v>
      </c>
      <c r="G60" s="10">
        <f t="shared" si="1"/>
        <v>3.3534663590983942E-2</v>
      </c>
      <c r="H60" s="11">
        <f>IF(ISNA(MATCH(A60,'15N'!$B:$B,0)),"",INDEX('15N'!$A:$Y,MATCH(A60,'15N'!$B:$B,0),MATCH(Summary!$H$1,'15N'!$A$1:$Y$1,0)))</f>
        <v>1.6968879844826006</v>
      </c>
      <c r="I60" s="11">
        <f>IF(ISNA(MATCH(A60,'13C'!$B:$B,0)),"",INDEX('13C'!$A:$Z,MATCH(A60,'13C'!$B:$B,0),MATCH(Summary!$I$1,'13C'!$A$1:$Z$1,0)))</f>
        <v>-23.529264461647585</v>
      </c>
    </row>
    <row r="61" spans="1:9" x14ac:dyDescent="0.2">
      <c r="A61">
        <v>27886</v>
      </c>
      <c r="B61" t="s">
        <v>162</v>
      </c>
      <c r="C61" s="10">
        <f>IF(ISNA(MATCH(A61,'Elemental analysis'!$Q$5:$Q$139,0)),"",INDEX('Elemental analysis'!$Q$5:$W$139,MATCH(Summary!$A61,'Elemental analysis'!$Q$5:$Q$139,0),MATCH(Summary!C$1,'Elemental analysis'!$Q$5:$W$5,0)))</f>
        <v>1.8528209965362256E-2</v>
      </c>
      <c r="D61" s="10">
        <f>IF(ISNA(MATCH(A61,'Elemental analysis'!$Y$5:$Y$139,0)),"",INDEX('Elemental analysis'!$Y$5:$AE$139,MATCH(Summary!$A61,'Elemental analysis'!$Y$5:$Y$139,0),MATCH(Summary!D$1,'Elemental analysis'!$Y$5:$AE$5,0)))</f>
        <v>0.29087383891128349</v>
      </c>
      <c r="E61" s="10">
        <f>IF( IF(ISNA(MATCH(A61,'Elemental analysis'!$Y$5:$Y$139,0)),"",INDEX('Elemental analysis'!$Y$5:$AE$139,MATCH(Summary!$A61,'Elemental analysis'!$Y$5:$Y$139,0),MATCH(Summary!E$1,'Elemental analysis'!$Y$5:$AE$5,0)))=0,"",IF(ISNA(MATCH(A61,'Elemental analysis'!$Y$5:$Y$139,0)),"",INDEX('Elemental analysis'!$Y$5:$AE$139,MATCH(Summary!$A61,'Elemental analysis'!$Y$5:$Y$139,0),MATCH(Summary!E$1,'Elemental analysis'!$Y$5:$AE$5,0))))</f>
        <v>5.681</v>
      </c>
      <c r="F61" s="10">
        <f t="shared" ref="F61:F112" si="2">IF(ISERROR(C61/E61),"",C61/E61)</f>
        <v>3.2614346004862268E-3</v>
      </c>
      <c r="G61" s="10">
        <f t="shared" ref="G61:G112" si="3">IF(ISERROR(D61/E61),"",D61/E61)</f>
        <v>5.1201168616666695E-2</v>
      </c>
      <c r="H61" s="11">
        <f>IF(ISNA(MATCH(A61,'15N'!$B:$B,0)),"",INDEX('15N'!$A:$Y,MATCH(A61,'15N'!$B:$B,0),MATCH(Summary!$H$1,'15N'!$A$1:$Y$1,0)))</f>
        <v>4.8406986043652296</v>
      </c>
      <c r="I61" s="11">
        <f>IF(ISNA(MATCH(A61,'13C'!$B:$B,0)),"",INDEX('13C'!$A:$Z,MATCH(A61,'13C'!$B:$B,0),MATCH(Summary!$I$1,'13C'!$A$1:$Z$1,0)))</f>
        <v>-24.843548605335513</v>
      </c>
    </row>
    <row r="62" spans="1:9" x14ac:dyDescent="0.2">
      <c r="A62">
        <v>27887</v>
      </c>
      <c r="B62" t="s">
        <v>163</v>
      </c>
      <c r="C62" s="10">
        <f>IF(ISNA(MATCH(A62,'Elemental analysis'!$Q$5:$Q$139,0)),"",INDEX('Elemental analysis'!$Q$5:$W$139,MATCH(Summary!$A62,'Elemental analysis'!$Q$5:$Q$139,0),MATCH(Summary!C$1,'Elemental analysis'!$Q$5:$W$5,0)))</f>
        <v>3.2428358523729404E-2</v>
      </c>
      <c r="D62" s="10">
        <f>IF(ISNA(MATCH(A62,'Elemental analysis'!$Y$5:$Y$139,0)),"",INDEX('Elemental analysis'!$Y$5:$AE$139,MATCH(Summary!$A62,'Elemental analysis'!$Y$5:$Y$139,0),MATCH(Summary!D$1,'Elemental analysis'!$Y$5:$AE$5,0)))</f>
        <v>0.50668312721059372</v>
      </c>
      <c r="E62" s="10">
        <f>IF( IF(ISNA(MATCH(A62,'Elemental analysis'!$Y$5:$Y$139,0)),"",INDEX('Elemental analysis'!$Y$5:$AE$139,MATCH(Summary!$A62,'Elemental analysis'!$Y$5:$Y$139,0),MATCH(Summary!E$1,'Elemental analysis'!$Y$5:$AE$5,0)))=0,"",IF(ISNA(MATCH(A62,'Elemental analysis'!$Y$5:$Y$139,0)),"",INDEX('Elemental analysis'!$Y$5:$AE$139,MATCH(Summary!$A62,'Elemental analysis'!$Y$5:$Y$139,0),MATCH(Summary!E$1,'Elemental analysis'!$Y$5:$AE$5,0))))</f>
        <v>5.6369999999999996</v>
      </c>
      <c r="F62" s="10">
        <f t="shared" si="2"/>
        <v>5.7527689415876188E-3</v>
      </c>
      <c r="G62" s="10">
        <f t="shared" si="3"/>
        <v>8.9885245203227562E-2</v>
      </c>
      <c r="H62" s="11">
        <f>IF(ISNA(MATCH(A62,'15N'!$B:$B,0)),"",INDEX('15N'!$A:$Y,MATCH(A62,'15N'!$B:$B,0),MATCH(Summary!$H$1,'15N'!$A$1:$Y$1,0)))</f>
        <v>1.6431035499722384</v>
      </c>
      <c r="I62" s="11">
        <f>IF(ISNA(MATCH(A62,'13C'!$B:$B,0)),"",INDEX('13C'!$A:$Z,MATCH(A62,'13C'!$B:$B,0),MATCH(Summary!$I$1,'13C'!$A$1:$Z$1,0)))</f>
        <v>-24.73473907707546</v>
      </c>
    </row>
    <row r="63" spans="1:9" x14ac:dyDescent="0.2">
      <c r="A63">
        <v>27888</v>
      </c>
      <c r="B63" t="s">
        <v>164</v>
      </c>
      <c r="C63" s="10">
        <f>IF(ISNA(MATCH(A63,'Elemental analysis'!$Q$5:$Q$139,0)),"",INDEX('Elemental analysis'!$Q$5:$W$139,MATCH(Summary!$A63,'Elemental analysis'!$Q$5:$Q$139,0),MATCH(Summary!C$1,'Elemental analysis'!$Q$5:$W$5,0)))</f>
        <v>1.7257448709767878E-2</v>
      </c>
      <c r="D63" s="10">
        <f>IF(ISNA(MATCH(A63,'Elemental analysis'!$Y$5:$Y$139,0)),"",INDEX('Elemental analysis'!$Y$5:$AE$139,MATCH(Summary!$A63,'Elemental analysis'!$Y$5:$Y$139,0),MATCH(Summary!D$1,'Elemental analysis'!$Y$5:$AE$5,0)))</f>
        <v>0.22651486542651478</v>
      </c>
      <c r="E63" s="10">
        <f>IF( IF(ISNA(MATCH(A63,'Elemental analysis'!$Y$5:$Y$139,0)),"",INDEX('Elemental analysis'!$Y$5:$AE$139,MATCH(Summary!$A63,'Elemental analysis'!$Y$5:$Y$139,0),MATCH(Summary!E$1,'Elemental analysis'!$Y$5:$AE$5,0)))=0,"",IF(ISNA(MATCH(A63,'Elemental analysis'!$Y$5:$Y$139,0)),"",INDEX('Elemental analysis'!$Y$5:$AE$139,MATCH(Summary!$A63,'Elemental analysis'!$Y$5:$Y$139,0),MATCH(Summary!E$1,'Elemental analysis'!$Y$5:$AE$5,0))))</f>
        <v>5.8179999999999996</v>
      </c>
      <c r="F63" s="10">
        <f t="shared" si="2"/>
        <v>2.9662166912629564E-3</v>
      </c>
      <c r="G63" s="10">
        <f t="shared" si="3"/>
        <v>3.8933459165781163E-2</v>
      </c>
      <c r="H63" s="11">
        <f>IF(ISNA(MATCH(A63,'15N'!$B:$B,0)),"",INDEX('15N'!$A:$Y,MATCH(A63,'15N'!$B:$B,0),MATCH(Summary!$H$1,'15N'!$A$1:$Y$1,0)))</f>
        <v>2.5420451789765366</v>
      </c>
      <c r="I63" s="11">
        <f>IF(ISNA(MATCH(A63,'13C'!$B:$B,0)),"",INDEX('13C'!$A:$Z,MATCH(A63,'13C'!$B:$B,0),MATCH(Summary!$I$1,'13C'!$A$1:$Z$1,0)))</f>
        <v>-24.223553395223121</v>
      </c>
    </row>
    <row r="64" spans="1:9" x14ac:dyDescent="0.2">
      <c r="A64">
        <v>27890</v>
      </c>
      <c r="B64" t="s">
        <v>165</v>
      </c>
      <c r="C64" s="10">
        <f>IF(ISNA(MATCH(A64,'Elemental analysis'!$Q$5:$Q$139,0)),"",INDEX('Elemental analysis'!$Q$5:$W$139,MATCH(Summary!$A64,'Elemental analysis'!$Q$5:$Q$139,0),MATCH(Summary!C$1,'Elemental analysis'!$Q$5:$W$5,0)))</f>
        <v>1.7384365191953497E-2</v>
      </c>
      <c r="D64" s="10">
        <f>IF(ISNA(MATCH(A64,'Elemental analysis'!$Y$5:$Y$139,0)),"",INDEX('Elemental analysis'!$Y$5:$AE$139,MATCH(Summary!$A64,'Elemental analysis'!$Y$5:$Y$139,0),MATCH(Summary!D$1,'Elemental analysis'!$Y$5:$AE$5,0)))</f>
        <v>0.2719859985076693</v>
      </c>
      <c r="E64" s="10">
        <f>IF( IF(ISNA(MATCH(A64,'Elemental analysis'!$Y$5:$Y$139,0)),"",INDEX('Elemental analysis'!$Y$5:$AE$139,MATCH(Summary!$A64,'Elemental analysis'!$Y$5:$Y$139,0),MATCH(Summary!E$1,'Elemental analysis'!$Y$5:$AE$5,0)))=0,"",IF(ISNA(MATCH(A64,'Elemental analysis'!$Y$5:$Y$139,0)),"",INDEX('Elemental analysis'!$Y$5:$AE$139,MATCH(Summary!$A64,'Elemental analysis'!$Y$5:$Y$139,0),MATCH(Summary!E$1,'Elemental analysis'!$Y$5:$AE$5,0))))</f>
        <v>5.694</v>
      </c>
      <c r="F64" s="10">
        <f t="shared" si="2"/>
        <v>3.0531024221906386E-3</v>
      </c>
      <c r="G64" s="10">
        <f t="shared" si="3"/>
        <v>4.7767123025582947E-2</v>
      </c>
      <c r="H64" s="11">
        <f>IF(ISNA(MATCH(A64,'15N'!$B:$B,0)),"",INDEX('15N'!$A:$Y,MATCH(A64,'15N'!$B:$B,0),MATCH(Summary!$H$1,'15N'!$A$1:$Y$1,0)))</f>
        <v>3.185121153847831</v>
      </c>
      <c r="I64" s="11">
        <f>IF(ISNA(MATCH(A64,'13C'!$B:$B,0)),"",INDEX('13C'!$A:$Z,MATCH(A64,'13C'!$B:$B,0),MATCH(Summary!$I$1,'13C'!$A$1:$Z$1,0)))</f>
        <v>-26.495510597571069</v>
      </c>
    </row>
    <row r="65" spans="1:9" x14ac:dyDescent="0.2">
      <c r="A65">
        <v>27891</v>
      </c>
      <c r="B65" t="s">
        <v>166</v>
      </c>
      <c r="C65" s="10">
        <f>IF(ISNA(MATCH(A65,'Elemental analysis'!$Q$5:$Q$139,0)),"",INDEX('Elemental analysis'!$Q$5:$W$139,MATCH(Summary!$A65,'Elemental analysis'!$Q$5:$Q$139,0),MATCH(Summary!C$1,'Elemental analysis'!$Q$5:$W$5,0)))</f>
        <v>2.5633936534018759E-2</v>
      </c>
      <c r="D65" s="10">
        <f>IF(ISNA(MATCH(A65,'Elemental analysis'!$Y$5:$Y$139,0)),"",INDEX('Elemental analysis'!$Y$5:$AE$139,MATCH(Summary!$A65,'Elemental analysis'!$Y$5:$Y$139,0),MATCH(Summary!D$1,'Elemental analysis'!$Y$5:$AE$5,0)))</f>
        <v>0.41914731951497408</v>
      </c>
      <c r="E65" s="10">
        <f>IF( IF(ISNA(MATCH(A65,'Elemental analysis'!$Y$5:$Y$139,0)),"",INDEX('Elemental analysis'!$Y$5:$AE$139,MATCH(Summary!$A65,'Elemental analysis'!$Y$5:$Y$139,0),MATCH(Summary!E$1,'Elemental analysis'!$Y$5:$AE$5,0)))=0,"",IF(ISNA(MATCH(A65,'Elemental analysis'!$Y$5:$Y$139,0)),"",INDEX('Elemental analysis'!$Y$5:$AE$139,MATCH(Summary!$A65,'Elemental analysis'!$Y$5:$Y$139,0),MATCH(Summary!E$1,'Elemental analysis'!$Y$5:$AE$5,0))))</f>
        <v>5.7140000000000004</v>
      </c>
      <c r="F65" s="10">
        <f t="shared" si="2"/>
        <v>4.4861632016133636E-3</v>
      </c>
      <c r="G65" s="10">
        <f t="shared" si="3"/>
        <v>7.3354448637552333E-2</v>
      </c>
      <c r="H65" s="11">
        <f>IF(ISNA(MATCH(A65,'15N'!$B:$B,0)),"",INDEX('15N'!$A:$Y,MATCH(A65,'15N'!$B:$B,0),MATCH(Summary!$H$1,'15N'!$A$1:$Y$1,0)))</f>
        <v>2.5818265885508254</v>
      </c>
      <c r="I65" s="11">
        <f>IF(ISNA(MATCH(A65,'13C'!$B:$B,0)),"",INDEX('13C'!$A:$Z,MATCH(A65,'13C'!$B:$B,0),MATCH(Summary!$I$1,'13C'!$A$1:$Z$1,0)))</f>
        <v>-25.682834101909179</v>
      </c>
    </row>
    <row r="66" spans="1:9" x14ac:dyDescent="0.2">
      <c r="A66">
        <v>27892</v>
      </c>
      <c r="B66" t="s">
        <v>167</v>
      </c>
      <c r="C66" s="10">
        <f>IF(ISNA(MATCH(A66,'Elemental analysis'!$Q$5:$Q$139,0)),"",INDEX('Elemental analysis'!$Q$5:$W$139,MATCH(Summary!$A66,'Elemental analysis'!$Q$5:$Q$139,0),MATCH(Summary!C$1,'Elemental analysis'!$Q$5:$W$5,0)))</f>
        <v>2.0898115849696242E-2</v>
      </c>
      <c r="D66" s="10">
        <f>IF(ISNA(MATCH(A66,'Elemental analysis'!$Y$5:$Y$139,0)),"",INDEX('Elemental analysis'!$Y$5:$AE$139,MATCH(Summary!$A66,'Elemental analysis'!$Y$5:$Y$139,0),MATCH(Summary!D$1,'Elemental analysis'!$Y$5:$AE$5,0)))</f>
        <v>0.31086660015720519</v>
      </c>
      <c r="E66" s="10">
        <f>IF( IF(ISNA(MATCH(A66,'Elemental analysis'!$Y$5:$Y$139,0)),"",INDEX('Elemental analysis'!$Y$5:$AE$139,MATCH(Summary!$A66,'Elemental analysis'!$Y$5:$Y$139,0),MATCH(Summary!E$1,'Elemental analysis'!$Y$5:$AE$5,0)))=0,"",IF(ISNA(MATCH(A66,'Elemental analysis'!$Y$5:$Y$139,0)),"",INDEX('Elemental analysis'!$Y$5:$AE$139,MATCH(Summary!$A66,'Elemental analysis'!$Y$5:$Y$139,0),MATCH(Summary!E$1,'Elemental analysis'!$Y$5:$AE$5,0))))</f>
        <v>5.64</v>
      </c>
      <c r="F66" s="10">
        <f t="shared" si="2"/>
        <v>3.7053396896624545E-3</v>
      </c>
      <c r="G66" s="10">
        <f t="shared" si="3"/>
        <v>5.5118191517234967E-2</v>
      </c>
      <c r="H66" s="11">
        <f>IF(ISNA(MATCH(A66,'15N'!$B:$B,0)),"",INDEX('15N'!$A:$Y,MATCH(A66,'15N'!$B:$B,0),MATCH(Summary!$H$1,'15N'!$A$1:$Y$1,0)))</f>
        <v>1.7236755241233368</v>
      </c>
      <c r="I66" s="11">
        <f>IF(ISNA(MATCH(A66,'13C'!$B:$B,0)),"",INDEX('13C'!$A:$Z,MATCH(A66,'13C'!$B:$B,0),MATCH(Summary!$I$1,'13C'!$A$1:$Z$1,0)))</f>
        <v>-24.796795834323234</v>
      </c>
    </row>
    <row r="67" spans="1:9" x14ac:dyDescent="0.2">
      <c r="A67">
        <v>27893</v>
      </c>
      <c r="B67" t="s">
        <v>168</v>
      </c>
      <c r="C67" s="10">
        <f>IF(ISNA(MATCH(A67,'Elemental analysis'!$Q$5:$Q$139,0)),"",INDEX('Elemental analysis'!$Q$5:$W$139,MATCH(Summary!$A67,'Elemental analysis'!$Q$5:$Q$139,0),MATCH(Summary!C$1,'Elemental analysis'!$Q$5:$W$5,0)))</f>
        <v>3.7183336412910127E-2</v>
      </c>
      <c r="D67" s="10">
        <f>IF(ISNA(MATCH(A67,'Elemental analysis'!$Y$5:$Y$139,0)),"",INDEX('Elemental analysis'!$Y$5:$AE$139,MATCH(Summary!$A67,'Elemental analysis'!$Y$5:$Y$139,0),MATCH(Summary!D$1,'Elemental analysis'!$Y$5:$AE$5,0)))</f>
        <v>0.61091673507399935</v>
      </c>
      <c r="E67" s="10">
        <f>IF( IF(ISNA(MATCH(A67,'Elemental analysis'!$Y$5:$Y$139,0)),"",INDEX('Elemental analysis'!$Y$5:$AE$139,MATCH(Summary!$A67,'Elemental analysis'!$Y$5:$Y$139,0),MATCH(Summary!E$1,'Elemental analysis'!$Y$5:$AE$5,0)))=0,"",IF(ISNA(MATCH(A67,'Elemental analysis'!$Y$5:$Y$139,0)),"",INDEX('Elemental analysis'!$Y$5:$AE$139,MATCH(Summary!$A67,'Elemental analysis'!$Y$5:$Y$139,0),MATCH(Summary!E$1,'Elemental analysis'!$Y$5:$AE$5,0))))</f>
        <v>5.851</v>
      </c>
      <c r="F67" s="10">
        <f t="shared" si="2"/>
        <v>6.3550395510015602E-3</v>
      </c>
      <c r="G67" s="10">
        <f t="shared" si="3"/>
        <v>0.1044123628566056</v>
      </c>
      <c r="H67" s="11">
        <f>IF(ISNA(MATCH(A67,'15N'!$B:$B,0)),"",INDEX('15N'!$A:$Y,MATCH(A67,'15N'!$B:$B,0),MATCH(Summary!$H$1,'15N'!$A$1:$Y$1,0)))</f>
        <v>3.1791088333868629</v>
      </c>
      <c r="I67" s="11">
        <f>IF(ISNA(MATCH(A67,'13C'!$B:$B,0)),"",INDEX('13C'!$A:$Z,MATCH(A67,'13C'!$B:$B,0),MATCH(Summary!$I$1,'13C'!$A$1:$Z$1,0)))</f>
        <v>-25.769792980514467</v>
      </c>
    </row>
    <row r="68" spans="1:9" x14ac:dyDescent="0.2">
      <c r="A68">
        <v>27894</v>
      </c>
      <c r="B68" t="s">
        <v>169</v>
      </c>
      <c r="C68" s="10">
        <f>IF(ISNA(MATCH(A68,'Elemental analysis'!$Q$5:$Q$139,0)),"",INDEX('Elemental analysis'!$Q$5:$W$139,MATCH(Summary!$A68,'Elemental analysis'!$Q$5:$Q$139,0),MATCH(Summary!C$1,'Elemental analysis'!$Q$5:$W$5,0)))</f>
        <v>1.3634342340959534E-2</v>
      </c>
      <c r="D68" s="10">
        <f>IF(ISNA(MATCH(A68,'Elemental analysis'!$Y$5:$Y$139,0)),"",INDEX('Elemental analysis'!$Y$5:$AE$139,MATCH(Summary!$A68,'Elemental analysis'!$Y$5:$Y$139,0),MATCH(Summary!D$1,'Elemental analysis'!$Y$5:$AE$5,0)))</f>
        <v>0.20618487027586893</v>
      </c>
      <c r="E68" s="10">
        <f>IF( IF(ISNA(MATCH(A68,'Elemental analysis'!$Y$5:$Y$139,0)),"",INDEX('Elemental analysis'!$Y$5:$AE$139,MATCH(Summary!$A68,'Elemental analysis'!$Y$5:$Y$139,0),MATCH(Summary!E$1,'Elemental analysis'!$Y$5:$AE$5,0)))=0,"",IF(ISNA(MATCH(A68,'Elemental analysis'!$Y$5:$Y$139,0)),"",INDEX('Elemental analysis'!$Y$5:$AE$139,MATCH(Summary!$A68,'Elemental analysis'!$Y$5:$Y$139,0),MATCH(Summary!E$1,'Elemental analysis'!$Y$5:$AE$5,0))))</f>
        <v>5.8979999999999997</v>
      </c>
      <c r="F68" s="10">
        <f t="shared" si="2"/>
        <v>2.3116891049439698E-3</v>
      </c>
      <c r="G68" s="10">
        <f t="shared" si="3"/>
        <v>3.4958438500486425E-2</v>
      </c>
      <c r="H68" s="11">
        <f>IF(ISNA(MATCH(A68,'15N'!$B:$B,0)),"",INDEX('15N'!$A:$Y,MATCH(A68,'15N'!$B:$B,0),MATCH(Summary!$H$1,'15N'!$A$1:$Y$1,0)))</f>
        <v>5.1083828128874984</v>
      </c>
      <c r="I68" s="11">
        <f>IF(ISNA(MATCH(A68,'13C'!$B:$B,0)),"",INDEX('13C'!$A:$Z,MATCH(A68,'13C'!$B:$B,0),MATCH(Summary!$I$1,'13C'!$A$1:$Z$1,0)))</f>
        <v>-25.20463335949762</v>
      </c>
    </row>
    <row r="69" spans="1:9" x14ac:dyDescent="0.2">
      <c r="A69">
        <v>27895</v>
      </c>
      <c r="B69" t="s">
        <v>170</v>
      </c>
      <c r="C69" s="10">
        <f>IF(ISNA(MATCH(A69,'Elemental analysis'!$Q$5:$Q$139,0)),"",INDEX('Elemental analysis'!$Q$5:$W$139,MATCH(Summary!$A69,'Elemental analysis'!$Q$5:$Q$139,0),MATCH(Summary!C$1,'Elemental analysis'!$Q$5:$W$5,0)))</f>
        <v>3.6825735255556935E-2</v>
      </c>
      <c r="D69" s="10">
        <f>IF(ISNA(MATCH(A69,'Elemental analysis'!$Y$5:$Y$139,0)),"",INDEX('Elemental analysis'!$Y$5:$AE$139,MATCH(Summary!$A69,'Elemental analysis'!$Y$5:$Y$139,0),MATCH(Summary!D$1,'Elemental analysis'!$Y$5:$AE$5,0)))</f>
        <v>0.56541452895013311</v>
      </c>
      <c r="E69" s="10">
        <f>IF( IF(ISNA(MATCH(A69,'Elemental analysis'!$Y$5:$Y$139,0)),"",INDEX('Elemental analysis'!$Y$5:$AE$139,MATCH(Summary!$A69,'Elemental analysis'!$Y$5:$Y$139,0),MATCH(Summary!E$1,'Elemental analysis'!$Y$5:$AE$5,0)))=0,"",IF(ISNA(MATCH(A69,'Elemental analysis'!$Y$5:$Y$139,0)),"",INDEX('Elemental analysis'!$Y$5:$AE$139,MATCH(Summary!$A69,'Elemental analysis'!$Y$5:$Y$139,0),MATCH(Summary!E$1,'Elemental analysis'!$Y$5:$AE$5,0))))</f>
        <v>5.8230000000000004</v>
      </c>
      <c r="F69" s="10">
        <f t="shared" si="2"/>
        <v>6.3241860304923464E-3</v>
      </c>
      <c r="G69" s="10">
        <f t="shared" si="3"/>
        <v>9.7100211051027494E-2</v>
      </c>
      <c r="H69" s="11">
        <f>IF(ISNA(MATCH(A69,'15N'!$B:$B,0)),"",INDEX('15N'!$A:$Y,MATCH(A69,'15N'!$B:$B,0),MATCH(Summary!$H$1,'15N'!$A$1:$Y$1,0)))</f>
        <v>4.1616489192520021</v>
      </c>
      <c r="I69" s="11">
        <f>IF(ISNA(MATCH(A69,'13C'!$B:$B,0)),"",INDEX('13C'!$A:$Z,MATCH(A69,'13C'!$B:$B,0),MATCH(Summary!$I$1,'13C'!$A$1:$Z$1,0)))</f>
        <v>-24.307378016899634</v>
      </c>
    </row>
    <row r="70" spans="1:9" x14ac:dyDescent="0.2">
      <c r="A70">
        <v>27896</v>
      </c>
      <c r="B70" t="s">
        <v>171</v>
      </c>
      <c r="C70" s="10">
        <f>IF(ISNA(MATCH(A70,'Elemental analysis'!$Q$5:$Q$139,0)),"",INDEX('Elemental analysis'!$Q$5:$W$139,MATCH(Summary!$A70,'Elemental analysis'!$Q$5:$Q$139,0),MATCH(Summary!C$1,'Elemental analysis'!$Q$5:$W$5,0)))</f>
        <v>9.97850908051842E-3</v>
      </c>
      <c r="D70" s="10">
        <f>IF(ISNA(MATCH(A70,'Elemental analysis'!$Y$5:$Y$139,0)),"",INDEX('Elemental analysis'!$Y$5:$AE$139,MATCH(Summary!$A70,'Elemental analysis'!$Y$5:$Y$139,0),MATCH(Summary!D$1,'Elemental analysis'!$Y$5:$AE$5,0)))</f>
        <v>0.13458405001323023</v>
      </c>
      <c r="E70" s="10">
        <f>IF( IF(ISNA(MATCH(A70,'Elemental analysis'!$Y$5:$Y$139,0)),"",INDEX('Elemental analysis'!$Y$5:$AE$139,MATCH(Summary!$A70,'Elemental analysis'!$Y$5:$Y$139,0),MATCH(Summary!E$1,'Elemental analysis'!$Y$5:$AE$5,0)))=0,"",IF(ISNA(MATCH(A70,'Elemental analysis'!$Y$5:$Y$139,0)),"",INDEX('Elemental analysis'!$Y$5:$AE$139,MATCH(Summary!$A70,'Elemental analysis'!$Y$5:$Y$139,0),MATCH(Summary!E$1,'Elemental analysis'!$Y$5:$AE$5,0))))</f>
        <v>5.6360000000000001</v>
      </c>
      <c r="F70" s="10">
        <f t="shared" si="2"/>
        <v>1.7704948687931902E-3</v>
      </c>
      <c r="G70" s="10">
        <f t="shared" si="3"/>
        <v>2.3879355928536235E-2</v>
      </c>
      <c r="H70" s="11">
        <f>IF(ISNA(MATCH(A70,'15N'!$B:$B,0)),"",INDEX('15N'!$A:$Y,MATCH(A70,'15N'!$B:$B,0),MATCH(Summary!$H$1,'15N'!$A$1:$Y$1,0)))</f>
        <v>1.8082426206254922</v>
      </c>
      <c r="I70" s="11">
        <f>IF(ISNA(MATCH(A70,'13C'!$B:$B,0)),"",INDEX('13C'!$A:$Z,MATCH(A70,'13C'!$B:$B,0),MATCH(Summary!$I$1,'13C'!$A$1:$Z$1,0)))</f>
        <v>-26.049460147365721</v>
      </c>
    </row>
    <row r="71" spans="1:9" x14ac:dyDescent="0.2">
      <c r="A71">
        <v>27897</v>
      </c>
      <c r="B71" t="s">
        <v>172</v>
      </c>
      <c r="C71" s="10">
        <f>IF(ISNA(MATCH(A71,'Elemental analysis'!$Q$5:$Q$139,0)),"",INDEX('Elemental analysis'!$Q$5:$W$139,MATCH(Summary!$A71,'Elemental analysis'!$Q$5:$Q$139,0),MATCH(Summary!C$1,'Elemental analysis'!$Q$5:$W$5,0)))</f>
        <v>2.2107414406370544E-2</v>
      </c>
      <c r="D71" s="10">
        <f>IF(ISNA(MATCH(A71,'Elemental analysis'!$Y$5:$Y$139,0)),"",INDEX('Elemental analysis'!$Y$5:$AE$139,MATCH(Summary!$A71,'Elemental analysis'!$Y$5:$Y$139,0),MATCH(Summary!D$1,'Elemental analysis'!$Y$5:$AE$5,0)))</f>
        <v>0.38354888416128086</v>
      </c>
      <c r="E71" s="10">
        <f>IF( IF(ISNA(MATCH(A71,'Elemental analysis'!$Y$5:$Y$139,0)),"",INDEX('Elemental analysis'!$Y$5:$AE$139,MATCH(Summary!$A71,'Elemental analysis'!$Y$5:$Y$139,0),MATCH(Summary!E$1,'Elemental analysis'!$Y$5:$AE$5,0)))=0,"",IF(ISNA(MATCH(A71,'Elemental analysis'!$Y$5:$Y$139,0)),"",INDEX('Elemental analysis'!$Y$5:$AE$139,MATCH(Summary!$A71,'Elemental analysis'!$Y$5:$Y$139,0),MATCH(Summary!E$1,'Elemental analysis'!$Y$5:$AE$5,0))))</f>
        <v>5.6130000000000004</v>
      </c>
      <c r="F71" s="10">
        <f t="shared" si="2"/>
        <v>3.9386093722377589E-3</v>
      </c>
      <c r="G71" s="10">
        <f t="shared" si="3"/>
        <v>6.8332243748669308E-2</v>
      </c>
      <c r="H71" s="11">
        <f>IF(ISNA(MATCH(A71,'15N'!$B:$B,0)),"",INDEX('15N'!$A:$Y,MATCH(A71,'15N'!$B:$B,0),MATCH(Summary!$H$1,'15N'!$A$1:$Y$1,0)))</f>
        <v>4.5100486839136238</v>
      </c>
      <c r="I71" s="11">
        <f>IF(ISNA(MATCH(A71,'13C'!$B:$B,0)),"",INDEX('13C'!$A:$Z,MATCH(A71,'13C'!$B:$B,0),MATCH(Summary!$I$1,'13C'!$A$1:$Z$1,0)))</f>
        <v>-25.963064088696342</v>
      </c>
    </row>
    <row r="72" spans="1:9" x14ac:dyDescent="0.2">
      <c r="A72">
        <v>27898</v>
      </c>
      <c r="B72" t="s">
        <v>173</v>
      </c>
      <c r="C72" s="10">
        <f>IF(ISNA(MATCH(A72,'Elemental analysis'!$Q$5:$Q$139,0)),"",INDEX('Elemental analysis'!$Q$5:$W$139,MATCH(Summary!$A72,'Elemental analysis'!$Q$5:$Q$139,0),MATCH(Summary!C$1,'Elemental analysis'!$Q$5:$W$5,0)))</f>
        <v>3.5316307156104065E-2</v>
      </c>
      <c r="D72" s="10">
        <f>IF(ISNA(MATCH(A72,'Elemental analysis'!$Y$5:$Y$139,0)),"",INDEX('Elemental analysis'!$Y$5:$AE$139,MATCH(Summary!$A72,'Elemental analysis'!$Y$5:$Y$139,0),MATCH(Summary!D$1,'Elemental analysis'!$Y$5:$AE$5,0)))</f>
        <v>0.52040218020548668</v>
      </c>
      <c r="E72" s="10">
        <f>IF( IF(ISNA(MATCH(A72,'Elemental analysis'!$Y$5:$Y$139,0)),"",INDEX('Elemental analysis'!$Y$5:$AE$139,MATCH(Summary!$A72,'Elemental analysis'!$Y$5:$Y$139,0),MATCH(Summary!E$1,'Elemental analysis'!$Y$5:$AE$5,0)))=0,"",IF(ISNA(MATCH(A72,'Elemental analysis'!$Y$5:$Y$139,0)),"",INDEX('Elemental analysis'!$Y$5:$AE$139,MATCH(Summary!$A72,'Elemental analysis'!$Y$5:$Y$139,0),MATCH(Summary!E$1,'Elemental analysis'!$Y$5:$AE$5,0))))</f>
        <v>5.7460000000000004</v>
      </c>
      <c r="F72" s="10">
        <f t="shared" si="2"/>
        <v>6.1462421086153959E-3</v>
      </c>
      <c r="G72" s="10">
        <f t="shared" si="3"/>
        <v>9.056773063095834E-2</v>
      </c>
      <c r="H72" s="11">
        <f>IF(ISNA(MATCH(A72,'15N'!$B:$B,0)),"",INDEX('15N'!$A:$Y,MATCH(A72,'15N'!$B:$B,0),MATCH(Summary!$H$1,'15N'!$A$1:$Y$1,0)))</f>
        <v>3.8460345040508628</v>
      </c>
      <c r="I72" s="11">
        <f>IF(ISNA(MATCH(A72,'13C'!$B:$B,0)),"",INDEX('13C'!$A:$Z,MATCH(A72,'13C'!$B:$B,0),MATCH(Summary!$I$1,'13C'!$A$1:$Z$1,0)))</f>
        <v>-25.514032898748269</v>
      </c>
    </row>
    <row r="73" spans="1:9" x14ac:dyDescent="0.2">
      <c r="A73">
        <v>27899</v>
      </c>
      <c r="B73" t="s">
        <v>174</v>
      </c>
      <c r="C73" s="10">
        <f>IF(ISNA(MATCH(A73,'Elemental analysis'!$Q$5:$Q$139,0)),"",INDEX('Elemental analysis'!$Q$5:$W$139,MATCH(Summary!$A73,'Elemental analysis'!$Q$5:$Q$139,0),MATCH(Summary!C$1,'Elemental analysis'!$Q$5:$W$5,0)))</f>
        <v>3.6895978340037029E-2</v>
      </c>
      <c r="D73" s="10">
        <f>IF(ISNA(MATCH(A73,'Elemental analysis'!$Y$5:$Y$139,0)),"",INDEX('Elemental analysis'!$Y$5:$AE$139,MATCH(Summary!$A73,'Elemental analysis'!$Y$5:$Y$139,0),MATCH(Summary!D$1,'Elemental analysis'!$Y$5:$AE$5,0)))</f>
        <v>0.58752665449159758</v>
      </c>
      <c r="E73" s="10">
        <f>IF( IF(ISNA(MATCH(A73,'Elemental analysis'!$Y$5:$Y$139,0)),"",INDEX('Elemental analysis'!$Y$5:$AE$139,MATCH(Summary!$A73,'Elemental analysis'!$Y$5:$Y$139,0),MATCH(Summary!E$1,'Elemental analysis'!$Y$5:$AE$5,0)))=0,"",IF(ISNA(MATCH(A73,'Elemental analysis'!$Y$5:$Y$139,0)),"",INDEX('Elemental analysis'!$Y$5:$AE$139,MATCH(Summary!$A73,'Elemental analysis'!$Y$5:$Y$139,0),MATCH(Summary!E$1,'Elemental analysis'!$Y$5:$AE$5,0))))</f>
        <v>5.92</v>
      </c>
      <c r="F73" s="10">
        <f t="shared" si="2"/>
        <v>6.232428773654904E-3</v>
      </c>
      <c r="G73" s="10">
        <f t="shared" si="3"/>
        <v>9.9244367312769866E-2</v>
      </c>
      <c r="H73" s="11">
        <f>IF(ISNA(MATCH(A73,'15N'!$B:$B,0)),"",INDEX('15N'!$A:$Y,MATCH(A73,'15N'!$B:$B,0),MATCH(Summary!$H$1,'15N'!$A$1:$Y$1,0)))</f>
        <v>2.7768429757783224</v>
      </c>
      <c r="I73" s="11">
        <f>IF(ISNA(MATCH(A73,'13C'!$B:$B,0)),"",INDEX('13C'!$A:$Z,MATCH(A73,'13C'!$B:$B,0),MATCH(Summary!$I$1,'13C'!$A$1:$Z$1,0)))</f>
        <v>-25.81369994864508</v>
      </c>
    </row>
    <row r="74" spans="1:9" x14ac:dyDescent="0.2">
      <c r="A74">
        <v>27901</v>
      </c>
      <c r="B74" t="s">
        <v>175</v>
      </c>
      <c r="C74" s="10">
        <f>IF(ISNA(MATCH(A74,'Elemental analysis'!$Q$5:$Q$139,0)),"",INDEX('Elemental analysis'!$Q$5:$W$139,MATCH(Summary!$A74,'Elemental analysis'!$Q$5:$Q$139,0),MATCH(Summary!C$1,'Elemental analysis'!$Q$5:$W$5,0)))</f>
        <v>1.6059325189260867E-2</v>
      </c>
      <c r="D74" s="10">
        <f>IF(ISNA(MATCH(A74,'Elemental analysis'!$Y$5:$Y$139,0)),"",INDEX('Elemental analysis'!$Y$5:$AE$139,MATCH(Summary!$A74,'Elemental analysis'!$Y$5:$Y$139,0),MATCH(Summary!D$1,'Elemental analysis'!$Y$5:$AE$5,0)))</f>
        <v>0.23419143016467503</v>
      </c>
      <c r="E74" s="10">
        <f>IF( IF(ISNA(MATCH(A74,'Elemental analysis'!$Y$5:$Y$139,0)),"",INDEX('Elemental analysis'!$Y$5:$AE$139,MATCH(Summary!$A74,'Elemental analysis'!$Y$5:$Y$139,0),MATCH(Summary!E$1,'Elemental analysis'!$Y$5:$AE$5,0)))=0,"",IF(ISNA(MATCH(A74,'Elemental analysis'!$Y$5:$Y$139,0)),"",INDEX('Elemental analysis'!$Y$5:$AE$139,MATCH(Summary!$A74,'Elemental analysis'!$Y$5:$Y$139,0),MATCH(Summary!E$1,'Elemental analysis'!$Y$5:$AE$5,0))))</f>
        <v>5.8079999999999998</v>
      </c>
      <c r="F74" s="10">
        <f t="shared" si="2"/>
        <v>2.765035328729488E-3</v>
      </c>
      <c r="G74" s="10">
        <f t="shared" si="3"/>
        <v>4.0322215937444048E-2</v>
      </c>
      <c r="H74" s="11">
        <f>IF(ISNA(MATCH(A74,'15N'!$B:$B,0)),"",INDEX('15N'!$A:$Y,MATCH(A74,'15N'!$B:$B,0),MATCH(Summary!$H$1,'15N'!$A$1:$Y$1,0)))</f>
        <v>1.8350563041357191</v>
      </c>
      <c r="I74" s="11">
        <f>IF(ISNA(MATCH(A74,'13C'!$B:$B,0)),"",INDEX('13C'!$A:$Z,MATCH(A74,'13C'!$B:$B,0),MATCH(Summary!$I$1,'13C'!$A$1:$Z$1,0)))</f>
        <v>-24.938038842838523</v>
      </c>
    </row>
    <row r="75" spans="1:9" x14ac:dyDescent="0.2">
      <c r="A75">
        <v>27902</v>
      </c>
      <c r="B75" t="s">
        <v>176</v>
      </c>
      <c r="C75" s="10">
        <f>IF(ISNA(MATCH(A75,'Elemental analysis'!$Q$5:$Q$139,0)),"",INDEX('Elemental analysis'!$Q$5:$W$139,MATCH(Summary!$A75,'Elemental analysis'!$Q$5:$Q$139,0),MATCH(Summary!C$1,'Elemental analysis'!$Q$5:$W$5,0)))</f>
        <v>4.121912090303901E-2</v>
      </c>
      <c r="D75" s="10">
        <f>IF(ISNA(MATCH(A75,'Elemental analysis'!$Y$5:$Y$139,0)),"",INDEX('Elemental analysis'!$Y$5:$AE$139,MATCH(Summary!$A75,'Elemental analysis'!$Y$5:$Y$139,0),MATCH(Summary!D$1,'Elemental analysis'!$Y$5:$AE$5,0)))</f>
        <v>0.67369738077161745</v>
      </c>
      <c r="E75" s="10">
        <f>IF( IF(ISNA(MATCH(A75,'Elemental analysis'!$Y$5:$Y$139,0)),"",INDEX('Elemental analysis'!$Y$5:$AE$139,MATCH(Summary!$A75,'Elemental analysis'!$Y$5:$Y$139,0),MATCH(Summary!E$1,'Elemental analysis'!$Y$5:$AE$5,0)))=0,"",IF(ISNA(MATCH(A75,'Elemental analysis'!$Y$5:$Y$139,0)),"",INDEX('Elemental analysis'!$Y$5:$AE$139,MATCH(Summary!$A75,'Elemental analysis'!$Y$5:$Y$139,0),MATCH(Summary!E$1,'Elemental analysis'!$Y$5:$AE$5,0))))</f>
        <v>5.6349999999999998</v>
      </c>
      <c r="F75" s="10">
        <f t="shared" si="2"/>
        <v>7.3148395568835871E-3</v>
      </c>
      <c r="G75" s="10">
        <f t="shared" si="3"/>
        <v>0.1195558794625763</v>
      </c>
      <c r="H75" s="11">
        <f>IF(ISNA(MATCH(A75,'15N'!$B:$B,0)),"",INDEX('15N'!$A:$Y,MATCH(A75,'15N'!$B:$B,0),MATCH(Summary!$H$1,'15N'!$A$1:$Y$1,0)))</f>
        <v>2.1824799877800842</v>
      </c>
      <c r="I75" s="11">
        <f>IF(ISNA(MATCH(A75,'13C'!$B:$B,0)),"",INDEX('13C'!$A:$Z,MATCH(A75,'13C'!$B:$B,0),MATCH(Summary!$I$1,'13C'!$A$1:$Z$1,0)))</f>
        <v>-24.682542021541849</v>
      </c>
    </row>
    <row r="76" spans="1:9" x14ac:dyDescent="0.2">
      <c r="A76">
        <v>27903</v>
      </c>
      <c r="B76" t="s">
        <v>177</v>
      </c>
      <c r="C76" s="10">
        <f>IF(ISNA(MATCH(A76,'Elemental analysis'!$Q$5:$Q$139,0)),"",INDEX('Elemental analysis'!$Q$5:$W$139,MATCH(Summary!$A76,'Elemental analysis'!$Q$5:$Q$139,0),MATCH(Summary!C$1,'Elemental analysis'!$Q$5:$W$5,0)))</f>
        <v>2.5840674703113575E-2</v>
      </c>
      <c r="D76" s="10">
        <f>IF(ISNA(MATCH(A76,'Elemental analysis'!$Y$5:$Y$139,0)),"",INDEX('Elemental analysis'!$Y$5:$AE$139,MATCH(Summary!$A76,'Elemental analysis'!$Y$5:$Y$139,0),MATCH(Summary!D$1,'Elemental analysis'!$Y$5:$AE$5,0)))</f>
        <v>0.3415643292549842</v>
      </c>
      <c r="E76" s="10">
        <f>IF( IF(ISNA(MATCH(A76,'Elemental analysis'!$Y$5:$Y$139,0)),"",INDEX('Elemental analysis'!$Y$5:$AE$139,MATCH(Summary!$A76,'Elemental analysis'!$Y$5:$Y$139,0),MATCH(Summary!E$1,'Elemental analysis'!$Y$5:$AE$5,0)))=0,"",IF(ISNA(MATCH(A76,'Elemental analysis'!$Y$5:$Y$139,0)),"",INDEX('Elemental analysis'!$Y$5:$AE$139,MATCH(Summary!$A76,'Elemental analysis'!$Y$5:$Y$139,0),MATCH(Summary!E$1,'Elemental analysis'!$Y$5:$AE$5,0))))</f>
        <v>5.6280000000000001</v>
      </c>
      <c r="F76" s="10">
        <f t="shared" si="2"/>
        <v>4.59144895222345E-3</v>
      </c>
      <c r="G76" s="10">
        <f t="shared" si="3"/>
        <v>6.0690179327466988E-2</v>
      </c>
      <c r="H76" s="11">
        <f>IF(ISNA(MATCH(A76,'15N'!$B:$B,0)),"",INDEX('15N'!$A:$Y,MATCH(A76,'15N'!$B:$B,0),MATCH(Summary!$H$1,'15N'!$A$1:$Y$1,0)))</f>
        <v>5.9833036020230566</v>
      </c>
      <c r="I76" s="11">
        <f>IF(ISNA(MATCH(A76,'13C'!$B:$B,0)),"",INDEX('13C'!$A:$Z,MATCH(A76,'13C'!$B:$B,0),MATCH(Summary!$I$1,'13C'!$A$1:$Z$1,0)))</f>
        <v>-24.927208374910606</v>
      </c>
    </row>
    <row r="77" spans="1:9" x14ac:dyDescent="0.2">
      <c r="A77">
        <v>27904</v>
      </c>
      <c r="B77" t="s">
        <v>178</v>
      </c>
      <c r="C77" s="10">
        <f>IF(ISNA(MATCH(A77,'Elemental analysis'!$Q$5:$Q$139,0)),"",INDEX('Elemental analysis'!$Q$5:$W$139,MATCH(Summary!$A77,'Elemental analysis'!$Q$5:$Q$139,0),MATCH(Summary!C$1,'Elemental analysis'!$Q$5:$W$5,0)))</f>
        <v>5.2577746950217406E-2</v>
      </c>
      <c r="D77" s="10">
        <f>IF(ISNA(MATCH(A77,'Elemental analysis'!$Y$5:$Y$139,0)),"",INDEX('Elemental analysis'!$Y$5:$AE$139,MATCH(Summary!$A77,'Elemental analysis'!$Y$5:$Y$139,0),MATCH(Summary!D$1,'Elemental analysis'!$Y$5:$AE$5,0)))</f>
        <v>0.80460750044069862</v>
      </c>
      <c r="E77" s="10">
        <f>IF( IF(ISNA(MATCH(A77,'Elemental analysis'!$Y$5:$Y$139,0)),"",INDEX('Elemental analysis'!$Y$5:$AE$139,MATCH(Summary!$A77,'Elemental analysis'!$Y$5:$Y$139,0),MATCH(Summary!E$1,'Elemental analysis'!$Y$5:$AE$5,0)))=0,"",IF(ISNA(MATCH(A77,'Elemental analysis'!$Y$5:$Y$139,0)),"",INDEX('Elemental analysis'!$Y$5:$AE$139,MATCH(Summary!$A77,'Elemental analysis'!$Y$5:$Y$139,0),MATCH(Summary!E$1,'Elemental analysis'!$Y$5:$AE$5,0))))</f>
        <v>5.806</v>
      </c>
      <c r="F77" s="10">
        <f t="shared" si="2"/>
        <v>9.0557607561518091E-3</v>
      </c>
      <c r="G77" s="10">
        <f t="shared" si="3"/>
        <v>0.13858207034803627</v>
      </c>
      <c r="H77" s="11">
        <f>IF(ISNA(MATCH(A77,'15N'!$B:$B,0)),"",INDEX('15N'!$A:$Y,MATCH(A77,'15N'!$B:$B,0),MATCH(Summary!$H$1,'15N'!$A$1:$Y$1,0)))</f>
        <v>1.6100288423450593</v>
      </c>
      <c r="I77" s="11">
        <f>IF(ISNA(MATCH(A77,'13C'!$B:$B,0)),"",INDEX('13C'!$A:$Z,MATCH(A77,'13C'!$B:$B,0),MATCH(Summary!$I$1,'13C'!$A$1:$Z$1,0)))</f>
        <v>-24.967123440417481</v>
      </c>
    </row>
    <row r="78" spans="1:9" x14ac:dyDescent="0.2">
      <c r="A78">
        <v>27905</v>
      </c>
      <c r="B78" t="s">
        <v>179</v>
      </c>
      <c r="C78" s="10">
        <f>IF(ISNA(MATCH(A78,'Elemental analysis'!$Q$5:$Q$139,0)),"",INDEX('Elemental analysis'!$Q$5:$W$139,MATCH(Summary!$A78,'Elemental analysis'!$Q$5:$Q$139,0),MATCH(Summary!C$1,'Elemental analysis'!$Q$5:$W$5,0)))</f>
        <v>1.0462228503188139E-2</v>
      </c>
      <c r="D78" s="10">
        <f>IF(ISNA(MATCH(A78,'Elemental analysis'!$Y$5:$Y$139,0)),"",INDEX('Elemental analysis'!$Y$5:$AE$139,MATCH(Summary!$A78,'Elemental analysis'!$Y$5:$Y$139,0),MATCH(Summary!D$1,'Elemental analysis'!$Y$5:$AE$5,0)))</f>
        <v>0.14396628108612436</v>
      </c>
      <c r="E78" s="10">
        <f>IF( IF(ISNA(MATCH(A78,'Elemental analysis'!$Y$5:$Y$139,0)),"",INDEX('Elemental analysis'!$Y$5:$AE$139,MATCH(Summary!$A78,'Elemental analysis'!$Y$5:$Y$139,0),MATCH(Summary!E$1,'Elemental analysis'!$Y$5:$AE$5,0)))=0,"",IF(ISNA(MATCH(A78,'Elemental analysis'!$Y$5:$Y$139,0)),"",INDEX('Elemental analysis'!$Y$5:$AE$139,MATCH(Summary!$A78,'Elemental analysis'!$Y$5:$Y$139,0),MATCH(Summary!E$1,'Elemental analysis'!$Y$5:$AE$5,0))))</f>
        <v>5.8339999999999996</v>
      </c>
      <c r="F78" s="10">
        <f t="shared" si="2"/>
        <v>1.7933199354110627E-3</v>
      </c>
      <c r="G78" s="10">
        <f t="shared" si="3"/>
        <v>2.4677113658917445E-2</v>
      </c>
      <c r="H78" s="11">
        <f>IF(ISNA(MATCH(A78,'15N'!$B:$B,0)),"",INDEX('15N'!$A:$Y,MATCH(A78,'15N'!$B:$B,0),MATCH(Summary!$H$1,'15N'!$A$1:$Y$1,0)))</f>
        <v>2.1953824894275158</v>
      </c>
      <c r="I78" s="11">
        <f>IF(ISNA(MATCH(A78,'13C'!$B:$B,0)),"",INDEX('13C'!$A:$Z,MATCH(A78,'13C'!$B:$B,0),MATCH(Summary!$I$1,'13C'!$A$1:$Z$1,0)))</f>
        <v>-23.034865694627115</v>
      </c>
    </row>
    <row r="79" spans="1:9" x14ac:dyDescent="0.2">
      <c r="A79">
        <v>27906</v>
      </c>
      <c r="B79" t="s">
        <v>180</v>
      </c>
      <c r="C79" s="10">
        <f>IF(ISNA(MATCH(A79,'Elemental analysis'!$Q$5:$Q$139,0)),"",INDEX('Elemental analysis'!$Q$5:$W$139,MATCH(Summary!$A79,'Elemental analysis'!$Q$5:$Q$139,0),MATCH(Summary!C$1,'Elemental analysis'!$Q$5:$W$5,0)))</f>
        <v>2.0592398788834027E-2</v>
      </c>
      <c r="D79" s="10">
        <f>IF(ISNA(MATCH(A79,'Elemental analysis'!$Y$5:$Y$139,0)),"",INDEX('Elemental analysis'!$Y$5:$AE$139,MATCH(Summary!$A79,'Elemental analysis'!$Y$5:$Y$139,0),MATCH(Summary!D$1,'Elemental analysis'!$Y$5:$AE$5,0)))</f>
        <v>0.31584316119385691</v>
      </c>
      <c r="E79" s="10">
        <f>IF( IF(ISNA(MATCH(A79,'Elemental analysis'!$Y$5:$Y$139,0)),"",INDEX('Elemental analysis'!$Y$5:$AE$139,MATCH(Summary!$A79,'Elemental analysis'!$Y$5:$Y$139,0),MATCH(Summary!E$1,'Elemental analysis'!$Y$5:$AE$5,0)))=0,"",IF(ISNA(MATCH(A79,'Elemental analysis'!$Y$5:$Y$139,0)),"",INDEX('Elemental analysis'!$Y$5:$AE$139,MATCH(Summary!$A79,'Elemental analysis'!$Y$5:$Y$139,0),MATCH(Summary!E$1,'Elemental analysis'!$Y$5:$AE$5,0))))</f>
        <v>5.9420000000000002</v>
      </c>
      <c r="F79" s="10">
        <f t="shared" si="2"/>
        <v>3.4655669452766792E-3</v>
      </c>
      <c r="G79" s="10">
        <f t="shared" si="3"/>
        <v>5.3154352270928462E-2</v>
      </c>
      <c r="H79" s="11">
        <f>IF(ISNA(MATCH(A79,'15N'!$B:$B,0)),"",INDEX('15N'!$A:$Y,MATCH(A79,'15N'!$B:$B,0),MATCH(Summary!$H$1,'15N'!$A$1:$Y$1,0)))</f>
        <v>2.1067681514271044</v>
      </c>
      <c r="I79" s="11">
        <f>IF(ISNA(MATCH(A79,'13C'!$B:$B,0)),"",INDEX('13C'!$A:$Z,MATCH(A79,'13C'!$B:$B,0),MATCH(Summary!$I$1,'13C'!$A$1:$Z$1,0)))</f>
        <v>-25.450338813005374</v>
      </c>
    </row>
    <row r="80" spans="1:9" x14ac:dyDescent="0.2">
      <c r="A80">
        <v>27907</v>
      </c>
      <c r="B80" t="s">
        <v>181</v>
      </c>
      <c r="C80" s="10">
        <f>IF(ISNA(MATCH(A80,'Elemental analysis'!$Q$5:$Q$139,0)),"",INDEX('Elemental analysis'!$Q$5:$W$139,MATCH(Summary!$A80,'Elemental analysis'!$Q$5:$Q$139,0),MATCH(Summary!C$1,'Elemental analysis'!$Q$5:$W$5,0)))</f>
        <v>4.4190882306668323E-2</v>
      </c>
      <c r="D80" s="10">
        <f>IF(ISNA(MATCH(A80,'Elemental analysis'!$Y$5:$Y$139,0)),"",INDEX('Elemental analysis'!$Y$5:$AE$139,MATCH(Summary!$A80,'Elemental analysis'!$Y$5:$Y$139,0),MATCH(Summary!D$1,'Elemental analysis'!$Y$5:$AE$5,0)))</f>
        <v>0.66602904125064566</v>
      </c>
      <c r="E80" s="10">
        <f>IF( IF(ISNA(MATCH(A80,'Elemental analysis'!$Y$5:$Y$139,0)),"",INDEX('Elemental analysis'!$Y$5:$AE$139,MATCH(Summary!$A80,'Elemental analysis'!$Y$5:$Y$139,0),MATCH(Summary!E$1,'Elemental analysis'!$Y$5:$AE$5,0)))=0,"",IF(ISNA(MATCH(A80,'Elemental analysis'!$Y$5:$Y$139,0)),"",INDEX('Elemental analysis'!$Y$5:$AE$139,MATCH(Summary!$A80,'Elemental analysis'!$Y$5:$Y$139,0),MATCH(Summary!E$1,'Elemental analysis'!$Y$5:$AE$5,0))))</f>
        <v>5.6849999999999996</v>
      </c>
      <c r="F80" s="10">
        <f t="shared" si="2"/>
        <v>7.7732422703022559E-3</v>
      </c>
      <c r="G80" s="10">
        <f t="shared" si="3"/>
        <v>0.11715550417777409</v>
      </c>
      <c r="H80" s="11">
        <f>IF(ISNA(MATCH(A80,'15N'!$B:$B,0)),"",INDEX('15N'!$A:$Y,MATCH(A80,'15N'!$B:$B,0),MATCH(Summary!$H$1,'15N'!$A$1:$Y$1,0)))</f>
        <v>2.6055096419539723</v>
      </c>
      <c r="I80" s="11">
        <f>IF(ISNA(MATCH(A80,'13C'!$B:$B,0)),"",INDEX('13C'!$A:$Z,MATCH(A80,'13C'!$B:$B,0),MATCH(Summary!$I$1,'13C'!$A$1:$Z$1,0)))</f>
        <v>-25.700093193638281</v>
      </c>
    </row>
    <row r="81" spans="1:9" x14ac:dyDescent="0.2">
      <c r="A81">
        <v>27908</v>
      </c>
      <c r="B81" t="s">
        <v>182</v>
      </c>
      <c r="C81" s="10">
        <f>IF(ISNA(MATCH(A81,'Elemental analysis'!$Q$5:$Q$139,0)),"",INDEX('Elemental analysis'!$Q$5:$W$139,MATCH(Summary!$A81,'Elemental analysis'!$Q$5:$Q$139,0),MATCH(Summary!C$1,'Elemental analysis'!$Q$5:$W$5,0)))</f>
        <v>3.891387058510147E-2</v>
      </c>
      <c r="D81" s="10">
        <f>IF(ISNA(MATCH(A81,'Elemental analysis'!$Y$5:$Y$139,0)),"",INDEX('Elemental analysis'!$Y$5:$AE$139,MATCH(Summary!$A81,'Elemental analysis'!$Y$5:$Y$139,0),MATCH(Summary!D$1,'Elemental analysis'!$Y$5:$AE$5,0)))</f>
        <v>0.60181537993620515</v>
      </c>
      <c r="E81" s="10">
        <f>IF( IF(ISNA(MATCH(A81,'Elemental analysis'!$Y$5:$Y$139,0)),"",INDEX('Elemental analysis'!$Y$5:$AE$139,MATCH(Summary!$A81,'Elemental analysis'!$Y$5:$Y$139,0),MATCH(Summary!E$1,'Elemental analysis'!$Y$5:$AE$5,0)))=0,"",IF(ISNA(MATCH(A81,'Elemental analysis'!$Y$5:$Y$139,0)),"",INDEX('Elemental analysis'!$Y$5:$AE$139,MATCH(Summary!$A81,'Elemental analysis'!$Y$5:$Y$139,0),MATCH(Summary!E$1,'Elemental analysis'!$Y$5:$AE$5,0))))</f>
        <v>5.76</v>
      </c>
      <c r="F81" s="10">
        <f t="shared" si="2"/>
        <v>6.7558803099134496E-3</v>
      </c>
      <c r="G81" s="10">
        <f t="shared" si="3"/>
        <v>0.10448183679448006</v>
      </c>
      <c r="H81" s="11">
        <f>IF(ISNA(MATCH(A81,'15N'!$B:$B,0)),"",INDEX('15N'!$A:$Y,MATCH(A81,'15N'!$B:$B,0),MATCH(Summary!$H$1,'15N'!$A$1:$Y$1,0)))</f>
        <v>1.8638348586840721</v>
      </c>
      <c r="I81" s="11">
        <f>IF(ISNA(MATCH(A81,'13C'!$B:$B,0)),"",INDEX('13C'!$A:$Z,MATCH(A81,'13C'!$B:$B,0),MATCH(Summary!$I$1,'13C'!$A$1:$Z$1,0)))</f>
        <v>-25.407930501444525</v>
      </c>
    </row>
    <row r="82" spans="1:9" x14ac:dyDescent="0.2">
      <c r="A82">
        <v>27909</v>
      </c>
      <c r="B82" t="s">
        <v>183</v>
      </c>
      <c r="C82" s="10">
        <f>IF(ISNA(MATCH(A82,'Elemental analysis'!$Q$5:$Q$139,0)),"",INDEX('Elemental analysis'!$Q$5:$W$139,MATCH(Summary!$A82,'Elemental analysis'!$Q$5:$Q$139,0),MATCH(Summary!C$1,'Elemental analysis'!$Q$5:$W$5,0)))</f>
        <v>2.346837416817231E-2</v>
      </c>
      <c r="D82" s="10">
        <f>IF(ISNA(MATCH(A82,'Elemental analysis'!$Y$5:$Y$139,0)),"",INDEX('Elemental analysis'!$Y$5:$AE$139,MATCH(Summary!$A82,'Elemental analysis'!$Y$5:$Y$139,0),MATCH(Summary!D$1,'Elemental analysis'!$Y$5:$AE$5,0)))</f>
        <v>0.37764104575629881</v>
      </c>
      <c r="E82" s="10">
        <f>IF( IF(ISNA(MATCH(A82,'Elemental analysis'!$Y$5:$Y$139,0)),"",INDEX('Elemental analysis'!$Y$5:$AE$139,MATCH(Summary!$A82,'Elemental analysis'!$Y$5:$Y$139,0),MATCH(Summary!E$1,'Elemental analysis'!$Y$5:$AE$5,0)))=0,"",IF(ISNA(MATCH(A82,'Elemental analysis'!$Y$5:$Y$139,0)),"",INDEX('Elemental analysis'!$Y$5:$AE$139,MATCH(Summary!$A82,'Elemental analysis'!$Y$5:$Y$139,0),MATCH(Summary!E$1,'Elemental analysis'!$Y$5:$AE$5,0))))</f>
        <v>5.6769999999999996</v>
      </c>
      <c r="F82" s="10">
        <f t="shared" si="2"/>
        <v>4.1339394342385614E-3</v>
      </c>
      <c r="G82" s="10">
        <f t="shared" si="3"/>
        <v>6.6521234059591122E-2</v>
      </c>
      <c r="H82" s="11">
        <f>IF(ISNA(MATCH(A82,'15N'!$B:$B,0)),"",INDEX('15N'!$A:$Y,MATCH(A82,'15N'!$B:$B,0),MATCH(Summary!$H$1,'15N'!$A$1:$Y$1,0)))</f>
        <v>4.0668928346473194</v>
      </c>
      <c r="I82" s="11">
        <f>IF(ISNA(MATCH(A82,'13C'!$B:$B,0)),"",INDEX('13C'!$A:$Z,MATCH(A82,'13C'!$B:$B,0),MATCH(Summary!$I$1,'13C'!$A$1:$Z$1,0)))</f>
        <v>-26.529629276634296</v>
      </c>
    </row>
    <row r="83" spans="1:9" x14ac:dyDescent="0.2">
      <c r="A83">
        <v>27910</v>
      </c>
      <c r="B83" t="s">
        <v>184</v>
      </c>
      <c r="C83" s="10">
        <f>IF(ISNA(MATCH(A83,'Elemental analysis'!$Q$5:$Q$139,0)),"",INDEX('Elemental analysis'!$Q$5:$W$139,MATCH(Summary!$A83,'Elemental analysis'!$Q$5:$Q$139,0),MATCH(Summary!C$1,'Elemental analysis'!$Q$5:$W$5,0)))</f>
        <v>1.8556945772649564E-2</v>
      </c>
      <c r="D83" s="10">
        <f>IF(ISNA(MATCH(A83,'Elemental analysis'!$Y$5:$Y$139,0)),"",INDEX('Elemental analysis'!$Y$5:$AE$139,MATCH(Summary!$A83,'Elemental analysis'!$Y$5:$Y$139,0),MATCH(Summary!D$1,'Elemental analysis'!$Y$5:$AE$5,0)))</f>
        <v>0.28198938579712401</v>
      </c>
      <c r="E83" s="10">
        <f>IF( IF(ISNA(MATCH(A83,'Elemental analysis'!$Y$5:$Y$139,0)),"",INDEX('Elemental analysis'!$Y$5:$AE$139,MATCH(Summary!$A83,'Elemental analysis'!$Y$5:$Y$139,0),MATCH(Summary!E$1,'Elemental analysis'!$Y$5:$AE$5,0)))=0,"",IF(ISNA(MATCH(A83,'Elemental analysis'!$Y$5:$Y$139,0)),"",INDEX('Elemental analysis'!$Y$5:$AE$139,MATCH(Summary!$A83,'Elemental analysis'!$Y$5:$Y$139,0),MATCH(Summary!E$1,'Elemental analysis'!$Y$5:$AE$5,0))))</f>
        <v>5.774</v>
      </c>
      <c r="F83" s="10">
        <f t="shared" si="2"/>
        <v>3.21388045941281E-3</v>
      </c>
      <c r="G83" s="10">
        <f t="shared" si="3"/>
        <v>4.8837787633724282E-2</v>
      </c>
      <c r="H83" s="11">
        <f>IF(ISNA(MATCH(A83,'15N'!$B:$B,0)),"",INDEX('15N'!$A:$Y,MATCH(A83,'15N'!$B:$B,0),MATCH(Summary!$H$1,'15N'!$A$1:$Y$1,0)))</f>
        <v>2.3336941884484759</v>
      </c>
      <c r="I83" s="11">
        <f>IF(ISNA(MATCH(A83,'13C'!$B:$B,0)),"",INDEX('13C'!$A:$Z,MATCH(A83,'13C'!$B:$B,0),MATCH(Summary!$I$1,'13C'!$A$1:$Z$1,0)))</f>
        <v>-25.678245322487328</v>
      </c>
    </row>
    <row r="84" spans="1:9" x14ac:dyDescent="0.2">
      <c r="A84">
        <v>27912</v>
      </c>
      <c r="B84" t="s">
        <v>185</v>
      </c>
      <c r="C84" s="10">
        <f>IF(ISNA(MATCH(A84,'Elemental analysis'!$Q$5:$Q$139,0)),"",INDEX('Elemental analysis'!$Q$5:$W$139,MATCH(Summary!$A84,'Elemental analysis'!$Q$5:$Q$139,0),MATCH(Summary!C$1,'Elemental analysis'!$Q$5:$W$5,0)))</f>
        <v>1.5609929091962099E-2</v>
      </c>
      <c r="D84" s="10">
        <f>IF(ISNA(MATCH(A84,'Elemental analysis'!$Y$5:$Y$139,0)),"",INDEX('Elemental analysis'!$Y$5:$AE$139,MATCH(Summary!$A84,'Elemental analysis'!$Y$5:$Y$139,0),MATCH(Summary!D$1,'Elemental analysis'!$Y$5:$AE$5,0)))</f>
        <v>0.21321255676916703</v>
      </c>
      <c r="E84" s="10">
        <f>IF( IF(ISNA(MATCH(A84,'Elemental analysis'!$Y$5:$Y$139,0)),"",INDEX('Elemental analysis'!$Y$5:$AE$139,MATCH(Summary!$A84,'Elemental analysis'!$Y$5:$Y$139,0),MATCH(Summary!E$1,'Elemental analysis'!$Y$5:$AE$5,0)))=0,"",IF(ISNA(MATCH(A84,'Elemental analysis'!$Y$5:$Y$139,0)),"",INDEX('Elemental analysis'!$Y$5:$AE$139,MATCH(Summary!$A84,'Elemental analysis'!$Y$5:$Y$139,0),MATCH(Summary!E$1,'Elemental analysis'!$Y$5:$AE$5,0))))</f>
        <v>5.7320000000000002</v>
      </c>
      <c r="F84" s="10">
        <f t="shared" si="2"/>
        <v>2.7232953754295357E-3</v>
      </c>
      <c r="G84" s="10">
        <f t="shared" si="3"/>
        <v>3.719688708464184E-2</v>
      </c>
      <c r="H84" s="11">
        <f>IF(ISNA(MATCH(A84,'15N'!$B:$B,0)),"",INDEX('15N'!$A:$Y,MATCH(A84,'15N'!$B:$B,0),MATCH(Summary!$H$1,'15N'!$A$1:$Y$1,0)))</f>
        <v>3.412805279925351</v>
      </c>
      <c r="I84" s="11">
        <f>IF(ISNA(MATCH(A84,'13C'!$B:$B,0)),"",INDEX('13C'!$A:$Z,MATCH(A84,'13C'!$B:$B,0),MATCH(Summary!$I$1,'13C'!$A$1:$Z$1,0)))</f>
        <v>-26.632052684933797</v>
      </c>
    </row>
    <row r="85" spans="1:9" x14ac:dyDescent="0.2">
      <c r="A85">
        <v>27913</v>
      </c>
      <c r="B85" t="s">
        <v>186</v>
      </c>
      <c r="C85" s="10">
        <f>IF(ISNA(MATCH(A85,'Elemental analysis'!$Q$5:$Q$139,0)),"",INDEX('Elemental analysis'!$Q$5:$W$139,MATCH(Summary!$A85,'Elemental analysis'!$Q$5:$Q$139,0),MATCH(Summary!C$1,'Elemental analysis'!$Q$5:$W$5,0)))</f>
        <v>3.2430753174336684E-2</v>
      </c>
      <c r="D85" s="10">
        <f>IF(ISNA(MATCH(A85,'Elemental analysis'!$Y$5:$Y$139,0)),"",INDEX('Elemental analysis'!$Y$5:$AE$139,MATCH(Summary!$A85,'Elemental analysis'!$Y$5:$Y$139,0),MATCH(Summary!D$1,'Elemental analysis'!$Y$5:$AE$5,0)))</f>
        <v>0.49163798642232753</v>
      </c>
      <c r="E85" s="10">
        <f>IF( IF(ISNA(MATCH(A85,'Elemental analysis'!$Y$5:$Y$139,0)),"",INDEX('Elemental analysis'!$Y$5:$AE$139,MATCH(Summary!$A85,'Elemental analysis'!$Y$5:$Y$139,0),MATCH(Summary!E$1,'Elemental analysis'!$Y$5:$AE$5,0)))=0,"",IF(ISNA(MATCH(A85,'Elemental analysis'!$Y$5:$Y$139,0)),"",INDEX('Elemental analysis'!$Y$5:$AE$139,MATCH(Summary!$A85,'Elemental analysis'!$Y$5:$Y$139,0),MATCH(Summary!E$1,'Elemental analysis'!$Y$5:$AE$5,0))))</f>
        <v>5.6559999999999997</v>
      </c>
      <c r="F85" s="10">
        <f t="shared" si="2"/>
        <v>5.7338672514739546E-3</v>
      </c>
      <c r="G85" s="10">
        <f t="shared" si="3"/>
        <v>8.6923264926154098E-2</v>
      </c>
      <c r="H85" s="11">
        <f>IF(ISNA(MATCH(A85,'15N'!$B:$B,0)),"",INDEX('15N'!$A:$Y,MATCH(A85,'15N'!$B:$B,0),MATCH(Summary!$H$1,'15N'!$A$1:$Y$1,0)))</f>
        <v>4.8174488820484385</v>
      </c>
      <c r="I85" s="11">
        <f>IF(ISNA(MATCH(A85,'13C'!$B:$B,0)),"",INDEX('13C'!$A:$Z,MATCH(A85,'13C'!$B:$B,0),MATCH(Summary!$I$1,'13C'!$A$1:$Z$1,0)))</f>
        <v>-24.931119585722854</v>
      </c>
    </row>
    <row r="86" spans="1:9" x14ac:dyDescent="0.2">
      <c r="A86">
        <v>27914</v>
      </c>
      <c r="B86" t="s">
        <v>187</v>
      </c>
      <c r="C86" s="10">
        <f>IF(ISNA(MATCH(A86,'Elemental analysis'!$Q$5:$Q$139,0)),"",INDEX('Elemental analysis'!$Q$5:$W$139,MATCH(Summary!$A86,'Elemental analysis'!$Q$5:$Q$139,0),MATCH(Summary!C$1,'Elemental analysis'!$Q$5:$W$5,0)))</f>
        <v>2.0095907896258838E-2</v>
      </c>
      <c r="D86" s="10">
        <f>IF(ISNA(MATCH(A86,'Elemental analysis'!$Y$5:$Y$139,0)),"",INDEX('Elemental analysis'!$Y$5:$AE$139,MATCH(Summary!$A86,'Elemental analysis'!$Y$5:$Y$139,0),MATCH(Summary!D$1,'Elemental analysis'!$Y$5:$AE$5,0)))</f>
        <v>0.25781577711810927</v>
      </c>
      <c r="E86" s="10">
        <f>IF( IF(ISNA(MATCH(A86,'Elemental analysis'!$Y$5:$Y$139,0)),"",INDEX('Elemental analysis'!$Y$5:$AE$139,MATCH(Summary!$A86,'Elemental analysis'!$Y$5:$Y$139,0),MATCH(Summary!E$1,'Elemental analysis'!$Y$5:$AE$5,0)))=0,"",IF(ISNA(MATCH(A86,'Elemental analysis'!$Y$5:$Y$139,0)),"",INDEX('Elemental analysis'!$Y$5:$AE$139,MATCH(Summary!$A86,'Elemental analysis'!$Y$5:$Y$139,0),MATCH(Summary!E$1,'Elemental analysis'!$Y$5:$AE$5,0))))</f>
        <v>5.5949999999999998</v>
      </c>
      <c r="F86" s="10">
        <f t="shared" si="2"/>
        <v>3.5917619117531436E-3</v>
      </c>
      <c r="G86" s="10">
        <f t="shared" si="3"/>
        <v>4.6079674194478872E-2</v>
      </c>
      <c r="H86" s="11">
        <f>IF(ISNA(MATCH(A86,'15N'!$B:$B,0)),"",INDEX('15N'!$A:$Y,MATCH(A86,'15N'!$B:$B,0),MATCH(Summary!$H$1,'15N'!$A$1:$Y$1,0)))</f>
        <v>5.2922878913761906</v>
      </c>
      <c r="I86" s="11">
        <f>IF(ISNA(MATCH(A86,'13C'!$B:$B,0)),"",INDEX('13C'!$A:$Z,MATCH(A86,'13C'!$B:$B,0),MATCH(Summary!$I$1,'13C'!$A$1:$Z$1,0)))</f>
        <v>-25.251164436391946</v>
      </c>
    </row>
    <row r="87" spans="1:9" x14ac:dyDescent="0.2">
      <c r="A87">
        <v>27915</v>
      </c>
      <c r="B87" t="s">
        <v>188</v>
      </c>
      <c r="C87" s="10">
        <f>IF(ISNA(MATCH(A87,'Elemental analysis'!$Q$5:$Q$139,0)),"",INDEX('Elemental analysis'!$Q$5:$W$139,MATCH(Summary!$A87,'Elemental analysis'!$Q$5:$Q$139,0),MATCH(Summary!C$1,'Elemental analysis'!$Q$5:$W$5,0)))</f>
        <v>2.3622430023907057E-2</v>
      </c>
      <c r="D87" s="10">
        <f>IF(ISNA(MATCH(A87,'Elemental analysis'!$Y$5:$Y$139,0)),"",INDEX('Elemental analysis'!$Y$5:$AE$139,MATCH(Summary!$A87,'Elemental analysis'!$Y$5:$Y$139,0),MATCH(Summary!D$1,'Elemental analysis'!$Y$5:$AE$5,0)))</f>
        <v>0.3467404279678728</v>
      </c>
      <c r="E87" s="10">
        <f>IF( IF(ISNA(MATCH(A87,'Elemental analysis'!$Y$5:$Y$139,0)),"",INDEX('Elemental analysis'!$Y$5:$AE$139,MATCH(Summary!$A87,'Elemental analysis'!$Y$5:$Y$139,0),MATCH(Summary!E$1,'Elemental analysis'!$Y$5:$AE$5,0)))=0,"",IF(ISNA(MATCH(A87,'Elemental analysis'!$Y$5:$Y$139,0)),"",INDEX('Elemental analysis'!$Y$5:$AE$139,MATCH(Summary!$A87,'Elemental analysis'!$Y$5:$Y$139,0),MATCH(Summary!E$1,'Elemental analysis'!$Y$5:$AE$5,0))))</f>
        <v>5.8550000000000004</v>
      </c>
      <c r="F87" s="10">
        <f t="shared" si="2"/>
        <v>4.0345738725716578E-3</v>
      </c>
      <c r="G87" s="10">
        <f t="shared" si="3"/>
        <v>5.9221251574359139E-2</v>
      </c>
      <c r="H87" s="11">
        <f>IF(ISNA(MATCH(A87,'15N'!$B:$B,0)),"",INDEX('15N'!$A:$Y,MATCH(A87,'15N'!$B:$B,0),MATCH(Summary!$H$1,'15N'!$A$1:$Y$1,0)))</f>
        <v>4.4062810059854201</v>
      </c>
      <c r="I87" s="11">
        <f>IF(ISNA(MATCH(A87,'13C'!$B:$B,0)),"",INDEX('13C'!$A:$Z,MATCH(A87,'13C'!$B:$B,0),MATCH(Summary!$I$1,'13C'!$A$1:$Z$1,0)))</f>
        <v>-26.031629252238645</v>
      </c>
    </row>
    <row r="88" spans="1:9" x14ac:dyDescent="0.2">
      <c r="A88">
        <v>27916</v>
      </c>
      <c r="B88" t="s">
        <v>189</v>
      </c>
      <c r="C88" s="10">
        <f>IF(ISNA(MATCH(A88,'Elemental analysis'!$Q$5:$Q$139,0)),"",INDEX('Elemental analysis'!$Q$5:$W$139,MATCH(Summary!$A88,'Elemental analysis'!$Q$5:$Q$139,0),MATCH(Summary!C$1,'Elemental analysis'!$Q$5:$W$5,0)))</f>
        <v>1.7528044228390046E-2</v>
      </c>
      <c r="D88" s="10">
        <f>IF(ISNA(MATCH(A88,'Elemental analysis'!$Y$5:$Y$139,0)),"",INDEX('Elemental analysis'!$Y$5:$AE$139,MATCH(Summary!$A88,'Elemental analysis'!$Y$5:$Y$139,0),MATCH(Summary!D$1,'Elemental analysis'!$Y$5:$AE$5,0)))</f>
        <v>0.24417410209232188</v>
      </c>
      <c r="E88" s="10">
        <f>IF( IF(ISNA(MATCH(A88,'Elemental analysis'!$Y$5:$Y$139,0)),"",INDEX('Elemental analysis'!$Y$5:$AE$139,MATCH(Summary!$A88,'Elemental analysis'!$Y$5:$Y$139,0),MATCH(Summary!E$1,'Elemental analysis'!$Y$5:$AE$5,0)))=0,"",IF(ISNA(MATCH(A88,'Elemental analysis'!$Y$5:$Y$139,0)),"",INDEX('Elemental analysis'!$Y$5:$AE$139,MATCH(Summary!$A88,'Elemental analysis'!$Y$5:$Y$139,0),MATCH(Summary!E$1,'Elemental analysis'!$Y$5:$AE$5,0))))</f>
        <v>5.77</v>
      </c>
      <c r="F88" s="10">
        <f t="shared" si="2"/>
        <v>3.0377892943483616E-3</v>
      </c>
      <c r="G88" s="10">
        <f t="shared" si="3"/>
        <v>4.2317868646849548E-2</v>
      </c>
      <c r="H88" s="11">
        <f>IF(ISNA(MATCH(A88,'15N'!$B:$B,0)),"",INDEX('15N'!$A:$Y,MATCH(A88,'15N'!$B:$B,0),MATCH(Summary!$H$1,'15N'!$A$1:$Y$1,0)))</f>
        <v>2.8413290033107614</v>
      </c>
      <c r="I88" s="11">
        <f>IF(ISNA(MATCH(A88,'13C'!$B:$B,0)),"",INDEX('13C'!$A:$Z,MATCH(A88,'13C'!$B:$B,0),MATCH(Summary!$I$1,'13C'!$A$1:$Z$1,0)))</f>
        <v>-25.487865210006817</v>
      </c>
    </row>
    <row r="89" spans="1:9" x14ac:dyDescent="0.2">
      <c r="A89">
        <v>27917</v>
      </c>
      <c r="B89" t="s">
        <v>190</v>
      </c>
      <c r="C89" s="10">
        <f>IF(ISNA(MATCH(A89,'Elemental analysis'!$Q$5:$Q$139,0)),"",INDEX('Elemental analysis'!$Q$5:$W$139,MATCH(Summary!$A89,'Elemental analysis'!$Q$5:$Q$139,0),MATCH(Summary!C$1,'Elemental analysis'!$Q$5:$W$5,0)))</f>
        <v>3.6543964700767484E-2</v>
      </c>
      <c r="D89" s="10">
        <f>IF(ISNA(MATCH(A89,'Elemental analysis'!$Y$5:$Y$139,0)),"",INDEX('Elemental analysis'!$Y$5:$AE$139,MATCH(Summary!$A89,'Elemental analysis'!$Y$5:$Y$139,0),MATCH(Summary!D$1,'Elemental analysis'!$Y$5:$AE$5,0)))</f>
        <v>0.59878971856157093</v>
      </c>
      <c r="E89" s="10">
        <f>IF( IF(ISNA(MATCH(A89,'Elemental analysis'!$Y$5:$Y$139,0)),"",INDEX('Elemental analysis'!$Y$5:$AE$139,MATCH(Summary!$A89,'Elemental analysis'!$Y$5:$Y$139,0),MATCH(Summary!E$1,'Elemental analysis'!$Y$5:$AE$5,0)))=0,"",IF(ISNA(MATCH(A89,'Elemental analysis'!$Y$5:$Y$139,0)),"",INDEX('Elemental analysis'!$Y$5:$AE$139,MATCH(Summary!$A89,'Elemental analysis'!$Y$5:$Y$139,0),MATCH(Summary!E$1,'Elemental analysis'!$Y$5:$AE$5,0))))</f>
        <v>5.9550000000000001</v>
      </c>
      <c r="F89" s="10">
        <f t="shared" si="2"/>
        <v>6.136685927920652E-3</v>
      </c>
      <c r="G89" s="10">
        <f t="shared" si="3"/>
        <v>0.10055242964929823</v>
      </c>
      <c r="H89" s="11">
        <f>IF(ISNA(MATCH(A89,'15N'!$B:$B,0)),"",INDEX('15N'!$A:$Y,MATCH(A89,'15N'!$B:$B,0),MATCH(Summary!$H$1,'15N'!$A$1:$Y$1,0)))</f>
        <v>3.3788925226758693</v>
      </c>
      <c r="I89" s="11">
        <f>IF(ISNA(MATCH(A89,'13C'!$B:$B,0)),"",INDEX('13C'!$A:$Z,MATCH(A89,'13C'!$B:$B,0),MATCH(Summary!$I$1,'13C'!$A$1:$Z$1,0)))</f>
        <v>-25.633718287386387</v>
      </c>
    </row>
    <row r="90" spans="1:9" x14ac:dyDescent="0.2">
      <c r="A90">
        <v>27918</v>
      </c>
      <c r="B90" t="s">
        <v>191</v>
      </c>
      <c r="C90" s="10">
        <f>IF(ISNA(MATCH(A90,'Elemental analysis'!$Q$5:$Q$139,0)),"",INDEX('Elemental analysis'!$Q$5:$W$139,MATCH(Summary!$A90,'Elemental analysis'!$Q$5:$Q$139,0),MATCH(Summary!C$1,'Elemental analysis'!$Q$5:$W$5,0)))</f>
        <v>4.3288099027725332E-2</v>
      </c>
      <c r="D90" s="10">
        <f>IF(ISNA(MATCH(A90,'Elemental analysis'!$Y$5:$Y$139,0)),"",INDEX('Elemental analysis'!$Y$5:$AE$139,MATCH(Summary!$A90,'Elemental analysis'!$Y$5:$Y$139,0),MATCH(Summary!D$1,'Elemental analysis'!$Y$5:$AE$5,0)))</f>
        <v>0.75004567454032745</v>
      </c>
      <c r="E90" s="10">
        <f>IF( IF(ISNA(MATCH(A90,'Elemental analysis'!$Y$5:$Y$139,0)),"",INDEX('Elemental analysis'!$Y$5:$AE$139,MATCH(Summary!$A90,'Elemental analysis'!$Y$5:$Y$139,0),MATCH(Summary!E$1,'Elemental analysis'!$Y$5:$AE$5,0)))=0,"",IF(ISNA(MATCH(A90,'Elemental analysis'!$Y$5:$Y$139,0)),"",INDEX('Elemental analysis'!$Y$5:$AE$139,MATCH(Summary!$A90,'Elemental analysis'!$Y$5:$Y$139,0),MATCH(Summary!E$1,'Elemental analysis'!$Y$5:$AE$5,0))))</f>
        <v>5.6680000000000001</v>
      </c>
      <c r="F90" s="10">
        <f t="shared" si="2"/>
        <v>7.6372792921180896E-3</v>
      </c>
      <c r="G90" s="10">
        <f t="shared" si="3"/>
        <v>0.13232986495065763</v>
      </c>
      <c r="H90" s="11">
        <f>IF(ISNA(MATCH(A90,'15N'!$B:$B,0)),"",INDEX('15N'!$A:$Y,MATCH(A90,'15N'!$B:$B,0),MATCH(Summary!$H$1,'15N'!$A$1:$Y$1,0)))</f>
        <v>3.3559827041643757</v>
      </c>
      <c r="I90" s="11">
        <f>IF(ISNA(MATCH(A90,'13C'!$B:$B,0)),"",INDEX('13C'!$A:$Z,MATCH(A90,'13C'!$B:$B,0),MATCH(Summary!$I$1,'13C'!$A$1:$Z$1,0)))</f>
        <v>-25.18264573196916</v>
      </c>
    </row>
    <row r="91" spans="1:9" x14ac:dyDescent="0.2">
      <c r="A91">
        <v>27919</v>
      </c>
      <c r="B91" t="s">
        <v>192</v>
      </c>
      <c r="C91" s="10">
        <f>IF(ISNA(MATCH(A91,'Elemental analysis'!$Q$5:$Q$139,0)),"",INDEX('Elemental analysis'!$Q$5:$W$139,MATCH(Summary!$A91,'Elemental analysis'!$Q$5:$Q$139,0),MATCH(Summary!C$1,'Elemental analysis'!$Q$5:$W$5,0)))</f>
        <v>2.0412799993288339E-2</v>
      </c>
      <c r="D91" s="10">
        <f>IF(ISNA(MATCH(A91,'Elemental analysis'!$Y$5:$Y$139,0)),"",INDEX('Elemental analysis'!$Y$5:$AE$139,MATCH(Summary!$A91,'Elemental analysis'!$Y$5:$Y$139,0),MATCH(Summary!D$1,'Elemental analysis'!$Y$5:$AE$5,0)))</f>
        <v>0.31979949066147417</v>
      </c>
      <c r="E91" s="10">
        <f>IF( IF(ISNA(MATCH(A91,'Elemental analysis'!$Y$5:$Y$139,0)),"",INDEX('Elemental analysis'!$Y$5:$AE$139,MATCH(Summary!$A91,'Elemental analysis'!$Y$5:$Y$139,0),MATCH(Summary!E$1,'Elemental analysis'!$Y$5:$AE$5,0)))=0,"",IF(ISNA(MATCH(A91,'Elemental analysis'!$Y$5:$Y$139,0)),"",INDEX('Elemental analysis'!$Y$5:$AE$139,MATCH(Summary!$A91,'Elemental analysis'!$Y$5:$Y$139,0),MATCH(Summary!E$1,'Elemental analysis'!$Y$5:$AE$5,0))))</f>
        <v>5.6050000000000004</v>
      </c>
      <c r="F91" s="10">
        <f t="shared" si="2"/>
        <v>3.6418911674020228E-3</v>
      </c>
      <c r="G91" s="10">
        <f t="shared" si="3"/>
        <v>5.7056108949415547E-2</v>
      </c>
      <c r="H91" s="11">
        <f>IF(ISNA(MATCH(A91,'15N'!$B:$B,0)),"",INDEX('15N'!$A:$Y,MATCH(A91,'15N'!$B:$B,0),MATCH(Summary!$H$1,'15N'!$A$1:$Y$1,0)))</f>
        <v>2.199181396572385</v>
      </c>
      <c r="I91" s="11">
        <f>IF(ISNA(MATCH(A91,'13C'!$B:$B,0)),"",INDEX('13C'!$A:$Z,MATCH(A91,'13C'!$B:$B,0),MATCH(Summary!$I$1,'13C'!$A$1:$Z$1,0)))</f>
        <v>-26.059881732477493</v>
      </c>
    </row>
    <row r="92" spans="1:9" x14ac:dyDescent="0.2">
      <c r="A92">
        <v>27920</v>
      </c>
      <c r="B92" t="s">
        <v>193</v>
      </c>
      <c r="C92" s="10">
        <f>IF(ISNA(MATCH(A92,'Elemental analysis'!$Q$5:$Q$139,0)),"",INDEX('Elemental analysis'!$Q$5:$W$139,MATCH(Summary!$A92,'Elemental analysis'!$Q$5:$Q$139,0),MATCH(Summary!C$1,'Elemental analysis'!$Q$5:$W$5,0)))</f>
        <v>2.5980362655204665E-2</v>
      </c>
      <c r="D92" s="10">
        <f>IF(ISNA(MATCH(A92,'Elemental analysis'!$Y$5:$Y$139,0)),"",INDEX('Elemental analysis'!$Y$5:$AE$139,MATCH(Summary!$A92,'Elemental analysis'!$Y$5:$Y$139,0),MATCH(Summary!D$1,'Elemental analysis'!$Y$5:$AE$5,0)))</f>
        <v>0.38489050847600992</v>
      </c>
      <c r="E92" s="10">
        <f>IF( IF(ISNA(MATCH(A92,'Elemental analysis'!$Y$5:$Y$139,0)),"",INDEX('Elemental analysis'!$Y$5:$AE$139,MATCH(Summary!$A92,'Elemental analysis'!$Y$5:$Y$139,0),MATCH(Summary!E$1,'Elemental analysis'!$Y$5:$AE$5,0)))=0,"",IF(ISNA(MATCH(A92,'Elemental analysis'!$Y$5:$Y$139,0)),"",INDEX('Elemental analysis'!$Y$5:$AE$139,MATCH(Summary!$A92,'Elemental analysis'!$Y$5:$Y$139,0),MATCH(Summary!E$1,'Elemental analysis'!$Y$5:$AE$5,0))))</f>
        <v>5.827</v>
      </c>
      <c r="F92" s="10">
        <f t="shared" si="2"/>
        <v>4.4586172396095186E-3</v>
      </c>
      <c r="G92" s="10">
        <f t="shared" si="3"/>
        <v>6.6052944650078924E-2</v>
      </c>
      <c r="H92" s="11">
        <f>IF(ISNA(MATCH(A92,'15N'!$B:$B,0)),"",INDEX('15N'!$A:$Y,MATCH(A92,'15N'!$B:$B,0),MATCH(Summary!$H$1,'15N'!$A$1:$Y$1,0)))</f>
        <v>2.6959314948586552</v>
      </c>
      <c r="I92" s="11">
        <f>IF(ISNA(MATCH(A92,'13C'!$B:$B,0)),"",INDEX('13C'!$A:$Z,MATCH(A92,'13C'!$B:$B,0),MATCH(Summary!$I$1,'13C'!$A$1:$Z$1,0)))</f>
        <v>-24.777594847170349</v>
      </c>
    </row>
    <row r="93" spans="1:9" x14ac:dyDescent="0.2">
      <c r="A93">
        <v>27921</v>
      </c>
      <c r="B93" t="s">
        <v>194</v>
      </c>
      <c r="C93" s="10">
        <f>IF(ISNA(MATCH(A93,'Elemental analysis'!$Q$5:$Q$139,0)),"",INDEX('Elemental analysis'!$Q$5:$W$139,MATCH(Summary!$A93,'Elemental analysis'!$Q$5:$Q$139,0),MATCH(Summary!C$1,'Elemental analysis'!$Q$5:$W$5,0)))</f>
        <v>3.0577293604305184E-2</v>
      </c>
      <c r="D93" s="10">
        <f>IF(ISNA(MATCH(A93,'Elemental analysis'!$Y$5:$Y$139,0)),"",INDEX('Elemental analysis'!$Y$5:$AE$139,MATCH(Summary!$A93,'Elemental analysis'!$Y$5:$Y$139,0),MATCH(Summary!D$1,'Elemental analysis'!$Y$5:$AE$5,0)))</f>
        <v>0.44612085305245269</v>
      </c>
      <c r="E93" s="10">
        <f>IF( IF(ISNA(MATCH(A93,'Elemental analysis'!$Y$5:$Y$139,0)),"",INDEX('Elemental analysis'!$Y$5:$AE$139,MATCH(Summary!$A93,'Elemental analysis'!$Y$5:$Y$139,0),MATCH(Summary!E$1,'Elemental analysis'!$Y$5:$AE$5,0)))=0,"",IF(ISNA(MATCH(A93,'Elemental analysis'!$Y$5:$Y$139,0)),"",INDEX('Elemental analysis'!$Y$5:$AE$139,MATCH(Summary!$A93,'Elemental analysis'!$Y$5:$Y$139,0),MATCH(Summary!E$1,'Elemental analysis'!$Y$5:$AE$5,0))))</f>
        <v>5.7709999999999999</v>
      </c>
      <c r="F93" s="10">
        <f t="shared" si="2"/>
        <v>5.2984393700060972E-3</v>
      </c>
      <c r="G93" s="10">
        <f t="shared" si="3"/>
        <v>7.7303907997305965E-2</v>
      </c>
      <c r="H93" s="11">
        <f>IF(ISNA(MATCH(A93,'15N'!$B:$B,0)),"",INDEX('15N'!$A:$Y,MATCH(A93,'15N'!$B:$B,0),MATCH(Summary!$H$1,'15N'!$A$1:$Y$1,0)))</f>
        <v>2.0040332900658768</v>
      </c>
      <c r="I93" s="11">
        <f>IF(ISNA(MATCH(A93,'13C'!$B:$B,0)),"",INDEX('13C'!$A:$Z,MATCH(A93,'13C'!$B:$B,0),MATCH(Summary!$I$1,'13C'!$A$1:$Z$1,0)))</f>
        <v>-25.964505414499513</v>
      </c>
    </row>
    <row r="94" spans="1:9" x14ac:dyDescent="0.2">
      <c r="A94">
        <v>27923</v>
      </c>
      <c r="B94" t="s">
        <v>195</v>
      </c>
      <c r="C94" s="10">
        <f>IF(ISNA(MATCH(A94,'Elemental analysis'!$Q$5:$Q$139,0)),"",INDEX('Elemental analysis'!$Q$5:$W$139,MATCH(Summary!$A94,'Elemental analysis'!$Q$5:$Q$139,0),MATCH(Summary!C$1,'Elemental analysis'!$Q$5:$W$5,0)))</f>
        <v>1.5780747501947776E-2</v>
      </c>
      <c r="D94" s="10">
        <f>IF(ISNA(MATCH(A94,'Elemental analysis'!$Y$5:$Y$139,0)),"",INDEX('Elemental analysis'!$Y$5:$AE$139,MATCH(Summary!$A94,'Elemental analysis'!$Y$5:$Y$139,0),MATCH(Summary!D$1,'Elemental analysis'!$Y$5:$AE$5,0)))</f>
        <v>0.22245343596149028</v>
      </c>
      <c r="E94" s="10">
        <f>IF( IF(ISNA(MATCH(A94,'Elemental analysis'!$Y$5:$Y$139,0)),"",INDEX('Elemental analysis'!$Y$5:$AE$139,MATCH(Summary!$A94,'Elemental analysis'!$Y$5:$Y$139,0),MATCH(Summary!E$1,'Elemental analysis'!$Y$5:$AE$5,0)))=0,"",IF(ISNA(MATCH(A94,'Elemental analysis'!$Y$5:$Y$139,0)),"",INDEX('Elemental analysis'!$Y$5:$AE$139,MATCH(Summary!$A94,'Elemental analysis'!$Y$5:$Y$139,0),MATCH(Summary!E$1,'Elemental analysis'!$Y$5:$AE$5,0))))</f>
        <v>5.8040000000000003</v>
      </c>
      <c r="F94" s="10">
        <f t="shared" si="2"/>
        <v>2.7189434014382799E-3</v>
      </c>
      <c r="G94" s="10">
        <f t="shared" si="3"/>
        <v>3.8327607850015551E-2</v>
      </c>
      <c r="H94" s="11">
        <f>IF(ISNA(MATCH(A94,'15N'!$B:$B,0)),"",INDEX('15N'!$A:$Y,MATCH(A94,'15N'!$B:$B,0),MATCH(Summary!$H$1,'15N'!$A$1:$Y$1,0)))</f>
        <v>2.8203316160830809</v>
      </c>
      <c r="I94" s="11">
        <f>IF(ISNA(MATCH(A94,'13C'!$B:$B,0)),"",INDEX('13C'!$A:$Z,MATCH(A94,'13C'!$B:$B,0),MATCH(Summary!$I$1,'13C'!$A$1:$Z$1,0)))</f>
        <v>-24.318737062939022</v>
      </c>
    </row>
    <row r="95" spans="1:9" x14ac:dyDescent="0.2">
      <c r="A95">
        <v>27924</v>
      </c>
      <c r="B95" t="s">
        <v>196</v>
      </c>
      <c r="C95" s="10">
        <f>IF(ISNA(MATCH(A95,'Elemental analysis'!$Q$5:$Q$139,0)),"",INDEX('Elemental analysis'!$Q$5:$W$139,MATCH(Summary!$A95,'Elemental analysis'!$Q$5:$Q$139,0),MATCH(Summary!C$1,'Elemental analysis'!$Q$5:$W$5,0)))</f>
        <v>4.6900030360366392E-2</v>
      </c>
      <c r="D95" s="10">
        <f>IF(ISNA(MATCH(A95,'Elemental analysis'!$Y$5:$Y$139,0)),"",INDEX('Elemental analysis'!$Y$5:$AE$139,MATCH(Summary!$A95,'Elemental analysis'!$Y$5:$Y$139,0),MATCH(Summary!D$1,'Elemental analysis'!$Y$5:$AE$5,0)))</f>
        <v>0.72221519522688771</v>
      </c>
      <c r="E95" s="10">
        <f>IF( IF(ISNA(MATCH(A95,'Elemental analysis'!$Y$5:$Y$139,0)),"",INDEX('Elemental analysis'!$Y$5:$AE$139,MATCH(Summary!$A95,'Elemental analysis'!$Y$5:$Y$139,0),MATCH(Summary!E$1,'Elemental analysis'!$Y$5:$AE$5,0)))=0,"",IF(ISNA(MATCH(A95,'Elemental analysis'!$Y$5:$Y$139,0)),"",INDEX('Elemental analysis'!$Y$5:$AE$139,MATCH(Summary!$A95,'Elemental analysis'!$Y$5:$Y$139,0),MATCH(Summary!E$1,'Elemental analysis'!$Y$5:$AE$5,0))))</f>
        <v>5.6890000000000001</v>
      </c>
      <c r="F95" s="10">
        <f t="shared" si="2"/>
        <v>8.2439849464521694E-3</v>
      </c>
      <c r="G95" s="10">
        <f t="shared" si="3"/>
        <v>0.12694941030530632</v>
      </c>
      <c r="H95" s="11">
        <f>IF(ISNA(MATCH(A95,'15N'!$B:$B,0)),"",INDEX('15N'!$A:$Y,MATCH(A95,'15N'!$B:$B,0),MATCH(Summary!$H$1,'15N'!$A$1:$Y$1,0)))</f>
        <v>3.4743698751193506</v>
      </c>
      <c r="I95" s="11">
        <f>IF(ISNA(MATCH(A95,'13C'!$B:$B,0)),"",INDEX('13C'!$A:$Z,MATCH(A95,'13C'!$B:$B,0),MATCH(Summary!$I$1,'13C'!$A$1:$Z$1,0)))</f>
        <v>-24.730467210807547</v>
      </c>
    </row>
    <row r="96" spans="1:9" x14ac:dyDescent="0.2">
      <c r="A96">
        <v>27925</v>
      </c>
      <c r="B96" t="s">
        <v>197</v>
      </c>
      <c r="C96" s="10">
        <f>IF(ISNA(MATCH(A96,'Elemental analysis'!$Q$5:$Q$139,0)),"",INDEX('Elemental analysis'!$Q$5:$W$139,MATCH(Summary!$A96,'Elemental analysis'!$Q$5:$Q$139,0),MATCH(Summary!C$1,'Elemental analysis'!$Q$5:$W$5,0)))</f>
        <v>1.3937664751214473E-2</v>
      </c>
      <c r="D96" s="10">
        <f>IF(ISNA(MATCH(A96,'Elemental analysis'!$Y$5:$Y$139,0)),"",INDEX('Elemental analysis'!$Y$5:$AE$139,MATCH(Summary!$A96,'Elemental analysis'!$Y$5:$Y$139,0),MATCH(Summary!D$1,'Elemental analysis'!$Y$5:$AE$5,0)))</f>
        <v>0.19425678216433021</v>
      </c>
      <c r="E96" s="10">
        <f>IF( IF(ISNA(MATCH(A96,'Elemental analysis'!$Y$5:$Y$139,0)),"",INDEX('Elemental analysis'!$Y$5:$AE$139,MATCH(Summary!$A96,'Elemental analysis'!$Y$5:$Y$139,0),MATCH(Summary!E$1,'Elemental analysis'!$Y$5:$AE$5,0)))=0,"",IF(ISNA(MATCH(A96,'Elemental analysis'!$Y$5:$Y$139,0)),"",INDEX('Elemental analysis'!$Y$5:$AE$139,MATCH(Summary!$A96,'Elemental analysis'!$Y$5:$Y$139,0),MATCH(Summary!E$1,'Elemental analysis'!$Y$5:$AE$5,0))))</f>
        <v>5.6379999999999999</v>
      </c>
      <c r="F96" s="10">
        <f t="shared" si="2"/>
        <v>2.4720937834718823E-3</v>
      </c>
      <c r="G96" s="10">
        <f t="shared" si="3"/>
        <v>3.4454909926273536E-2</v>
      </c>
      <c r="H96" s="11">
        <f>IF(ISNA(MATCH(A96,'15N'!$B:$B,0)),"",INDEX('15N'!$A:$Y,MATCH(A96,'15N'!$B:$B,0),MATCH(Summary!$H$1,'15N'!$A$1:$Y$1,0)))</f>
        <v>3.5231367421847608</v>
      </c>
      <c r="I96" s="11">
        <f>IF(ISNA(MATCH(A96,'13C'!$B:$B,0)),"",INDEX('13C'!$A:$Z,MATCH(A96,'13C'!$B:$B,0),MATCH(Summary!$I$1,'13C'!$A$1:$Z$1,0)))</f>
        <v>-22.311246209164324</v>
      </c>
    </row>
    <row r="97" spans="1:9" x14ac:dyDescent="0.2">
      <c r="A97">
        <v>27926</v>
      </c>
      <c r="B97" t="s">
        <v>198</v>
      </c>
      <c r="C97" s="10">
        <f>IF(ISNA(MATCH(A97,'Elemental analysis'!$Q$5:$Q$139,0)),"",INDEX('Elemental analysis'!$Q$5:$W$139,MATCH(Summary!$A97,'Elemental analysis'!$Q$5:$Q$139,0),MATCH(Summary!C$1,'Elemental analysis'!$Q$5:$W$5,0)))</f>
        <v>1.8302314591409234E-2</v>
      </c>
      <c r="D97" s="10">
        <f>IF(ISNA(MATCH(A97,'Elemental analysis'!$Y$5:$Y$139,0)),"",INDEX('Elemental analysis'!$Y$5:$AE$139,MATCH(Summary!$A97,'Elemental analysis'!$Y$5:$Y$139,0),MATCH(Summary!D$1,'Elemental analysis'!$Y$5:$AE$5,0)))</f>
        <v>0.26941272407839673</v>
      </c>
      <c r="E97" s="10">
        <f>IF( IF(ISNA(MATCH(A97,'Elemental analysis'!$Y$5:$Y$139,0)),"",INDEX('Elemental analysis'!$Y$5:$AE$139,MATCH(Summary!$A97,'Elemental analysis'!$Y$5:$Y$139,0),MATCH(Summary!E$1,'Elemental analysis'!$Y$5:$AE$5,0)))=0,"",IF(ISNA(MATCH(A97,'Elemental analysis'!$Y$5:$Y$139,0)),"",INDEX('Elemental analysis'!$Y$5:$AE$139,MATCH(Summary!$A97,'Elemental analysis'!$Y$5:$Y$139,0),MATCH(Summary!E$1,'Elemental analysis'!$Y$5:$AE$5,0))))</f>
        <v>5.7649999999999997</v>
      </c>
      <c r="F97" s="10">
        <f t="shared" si="2"/>
        <v>3.1747293306867712E-3</v>
      </c>
      <c r="G97" s="10">
        <f t="shared" si="3"/>
        <v>4.6732475989314265E-2</v>
      </c>
      <c r="H97" s="11">
        <f>IF(ISNA(MATCH(A97,'15N'!$B:$B,0)),"",INDEX('15N'!$A:$Y,MATCH(A97,'15N'!$B:$B,0),MATCH(Summary!$H$1,'15N'!$A$1:$Y$1,0)))</f>
        <v>1.799885932344182</v>
      </c>
      <c r="I97" s="11">
        <f>IF(ISNA(MATCH(A97,'13C'!$B:$B,0)),"",INDEX('13C'!$A:$Z,MATCH(A97,'13C'!$B:$B,0),MATCH(Summary!$I$1,'13C'!$A$1:$Z$1,0)))</f>
        <v>-23.180401734014822</v>
      </c>
    </row>
    <row r="98" spans="1:9" x14ac:dyDescent="0.2">
      <c r="A98" s="2"/>
      <c r="B98"/>
      <c r="C98" s="10" t="str">
        <f>IF(ISNA(MATCH(A98,'Elemental analysis'!$Q$5:$Q$139,0)),"",INDEX('Elemental analysis'!$Q$5:$W$139,MATCH(Summary!$A98,'Elemental analysis'!$Q$5:$Q$139,0),MATCH(Summary!C$1,'Elemental analysis'!$Q$5:$W$5,0)))</f>
        <v/>
      </c>
      <c r="D98" s="10" t="str">
        <f>IF(ISNA(MATCH(A98,'Elemental analysis'!$Y$5:$Y$139,0)),"",INDEX('Elemental analysis'!$Y$5:$AE$139,MATCH(Summary!$A98,'Elemental analysis'!$Y$5:$Y$139,0),MATCH(Summary!D$1,'Elemental analysis'!$Y$5:$AE$5,0)))</f>
        <v/>
      </c>
      <c r="E98" s="10" t="str">
        <f>IF( IF(ISNA(MATCH(A98,'Elemental analysis'!$Y$5:$Y$139,0)),"",INDEX('Elemental analysis'!$Y$5:$AE$139,MATCH(Summary!$A98,'Elemental analysis'!$Y$5:$Y$139,0),MATCH(Summary!E$1,'Elemental analysis'!$Y$5:$AE$5,0)))=0,"",IF(ISNA(MATCH(A98,'Elemental analysis'!$Y$5:$Y$139,0)),"",INDEX('Elemental analysis'!$Y$5:$AE$139,MATCH(Summary!$A98,'Elemental analysis'!$Y$5:$Y$139,0),MATCH(Summary!E$1,'Elemental analysis'!$Y$5:$AE$5,0))))</f>
        <v/>
      </c>
      <c r="F98" s="10" t="str">
        <f t="shared" si="2"/>
        <v/>
      </c>
      <c r="G98" s="10" t="str">
        <f t="shared" si="3"/>
        <v/>
      </c>
      <c r="H98" s="11" t="str">
        <f>IF(ISNA(MATCH(A98,'15N'!$B:$B,0)),"",INDEX('15N'!$A:$Y,MATCH(A98,'15N'!$B:$B,0),MATCH(Summary!$H$1,'15N'!$A$1:$Y$1,0)))</f>
        <v/>
      </c>
      <c r="I98" s="11" t="str">
        <f>IF(ISNA(MATCH(A98,'13C'!$B:$B,0)),"",INDEX('13C'!$A:$Z,MATCH(A98,'13C'!$B:$B,0),MATCH(Summary!$I$1,'13C'!$A$1:$Z$1,0)))</f>
        <v/>
      </c>
    </row>
    <row r="99" spans="1:9" x14ac:dyDescent="0.2">
      <c r="A99"/>
      <c r="B99"/>
      <c r="C99" s="10" t="str">
        <f>IF(ISNA(MATCH(A99,'Elemental analysis'!$Q$5:$Q$139,0)),"",INDEX('Elemental analysis'!$Q$5:$W$139,MATCH(Summary!$A99,'Elemental analysis'!$Q$5:$Q$139,0),MATCH(Summary!C$1,'Elemental analysis'!$Q$5:$W$5,0)))</f>
        <v/>
      </c>
      <c r="D99" s="10" t="str">
        <f>IF(ISNA(MATCH(A99,'Elemental analysis'!$Y$5:$Y$139,0)),"",INDEX('Elemental analysis'!$Y$5:$AE$139,MATCH(Summary!$A99,'Elemental analysis'!$Y$5:$Y$139,0),MATCH(Summary!D$1,'Elemental analysis'!$Y$5:$AE$5,0)))</f>
        <v/>
      </c>
      <c r="E99" s="10" t="str">
        <f>IF( IF(ISNA(MATCH(A99,'Elemental analysis'!$Y$5:$Y$139,0)),"",INDEX('Elemental analysis'!$Y$5:$AE$139,MATCH(Summary!$A99,'Elemental analysis'!$Y$5:$Y$139,0),MATCH(Summary!E$1,'Elemental analysis'!$Y$5:$AE$5,0)))=0,"",IF(ISNA(MATCH(A99,'Elemental analysis'!$Y$5:$Y$139,0)),"",INDEX('Elemental analysis'!$Y$5:$AE$139,MATCH(Summary!$A99,'Elemental analysis'!$Y$5:$Y$139,0),MATCH(Summary!E$1,'Elemental analysis'!$Y$5:$AE$5,0))))</f>
        <v/>
      </c>
      <c r="F99" s="10" t="str">
        <f t="shared" si="2"/>
        <v/>
      </c>
      <c r="G99" s="10" t="str">
        <f t="shared" si="3"/>
        <v/>
      </c>
      <c r="H99" s="11" t="str">
        <f>IF(ISNA(MATCH(A99,'15N'!$B:$B,0)),"",INDEX('15N'!$A:$Y,MATCH(A99,'15N'!$B:$B,0),MATCH(Summary!$H$1,'15N'!$A$1:$Y$1,0)))</f>
        <v/>
      </c>
      <c r="I99" s="11" t="str">
        <f>IF(ISNA(MATCH(A99,'13C'!$B:$B,0)),"",INDEX('13C'!$A:$Z,MATCH(A99,'13C'!$B:$B,0),MATCH(Summary!$I$1,'13C'!$A$1:$Z$1,0)))</f>
        <v/>
      </c>
    </row>
    <row r="100" spans="1:9" x14ac:dyDescent="0.2">
      <c r="A100"/>
      <c r="B100"/>
      <c r="C100" s="10" t="str">
        <f>IF(ISNA(MATCH(A100,'Elemental analysis'!$Q$5:$Q$139,0)),"",INDEX('Elemental analysis'!$Q$5:$W$139,MATCH(Summary!$A100,'Elemental analysis'!$Q$5:$Q$139,0),MATCH(Summary!C$1,'Elemental analysis'!$Q$5:$W$5,0)))</f>
        <v/>
      </c>
      <c r="D100" s="10" t="str">
        <f>IF(ISNA(MATCH(A100,'Elemental analysis'!$Y$5:$Y$139,0)),"",INDEX('Elemental analysis'!$Y$5:$AE$139,MATCH(Summary!$A100,'Elemental analysis'!$Y$5:$Y$139,0),MATCH(Summary!D$1,'Elemental analysis'!$Y$5:$AE$5,0)))</f>
        <v/>
      </c>
      <c r="E100" s="10" t="str">
        <f>IF( IF(ISNA(MATCH(A100,'Elemental analysis'!$Y$5:$Y$139,0)),"",INDEX('Elemental analysis'!$Y$5:$AE$139,MATCH(Summary!$A100,'Elemental analysis'!$Y$5:$Y$139,0),MATCH(Summary!E$1,'Elemental analysis'!$Y$5:$AE$5,0)))=0,"",IF(ISNA(MATCH(A100,'Elemental analysis'!$Y$5:$Y$139,0)),"",INDEX('Elemental analysis'!$Y$5:$AE$139,MATCH(Summary!$A100,'Elemental analysis'!$Y$5:$Y$139,0),MATCH(Summary!E$1,'Elemental analysis'!$Y$5:$AE$5,0))))</f>
        <v/>
      </c>
      <c r="F100" s="10" t="str">
        <f t="shared" si="2"/>
        <v/>
      </c>
      <c r="G100" s="10" t="str">
        <f t="shared" si="3"/>
        <v/>
      </c>
      <c r="H100" s="11" t="str">
        <f>IF(ISNA(MATCH(A100,'15N'!$B:$B,0)),"",INDEX('15N'!$A:$Y,MATCH(A100,'15N'!$B:$B,0),MATCH(Summary!$H$1,'15N'!$A$1:$Y$1,0)))</f>
        <v/>
      </c>
      <c r="I100" s="11" t="str">
        <f>IF(ISNA(MATCH(A100,'13C'!$B:$B,0)),"",INDEX('13C'!$A:$Z,MATCH(A100,'13C'!$B:$B,0),MATCH(Summary!$I$1,'13C'!$A$1:$Z$1,0)))</f>
        <v/>
      </c>
    </row>
    <row r="101" spans="1:9" x14ac:dyDescent="0.2">
      <c r="A101"/>
      <c r="B101"/>
      <c r="C101" s="10" t="str">
        <f>IF(ISNA(MATCH(A101,'Elemental analysis'!$Q$5:$Q$139,0)),"",INDEX('Elemental analysis'!$Q$5:$W$139,MATCH(Summary!$A101,'Elemental analysis'!$Q$5:$Q$139,0),MATCH(Summary!C$1,'Elemental analysis'!$Q$5:$W$5,0)))</f>
        <v/>
      </c>
      <c r="D101" s="10" t="str">
        <f>IF(ISNA(MATCH(A101,'Elemental analysis'!$Y$5:$Y$139,0)),"",INDEX('Elemental analysis'!$Y$5:$AE$139,MATCH(Summary!$A101,'Elemental analysis'!$Y$5:$Y$139,0),MATCH(Summary!D$1,'Elemental analysis'!$Y$5:$AE$5,0)))</f>
        <v/>
      </c>
      <c r="E101" s="10" t="str">
        <f>IF( IF(ISNA(MATCH(A101,'Elemental analysis'!$Y$5:$Y$139,0)),"",INDEX('Elemental analysis'!$Y$5:$AE$139,MATCH(Summary!$A101,'Elemental analysis'!$Y$5:$Y$139,0),MATCH(Summary!E$1,'Elemental analysis'!$Y$5:$AE$5,0)))=0,"",IF(ISNA(MATCH(A101,'Elemental analysis'!$Y$5:$Y$139,0)),"",INDEX('Elemental analysis'!$Y$5:$AE$139,MATCH(Summary!$A101,'Elemental analysis'!$Y$5:$Y$139,0),MATCH(Summary!E$1,'Elemental analysis'!$Y$5:$AE$5,0))))</f>
        <v/>
      </c>
      <c r="F101" s="10" t="str">
        <f t="shared" si="2"/>
        <v/>
      </c>
      <c r="G101" s="10" t="str">
        <f t="shared" si="3"/>
        <v/>
      </c>
      <c r="H101" s="11" t="str">
        <f>IF(ISNA(MATCH(A101,'15N'!$B:$B,0)),"",INDEX('15N'!$A:$Y,MATCH(A101,'15N'!$B:$B,0),MATCH(Summary!$H$1,'15N'!$A$1:$Y$1,0)))</f>
        <v/>
      </c>
      <c r="I101" s="11" t="str">
        <f>IF(ISNA(MATCH(A101,'13C'!$B:$B,0)),"",INDEX('13C'!$A:$Z,MATCH(A101,'13C'!$B:$B,0),MATCH(Summary!$I$1,'13C'!$A$1:$Z$1,0)))</f>
        <v/>
      </c>
    </row>
    <row r="102" spans="1:9" x14ac:dyDescent="0.2">
      <c r="A102" s="19"/>
      <c r="C102" s="10" t="str">
        <f>IF(ISNA(MATCH(A102,'Elemental analysis'!$Q$5:$Q$139,0)),"",INDEX('Elemental analysis'!$Q$5:$W$139,MATCH(Summary!$A102,'Elemental analysis'!$Q$5:$Q$139,0),MATCH(Summary!C$1,'Elemental analysis'!$Q$5:$W$5,0)))</f>
        <v/>
      </c>
      <c r="D102" s="10" t="str">
        <f>IF(ISNA(MATCH(A102,'Elemental analysis'!$Y$5:$Y$139,0)),"",INDEX('Elemental analysis'!$Y$5:$AE$139,MATCH(Summary!$A102,'Elemental analysis'!$Y$5:$Y$139,0),MATCH(Summary!D$1,'Elemental analysis'!$Y$5:$AE$5,0)))</f>
        <v/>
      </c>
      <c r="E102" s="10" t="str">
        <f>IF( IF(ISNA(MATCH(A102,'Elemental analysis'!$Y$5:$Y$139,0)),"",INDEX('Elemental analysis'!$Y$5:$AE$139,MATCH(Summary!$A102,'Elemental analysis'!$Y$5:$Y$139,0),MATCH(Summary!E$1,'Elemental analysis'!$Y$5:$AE$5,0)))=0,"",IF(ISNA(MATCH(A102,'Elemental analysis'!$Y$5:$Y$139,0)),"",INDEX('Elemental analysis'!$Y$5:$AE$139,MATCH(Summary!$A102,'Elemental analysis'!$Y$5:$Y$139,0),MATCH(Summary!E$1,'Elemental analysis'!$Y$5:$AE$5,0))))</f>
        <v/>
      </c>
      <c r="F102" s="10" t="str">
        <f t="shared" si="2"/>
        <v/>
      </c>
      <c r="G102" s="10" t="str">
        <f t="shared" si="3"/>
        <v/>
      </c>
      <c r="H102" s="11" t="str">
        <f>IF(ISNA(MATCH(A102,'15N'!$B:$B,0)),"",INDEX('15N'!$A:$Y,MATCH(A102,'15N'!$B:$B,0),MATCH(Summary!$H$1,'15N'!$A$1:$Y$1,0)))</f>
        <v/>
      </c>
      <c r="I102" s="11" t="str">
        <f>IF(ISNA(MATCH(A102,'13C'!$B:$B,0)),"",INDEX('13C'!$A:$Z,MATCH(A102,'13C'!$B:$B,0),MATCH(Summary!$I$1,'13C'!$A$1:$Z$1,0)))</f>
        <v/>
      </c>
    </row>
    <row r="103" spans="1:9" x14ac:dyDescent="0.2">
      <c r="A103" s="19"/>
      <c r="C103" s="10" t="str">
        <f>IF(ISNA(MATCH(A103,'Elemental analysis'!$Q$5:$Q$139,0)),"",INDEX('Elemental analysis'!$Q$5:$W$139,MATCH(Summary!$A103,'Elemental analysis'!$Q$5:$Q$139,0),MATCH(Summary!C$1,'Elemental analysis'!$Q$5:$W$5,0)))</f>
        <v/>
      </c>
      <c r="D103" s="10" t="str">
        <f>IF(ISNA(MATCH(A103,'Elemental analysis'!$Y$5:$Y$139,0)),"",INDEX('Elemental analysis'!$Y$5:$AE$139,MATCH(Summary!$A103,'Elemental analysis'!$Y$5:$Y$139,0),MATCH(Summary!D$1,'Elemental analysis'!$Y$5:$AE$5,0)))</f>
        <v/>
      </c>
      <c r="E103" s="10" t="str">
        <f>IF( IF(ISNA(MATCH(A103,'Elemental analysis'!$Y$5:$Y$139,0)),"",INDEX('Elemental analysis'!$Y$5:$AE$139,MATCH(Summary!$A103,'Elemental analysis'!$Y$5:$Y$139,0),MATCH(Summary!E$1,'Elemental analysis'!$Y$5:$AE$5,0)))=0,"",IF(ISNA(MATCH(A103,'Elemental analysis'!$Y$5:$Y$139,0)),"",INDEX('Elemental analysis'!$Y$5:$AE$139,MATCH(Summary!$A103,'Elemental analysis'!$Y$5:$Y$139,0),MATCH(Summary!E$1,'Elemental analysis'!$Y$5:$AE$5,0))))</f>
        <v/>
      </c>
      <c r="F103" s="10" t="str">
        <f t="shared" si="2"/>
        <v/>
      </c>
      <c r="G103" s="10" t="str">
        <f t="shared" si="3"/>
        <v/>
      </c>
      <c r="H103" s="11" t="str">
        <f>IF(ISNA(MATCH(A103,'15N'!$B:$B,0)),"",INDEX('15N'!$A:$Y,MATCH(A103,'15N'!$B:$B,0),MATCH(Summary!$H$1,'15N'!$A$1:$Y$1,0)))</f>
        <v/>
      </c>
      <c r="I103" s="11" t="str">
        <f>IF(ISNA(MATCH(A103,'13C'!$B:$B,0)),"",INDEX('13C'!$A:$Z,MATCH(A103,'13C'!$B:$B,0),MATCH(Summary!$I$1,'13C'!$A$1:$Z$1,0)))</f>
        <v/>
      </c>
    </row>
    <row r="104" spans="1:9" x14ac:dyDescent="0.2">
      <c r="A104" s="19"/>
      <c r="C104" s="10" t="str">
        <f>IF(ISNA(MATCH(A104,'Elemental analysis'!$Q$5:$Q$139,0)),"",INDEX('Elemental analysis'!$Q$5:$W$139,MATCH(Summary!$A104,'Elemental analysis'!$Q$5:$Q$139,0),MATCH(Summary!C$1,'Elemental analysis'!$Q$5:$W$5,0)))</f>
        <v/>
      </c>
      <c r="D104" s="10" t="str">
        <f>IF(ISNA(MATCH(A104,'Elemental analysis'!$Y$5:$Y$139,0)),"",INDEX('Elemental analysis'!$Y$5:$AE$139,MATCH(Summary!$A104,'Elemental analysis'!$Y$5:$Y$139,0),MATCH(Summary!D$1,'Elemental analysis'!$Y$5:$AE$5,0)))</f>
        <v/>
      </c>
      <c r="E104" s="10" t="str">
        <f>IF( IF(ISNA(MATCH(A104,'Elemental analysis'!$Y$5:$Y$139,0)),"",INDEX('Elemental analysis'!$Y$5:$AE$139,MATCH(Summary!$A104,'Elemental analysis'!$Y$5:$Y$139,0),MATCH(Summary!E$1,'Elemental analysis'!$Y$5:$AE$5,0)))=0,"",IF(ISNA(MATCH(A104,'Elemental analysis'!$Y$5:$Y$139,0)),"",INDEX('Elemental analysis'!$Y$5:$AE$139,MATCH(Summary!$A104,'Elemental analysis'!$Y$5:$Y$139,0),MATCH(Summary!E$1,'Elemental analysis'!$Y$5:$AE$5,0))))</f>
        <v/>
      </c>
      <c r="F104" s="10" t="str">
        <f t="shared" si="2"/>
        <v/>
      </c>
      <c r="G104" s="10" t="str">
        <f t="shared" si="3"/>
        <v/>
      </c>
      <c r="H104" s="11" t="str">
        <f>IF(ISNA(MATCH(A104,'15N'!$B:$B,0)),"",INDEX('15N'!$A:$Y,MATCH(A104,'15N'!$B:$B,0),MATCH(Summary!$H$1,'15N'!$A$1:$Y$1,0)))</f>
        <v/>
      </c>
      <c r="I104" s="11" t="str">
        <f>IF(ISNA(MATCH(A104,'13C'!$B:$B,0)),"",INDEX('13C'!$A:$Z,MATCH(A104,'13C'!$B:$B,0),MATCH(Summary!$I$1,'13C'!$A$1:$Z$1,0)))</f>
        <v/>
      </c>
    </row>
    <row r="105" spans="1:9" x14ac:dyDescent="0.2">
      <c r="A105" s="19"/>
      <c r="C105" s="10" t="str">
        <f>IF(ISNA(MATCH(A105,'Elemental analysis'!$Q$5:$Q$139,0)),"",INDEX('Elemental analysis'!$Q$5:$W$139,MATCH(Summary!$A105,'Elemental analysis'!$Q$5:$Q$139,0),MATCH(Summary!C$1,'Elemental analysis'!$Q$5:$W$5,0)))</f>
        <v/>
      </c>
      <c r="D105" s="10" t="str">
        <f>IF(ISNA(MATCH(A105,'Elemental analysis'!$Y$5:$Y$139,0)),"",INDEX('Elemental analysis'!$Y$5:$AE$139,MATCH(Summary!$A105,'Elemental analysis'!$Y$5:$Y$139,0),MATCH(Summary!D$1,'Elemental analysis'!$Y$5:$AE$5,0)))</f>
        <v/>
      </c>
      <c r="E105" s="10" t="str">
        <f>IF( IF(ISNA(MATCH(A105,'Elemental analysis'!$Y$5:$Y$139,0)),"",INDEX('Elemental analysis'!$Y$5:$AE$139,MATCH(Summary!$A105,'Elemental analysis'!$Y$5:$Y$139,0),MATCH(Summary!E$1,'Elemental analysis'!$Y$5:$AE$5,0)))=0,"",IF(ISNA(MATCH(A105,'Elemental analysis'!$Y$5:$Y$139,0)),"",INDEX('Elemental analysis'!$Y$5:$AE$139,MATCH(Summary!$A105,'Elemental analysis'!$Y$5:$Y$139,0),MATCH(Summary!E$1,'Elemental analysis'!$Y$5:$AE$5,0))))</f>
        <v/>
      </c>
      <c r="F105" s="10" t="str">
        <f t="shared" si="2"/>
        <v/>
      </c>
      <c r="G105" s="10" t="str">
        <f t="shared" si="3"/>
        <v/>
      </c>
      <c r="H105" s="11" t="str">
        <f>IF(ISNA(MATCH(A105,'15N'!$B:$B,0)),"",INDEX('15N'!$A:$Y,MATCH(A105,'15N'!$B:$B,0),MATCH(Summary!$H$1,'15N'!$A$1:$Y$1,0)))</f>
        <v/>
      </c>
      <c r="I105" s="11" t="str">
        <f>IF(ISNA(MATCH(A105,'13C'!$B:$B,0)),"",INDEX('13C'!$A:$Z,MATCH(A105,'13C'!$B:$B,0),MATCH(Summary!$I$1,'13C'!$A$1:$Z$1,0)))</f>
        <v/>
      </c>
    </row>
    <row r="106" spans="1:9" x14ac:dyDescent="0.2">
      <c r="A106" s="19"/>
      <c r="C106" s="10" t="str">
        <f>IF(ISNA(MATCH(A106,'Elemental analysis'!$Q$5:$Q$139,0)),"",INDEX('Elemental analysis'!$Q$5:$W$139,MATCH(Summary!$A106,'Elemental analysis'!$Q$5:$Q$139,0),MATCH(Summary!C$1,'Elemental analysis'!$Q$5:$W$5,0)))</f>
        <v/>
      </c>
      <c r="D106" s="10" t="str">
        <f>IF(ISNA(MATCH(A106,'Elemental analysis'!$Y$5:$Y$139,0)),"",INDEX('Elemental analysis'!$Y$5:$AE$139,MATCH(Summary!$A106,'Elemental analysis'!$Y$5:$Y$139,0),MATCH(Summary!D$1,'Elemental analysis'!$Y$5:$AE$5,0)))</f>
        <v/>
      </c>
      <c r="E106" s="10" t="str">
        <f>IF( IF(ISNA(MATCH(A106,'Elemental analysis'!$Y$5:$Y$139,0)),"",INDEX('Elemental analysis'!$Y$5:$AE$139,MATCH(Summary!$A106,'Elemental analysis'!$Y$5:$Y$139,0),MATCH(Summary!E$1,'Elemental analysis'!$Y$5:$AE$5,0)))=0,"",IF(ISNA(MATCH(A106,'Elemental analysis'!$Y$5:$Y$139,0)),"",INDEX('Elemental analysis'!$Y$5:$AE$139,MATCH(Summary!$A106,'Elemental analysis'!$Y$5:$Y$139,0),MATCH(Summary!E$1,'Elemental analysis'!$Y$5:$AE$5,0))))</f>
        <v/>
      </c>
      <c r="F106" s="10" t="str">
        <f t="shared" si="2"/>
        <v/>
      </c>
      <c r="G106" s="10" t="str">
        <f t="shared" si="3"/>
        <v/>
      </c>
      <c r="H106" s="11" t="str">
        <f>IF(ISNA(MATCH(A106,'15N'!$B:$B,0)),"",INDEX('15N'!$A:$Y,MATCH(A106,'15N'!$B:$B,0),MATCH(Summary!$H$1,'15N'!$A$1:$Y$1,0)))</f>
        <v/>
      </c>
      <c r="I106" s="11" t="str">
        <f>IF(ISNA(MATCH(A106,'13C'!$B:$B,0)),"",INDEX('13C'!$A:$Z,MATCH(A106,'13C'!$B:$B,0),MATCH(Summary!$I$1,'13C'!$A$1:$Z$1,0)))</f>
        <v/>
      </c>
    </row>
    <row r="107" spans="1:9" x14ac:dyDescent="0.2">
      <c r="A107" s="19"/>
      <c r="C107" s="10" t="str">
        <f>IF(ISNA(MATCH(A107,'Elemental analysis'!$Q$5:$Q$139,0)),"",INDEX('Elemental analysis'!$Q$5:$W$139,MATCH(Summary!$A107,'Elemental analysis'!$Q$5:$Q$139,0),MATCH(Summary!C$1,'Elemental analysis'!$Q$5:$W$5,0)))</f>
        <v/>
      </c>
      <c r="D107" s="10" t="str">
        <f>IF(ISNA(MATCH(A107,'Elemental analysis'!$Y$5:$Y$139,0)),"",INDEX('Elemental analysis'!$Y$5:$AE$139,MATCH(Summary!$A107,'Elemental analysis'!$Y$5:$Y$139,0),MATCH(Summary!D$1,'Elemental analysis'!$Y$5:$AE$5,0)))</f>
        <v/>
      </c>
      <c r="E107" s="10" t="str">
        <f>IF( IF(ISNA(MATCH(A107,'Elemental analysis'!$Y$5:$Y$139,0)),"",INDEX('Elemental analysis'!$Y$5:$AE$139,MATCH(Summary!$A107,'Elemental analysis'!$Y$5:$Y$139,0),MATCH(Summary!E$1,'Elemental analysis'!$Y$5:$AE$5,0)))=0,"",IF(ISNA(MATCH(A107,'Elemental analysis'!$Y$5:$Y$139,0)),"",INDEX('Elemental analysis'!$Y$5:$AE$139,MATCH(Summary!$A107,'Elemental analysis'!$Y$5:$Y$139,0),MATCH(Summary!E$1,'Elemental analysis'!$Y$5:$AE$5,0))))</f>
        <v/>
      </c>
      <c r="F107" s="10" t="str">
        <f t="shared" si="2"/>
        <v/>
      </c>
      <c r="G107" s="10" t="str">
        <f t="shared" si="3"/>
        <v/>
      </c>
      <c r="H107" s="11" t="str">
        <f>IF(ISNA(MATCH(A107,'15N'!$B:$B,0)),"",INDEX('15N'!$A:$Y,MATCH(A107,'15N'!$B:$B,0),MATCH(Summary!$H$1,'15N'!$A$1:$Y$1,0)))</f>
        <v/>
      </c>
      <c r="I107" s="11" t="str">
        <f>IF(ISNA(MATCH(A107,'13C'!$B:$B,0)),"",INDEX('13C'!$A:$Z,MATCH(A107,'13C'!$B:$B,0),MATCH(Summary!$I$1,'13C'!$A$1:$Z$1,0)))</f>
        <v/>
      </c>
    </row>
    <row r="108" spans="1:9" x14ac:dyDescent="0.2">
      <c r="A108" s="19"/>
      <c r="C108" s="10" t="str">
        <f>IF(ISNA(MATCH(A108,'Elemental analysis'!$Q$5:$Q$139,0)),"",INDEX('Elemental analysis'!$Q$5:$W$139,MATCH(Summary!$A108,'Elemental analysis'!$Q$5:$Q$139,0),MATCH(Summary!C$1,'Elemental analysis'!$Q$5:$W$5,0)))</f>
        <v/>
      </c>
      <c r="D108" s="10" t="str">
        <f>IF(ISNA(MATCH(A108,'Elemental analysis'!$Y$5:$Y$139,0)),"",INDEX('Elemental analysis'!$Y$5:$AE$139,MATCH(Summary!$A108,'Elemental analysis'!$Y$5:$Y$139,0),MATCH(Summary!D$1,'Elemental analysis'!$Y$5:$AE$5,0)))</f>
        <v/>
      </c>
      <c r="E108" s="10" t="str">
        <f>IF( IF(ISNA(MATCH(A108,'Elemental analysis'!$Y$5:$Y$139,0)),"",INDEX('Elemental analysis'!$Y$5:$AE$139,MATCH(Summary!$A108,'Elemental analysis'!$Y$5:$Y$139,0),MATCH(Summary!E$1,'Elemental analysis'!$Y$5:$AE$5,0)))=0,"",IF(ISNA(MATCH(A108,'Elemental analysis'!$Y$5:$Y$139,0)),"",INDEX('Elemental analysis'!$Y$5:$AE$139,MATCH(Summary!$A108,'Elemental analysis'!$Y$5:$Y$139,0),MATCH(Summary!E$1,'Elemental analysis'!$Y$5:$AE$5,0))))</f>
        <v/>
      </c>
      <c r="F108" s="10" t="str">
        <f t="shared" si="2"/>
        <v/>
      </c>
      <c r="G108" s="10" t="str">
        <f t="shared" si="3"/>
        <v/>
      </c>
      <c r="H108" s="11" t="str">
        <f>IF(ISNA(MATCH(A108,'15N'!$B:$B,0)),"",INDEX('15N'!$A:$Y,MATCH(A108,'15N'!$B:$B,0),MATCH(Summary!$H$1,'15N'!$A$1:$Y$1,0)))</f>
        <v/>
      </c>
      <c r="I108" s="11" t="str">
        <f>IF(ISNA(MATCH(A108,'13C'!$B:$B,0)),"",INDEX('13C'!$A:$Z,MATCH(A108,'13C'!$B:$B,0),MATCH(Summary!$I$1,'13C'!$A$1:$Z$1,0)))</f>
        <v/>
      </c>
    </row>
    <row r="109" spans="1:9" x14ac:dyDescent="0.2">
      <c r="A109" s="19"/>
      <c r="C109" s="10" t="str">
        <f>IF(ISNA(MATCH(A109,'Elemental analysis'!$Q$5:$Q$139,0)),"",INDEX('Elemental analysis'!$Q$5:$W$139,MATCH(Summary!$A109,'Elemental analysis'!$Q$5:$Q$139,0),MATCH(Summary!C$1,'Elemental analysis'!$Q$5:$W$5,0)))</f>
        <v/>
      </c>
      <c r="D109" s="10" t="str">
        <f>IF(ISNA(MATCH(A109,'Elemental analysis'!$Y$5:$Y$139,0)),"",INDEX('Elemental analysis'!$Y$5:$AE$139,MATCH(Summary!$A109,'Elemental analysis'!$Y$5:$Y$139,0),MATCH(Summary!D$1,'Elemental analysis'!$Y$5:$AE$5,0)))</f>
        <v/>
      </c>
      <c r="E109" s="10" t="str">
        <f>IF( IF(ISNA(MATCH(A109,'Elemental analysis'!$Y$5:$Y$139,0)),"",INDEX('Elemental analysis'!$Y$5:$AE$139,MATCH(Summary!$A109,'Elemental analysis'!$Y$5:$Y$139,0),MATCH(Summary!E$1,'Elemental analysis'!$Y$5:$AE$5,0)))=0,"",IF(ISNA(MATCH(A109,'Elemental analysis'!$Y$5:$Y$139,0)),"",INDEX('Elemental analysis'!$Y$5:$AE$139,MATCH(Summary!$A109,'Elemental analysis'!$Y$5:$Y$139,0),MATCH(Summary!E$1,'Elemental analysis'!$Y$5:$AE$5,0))))</f>
        <v/>
      </c>
      <c r="F109" s="10" t="str">
        <f t="shared" si="2"/>
        <v/>
      </c>
      <c r="G109" s="10" t="str">
        <f t="shared" si="3"/>
        <v/>
      </c>
      <c r="H109" s="11" t="str">
        <f>IF(ISNA(MATCH(A109,'15N'!$B:$B,0)),"",INDEX('15N'!$A:$Y,MATCH(A109,'15N'!$B:$B,0),MATCH(Summary!$H$1,'15N'!$A$1:$Y$1,0)))</f>
        <v/>
      </c>
      <c r="I109" s="11" t="str">
        <f>IF(ISNA(MATCH(A109,'13C'!$B:$B,0)),"",INDEX('13C'!$A:$Z,MATCH(A109,'13C'!$B:$B,0),MATCH(Summary!$I$1,'13C'!$A$1:$Z$1,0)))</f>
        <v/>
      </c>
    </row>
    <row r="110" spans="1:9" x14ac:dyDescent="0.2">
      <c r="A110" s="19"/>
      <c r="C110" s="10" t="str">
        <f>IF(ISNA(MATCH(A110,'Elemental analysis'!$Q$5:$Q$139,0)),"",INDEX('Elemental analysis'!$Q$5:$W$139,MATCH(Summary!$A110,'Elemental analysis'!$Q$5:$Q$139,0),MATCH(Summary!C$1,'Elemental analysis'!$Q$5:$W$5,0)))</f>
        <v/>
      </c>
      <c r="D110" s="10" t="str">
        <f>IF(ISNA(MATCH(A110,'Elemental analysis'!$Y$5:$Y$139,0)),"",INDEX('Elemental analysis'!$Y$5:$AE$139,MATCH(Summary!$A110,'Elemental analysis'!$Y$5:$Y$139,0),MATCH(Summary!D$1,'Elemental analysis'!$Y$5:$AE$5,0)))</f>
        <v/>
      </c>
      <c r="E110" s="10" t="str">
        <f>IF( IF(ISNA(MATCH(A110,'Elemental analysis'!$Y$5:$Y$139,0)),"",INDEX('Elemental analysis'!$Y$5:$AE$139,MATCH(Summary!$A110,'Elemental analysis'!$Y$5:$Y$139,0),MATCH(Summary!E$1,'Elemental analysis'!$Y$5:$AE$5,0)))=0,"",IF(ISNA(MATCH(A110,'Elemental analysis'!$Y$5:$Y$139,0)),"",INDEX('Elemental analysis'!$Y$5:$AE$139,MATCH(Summary!$A110,'Elemental analysis'!$Y$5:$Y$139,0),MATCH(Summary!E$1,'Elemental analysis'!$Y$5:$AE$5,0))))</f>
        <v/>
      </c>
      <c r="F110" s="10" t="str">
        <f t="shared" si="2"/>
        <v/>
      </c>
      <c r="G110" s="10" t="str">
        <f t="shared" si="3"/>
        <v/>
      </c>
      <c r="H110" s="11" t="str">
        <f>IF(ISNA(MATCH(A110,'15N'!$B:$B,0)),"",INDEX('15N'!$A:$Y,MATCH(A110,'15N'!$B:$B,0),MATCH(Summary!$H$1,'15N'!$A$1:$Y$1,0)))</f>
        <v/>
      </c>
      <c r="I110" s="11" t="str">
        <f>IF(ISNA(MATCH(A110,'13C'!$B:$B,0)),"",INDEX('13C'!$A:$Z,MATCH(A110,'13C'!$B:$B,0),MATCH(Summary!$I$1,'13C'!$A$1:$Z$1,0)))</f>
        <v/>
      </c>
    </row>
    <row r="111" spans="1:9" x14ac:dyDescent="0.2">
      <c r="B111" s="20"/>
      <c r="C111" s="10" t="str">
        <f>IF(ISNA(MATCH(A111,'Elemental analysis'!$Q$5:$Q$139,0)),"",INDEX('Elemental analysis'!$Q$5:$W$139,MATCH(Summary!$A111,'Elemental analysis'!$Q$5:$Q$139,0),MATCH(Summary!C$1,'Elemental analysis'!$Q$5:$W$5,0)))</f>
        <v/>
      </c>
      <c r="D111" s="10" t="str">
        <f>IF(ISNA(MATCH(A111,'Elemental analysis'!$Y$5:$Y$139,0)),"",INDEX('Elemental analysis'!$Y$5:$AE$139,MATCH(Summary!$A111,'Elemental analysis'!$Y$5:$Y$139,0),MATCH(Summary!D$1,'Elemental analysis'!$Y$5:$AE$5,0)))</f>
        <v/>
      </c>
      <c r="E111" s="10" t="str">
        <f>IF( IF(ISNA(MATCH(A111,'Elemental analysis'!$Y$5:$Y$139,0)),"",INDEX('Elemental analysis'!$Y$5:$AE$139,MATCH(Summary!$A111,'Elemental analysis'!$Y$5:$Y$139,0),MATCH(Summary!E$1,'Elemental analysis'!$Y$5:$AE$5,0)))=0,"",IF(ISNA(MATCH(A111,'Elemental analysis'!$Y$5:$Y$139,0)),"",INDEX('Elemental analysis'!$Y$5:$AE$139,MATCH(Summary!$A111,'Elemental analysis'!$Y$5:$Y$139,0),MATCH(Summary!E$1,'Elemental analysis'!$Y$5:$AE$5,0))))</f>
        <v/>
      </c>
      <c r="F111" s="10" t="str">
        <f t="shared" si="2"/>
        <v/>
      </c>
      <c r="G111" s="10" t="str">
        <f t="shared" si="3"/>
        <v/>
      </c>
      <c r="H111" s="11" t="str">
        <f>IF(ISNA(MATCH(A111,'15N'!$B:$B,0)),"",INDEX('15N'!$A:$Y,MATCH(A111,'15N'!$B:$B,0),MATCH(Summary!$H$1,'15N'!$A$1:$Y$1,0)))</f>
        <v/>
      </c>
      <c r="I111" s="11" t="str">
        <f>IF(ISNA(MATCH(A111,'13C'!$B:$B,0)),"",INDEX('13C'!$A:$Z,MATCH(A111,'13C'!$B:$B,0),MATCH(Summary!$I$1,'13C'!$A$1:$Z$1,0)))</f>
        <v/>
      </c>
    </row>
    <row r="112" spans="1:9" x14ac:dyDescent="0.2">
      <c r="B112" s="20"/>
      <c r="C112" s="10" t="str">
        <f>IF(ISNA(MATCH(A112,'Elemental analysis'!$Q$5:$Q$139,0)),"",INDEX('Elemental analysis'!$Q$5:$W$139,MATCH(Summary!$A112,'Elemental analysis'!$Q$5:$Q$139,0),MATCH(Summary!C$1,'Elemental analysis'!$Q$5:$W$5,0)))</f>
        <v/>
      </c>
      <c r="D112" s="10" t="str">
        <f>IF(ISNA(MATCH(A112,'Elemental analysis'!$Y$5:$Y$139,0)),"",INDEX('Elemental analysis'!$Y$5:$AE$139,MATCH(Summary!$A112,'Elemental analysis'!$Y$5:$Y$139,0),MATCH(Summary!D$1,'Elemental analysis'!$Y$5:$AE$5,0)))</f>
        <v/>
      </c>
      <c r="E112" s="10" t="str">
        <f>IF( IF(ISNA(MATCH(A112,'Elemental analysis'!$Y$5:$Y$139,0)),"",INDEX('Elemental analysis'!$Y$5:$AE$139,MATCH(Summary!$A112,'Elemental analysis'!$Y$5:$Y$139,0),MATCH(Summary!E$1,'Elemental analysis'!$Y$5:$AE$5,0)))=0,"",IF(ISNA(MATCH(A112,'Elemental analysis'!$Y$5:$Y$139,0)),"",INDEX('Elemental analysis'!$Y$5:$AE$139,MATCH(Summary!$A112,'Elemental analysis'!$Y$5:$Y$139,0),MATCH(Summary!E$1,'Elemental analysis'!$Y$5:$AE$5,0))))</f>
        <v/>
      </c>
      <c r="F112" s="10" t="str">
        <f t="shared" si="2"/>
        <v/>
      </c>
      <c r="G112" s="10" t="str">
        <f t="shared" si="3"/>
        <v/>
      </c>
      <c r="H112" s="11" t="str">
        <f>IF(ISNA(MATCH(A112,'15N'!$B:$B,0)),"",INDEX('15N'!$A:$Y,MATCH(A112,'15N'!$B:$B,0),MATCH(Summary!$H$1,'15N'!$A$1:$Y$1,0)))</f>
        <v/>
      </c>
      <c r="I112" s="11" t="str">
        <f>IF(ISNA(MATCH(A112,'13C'!$B:$B,0)),"",INDEX('13C'!$A:$Z,MATCH(A112,'13C'!$B:$B,0),MATCH(Summary!$I$1,'13C'!$A$1:$Z$1,0)))</f>
        <v/>
      </c>
    </row>
    <row r="113" spans="2:2" x14ac:dyDescent="0.2">
      <c r="B113" s="20"/>
    </row>
    <row r="114" spans="2:2" x14ac:dyDescent="0.2">
      <c r="B114" s="20"/>
    </row>
    <row r="115" spans="2:2" x14ac:dyDescent="0.2">
      <c r="B115" s="20"/>
    </row>
    <row r="116" spans="2:2" x14ac:dyDescent="0.2">
      <c r="B116" s="20"/>
    </row>
    <row r="117" spans="2:2" x14ac:dyDescent="0.2">
      <c r="B117" s="20"/>
    </row>
    <row r="118" spans="2:2" x14ac:dyDescent="0.2">
      <c r="B118" s="20"/>
    </row>
    <row r="119" spans="2:2" x14ac:dyDescent="0.2">
      <c r="B119" s="20"/>
    </row>
    <row r="120" spans="2:2" x14ac:dyDescent="0.2">
      <c r="B120" s="20"/>
    </row>
    <row r="121" spans="2:2" x14ac:dyDescent="0.2">
      <c r="B121" s="20"/>
    </row>
    <row r="122" spans="2:2" x14ac:dyDescent="0.2">
      <c r="B122" s="20"/>
    </row>
    <row r="123" spans="2:2" x14ac:dyDescent="0.2">
      <c r="B123" s="20"/>
    </row>
    <row r="124" spans="2:2" x14ac:dyDescent="0.2">
      <c r="B124" s="20"/>
    </row>
    <row r="125" spans="2:2" x14ac:dyDescent="0.2">
      <c r="B125" s="20"/>
    </row>
    <row r="126" spans="2:2" x14ac:dyDescent="0.2">
      <c r="B126" s="20"/>
    </row>
    <row r="127" spans="2:2" x14ac:dyDescent="0.2">
      <c r="B127" s="20"/>
    </row>
    <row r="128" spans="2:2" x14ac:dyDescent="0.2">
      <c r="B128" s="20"/>
    </row>
    <row r="129" spans="2:2" x14ac:dyDescent="0.2">
      <c r="B129" s="20"/>
    </row>
    <row r="130" spans="2:2" x14ac:dyDescent="0.2">
      <c r="B130" s="20"/>
    </row>
    <row r="131" spans="2:2" x14ac:dyDescent="0.2">
      <c r="B131" s="20"/>
    </row>
    <row r="132" spans="2:2" x14ac:dyDescent="0.2">
      <c r="B132" s="20"/>
    </row>
    <row r="133" spans="2:2" x14ac:dyDescent="0.2">
      <c r="B133" s="20"/>
    </row>
    <row r="134" spans="2:2" x14ac:dyDescent="0.2">
      <c r="B134" s="20"/>
    </row>
    <row r="135" spans="2:2" x14ac:dyDescent="0.2">
      <c r="B135" s="20"/>
    </row>
    <row r="136" spans="2:2" x14ac:dyDescent="0.2">
      <c r="B136" s="20"/>
    </row>
    <row r="137" spans="2:2" x14ac:dyDescent="0.2">
      <c r="B137" s="20"/>
    </row>
    <row r="138" spans="2:2" x14ac:dyDescent="0.2">
      <c r="B138" s="20"/>
    </row>
    <row r="139" spans="2:2" x14ac:dyDescent="0.2">
      <c r="B139" s="20"/>
    </row>
    <row r="140" spans="2:2" x14ac:dyDescent="0.2">
      <c r="B140" s="20"/>
    </row>
    <row r="141" spans="2:2" x14ac:dyDescent="0.2">
      <c r="B141" s="20"/>
    </row>
    <row r="142" spans="2:2" x14ac:dyDescent="0.2">
      <c r="B142" s="20"/>
    </row>
    <row r="143" spans="2:2" x14ac:dyDescent="0.2">
      <c r="B143" s="20"/>
    </row>
    <row r="144" spans="2:2" x14ac:dyDescent="0.2">
      <c r="B144" s="20"/>
    </row>
    <row r="145" spans="2:2" x14ac:dyDescent="0.2">
      <c r="B145" s="20"/>
    </row>
    <row r="146" spans="2:2" x14ac:dyDescent="0.2">
      <c r="B146" s="20"/>
    </row>
    <row r="147" spans="2:2" x14ac:dyDescent="0.2">
      <c r="B147" s="20"/>
    </row>
    <row r="148" spans="2:2" x14ac:dyDescent="0.2">
      <c r="B148" s="20"/>
    </row>
    <row r="149" spans="2:2" x14ac:dyDescent="0.2">
      <c r="B149" s="20"/>
    </row>
    <row r="150" spans="2:2" x14ac:dyDescent="0.2">
      <c r="B150" s="20"/>
    </row>
    <row r="151" spans="2:2" x14ac:dyDescent="0.2">
      <c r="B151" s="20"/>
    </row>
    <row r="152" spans="2:2" x14ac:dyDescent="0.2">
      <c r="B152" s="20"/>
    </row>
    <row r="153" spans="2:2" x14ac:dyDescent="0.2">
      <c r="B153" s="20"/>
    </row>
    <row r="154" spans="2:2" x14ac:dyDescent="0.2">
      <c r="B154" s="20"/>
    </row>
    <row r="155" spans="2:2" x14ac:dyDescent="0.2">
      <c r="B155" s="20"/>
    </row>
    <row r="156" spans="2:2" x14ac:dyDescent="0.2">
      <c r="B156" s="20"/>
    </row>
    <row r="157" spans="2:2" x14ac:dyDescent="0.2">
      <c r="B157" s="20"/>
    </row>
    <row r="158" spans="2:2" x14ac:dyDescent="0.2">
      <c r="B158" s="20"/>
    </row>
    <row r="159" spans="2:2" x14ac:dyDescent="0.2">
      <c r="B159" s="20"/>
    </row>
    <row r="160" spans="2:2" x14ac:dyDescent="0.2">
      <c r="B160" s="20"/>
    </row>
    <row r="161" spans="2:2" x14ac:dyDescent="0.2">
      <c r="B161" s="20"/>
    </row>
    <row r="162" spans="2:2" x14ac:dyDescent="0.2">
      <c r="B162" s="20"/>
    </row>
    <row r="163" spans="2:2" x14ac:dyDescent="0.2">
      <c r="B163" s="20"/>
    </row>
    <row r="164" spans="2:2" x14ac:dyDescent="0.2">
      <c r="B164" s="20"/>
    </row>
    <row r="165" spans="2:2" x14ac:dyDescent="0.2">
      <c r="B165" s="20"/>
    </row>
    <row r="166" spans="2:2" x14ac:dyDescent="0.2">
      <c r="B166" s="20"/>
    </row>
    <row r="167" spans="2:2" x14ac:dyDescent="0.2">
      <c r="B167" s="20"/>
    </row>
    <row r="168" spans="2:2" x14ac:dyDescent="0.2">
      <c r="B168" s="20"/>
    </row>
    <row r="169" spans="2:2" x14ac:dyDescent="0.2">
      <c r="B169" s="20"/>
    </row>
    <row r="170" spans="2:2" x14ac:dyDescent="0.2">
      <c r="B170" s="20"/>
    </row>
    <row r="171" spans="2:2" x14ac:dyDescent="0.2">
      <c r="B171" s="20"/>
    </row>
    <row r="172" spans="2:2" x14ac:dyDescent="0.2">
      <c r="B172" s="20"/>
    </row>
    <row r="173" spans="2:2" x14ac:dyDescent="0.2">
      <c r="B173" s="20"/>
    </row>
    <row r="174" spans="2:2" x14ac:dyDescent="0.2">
      <c r="B174" s="20"/>
    </row>
    <row r="175" spans="2:2" x14ac:dyDescent="0.2">
      <c r="B175" s="20"/>
    </row>
    <row r="176" spans="2:2" x14ac:dyDescent="0.2">
      <c r="B176" s="20"/>
    </row>
    <row r="177" spans="2:2" x14ac:dyDescent="0.2">
      <c r="B177" s="20"/>
    </row>
    <row r="178" spans="2:2" x14ac:dyDescent="0.2">
      <c r="B178" s="20"/>
    </row>
    <row r="179" spans="2:2" x14ac:dyDescent="0.2">
      <c r="B179" s="20"/>
    </row>
    <row r="180" spans="2:2" x14ac:dyDescent="0.2">
      <c r="B180" s="20"/>
    </row>
    <row r="181" spans="2:2" x14ac:dyDescent="0.2">
      <c r="B181" s="20"/>
    </row>
    <row r="182" spans="2:2" x14ac:dyDescent="0.2">
      <c r="B182" s="20"/>
    </row>
    <row r="183" spans="2:2" x14ac:dyDescent="0.2">
      <c r="B183" s="20"/>
    </row>
    <row r="184" spans="2:2" x14ac:dyDescent="0.2">
      <c r="B184" s="20"/>
    </row>
    <row r="185" spans="2:2" x14ac:dyDescent="0.2">
      <c r="B185" s="20"/>
    </row>
    <row r="186" spans="2:2" x14ac:dyDescent="0.2">
      <c r="B186" s="20"/>
    </row>
    <row r="187" spans="2:2" x14ac:dyDescent="0.2">
      <c r="B187" s="20"/>
    </row>
    <row r="188" spans="2:2" x14ac:dyDescent="0.2">
      <c r="B188" s="20"/>
    </row>
    <row r="189" spans="2:2" x14ac:dyDescent="0.2">
      <c r="B189" s="20"/>
    </row>
    <row r="190" spans="2:2" x14ac:dyDescent="0.2">
      <c r="B190" s="20"/>
    </row>
    <row r="191" spans="2:2" x14ac:dyDescent="0.2">
      <c r="B191" s="20"/>
    </row>
    <row r="192" spans="2:2" x14ac:dyDescent="0.2">
      <c r="B192" s="20"/>
    </row>
    <row r="193" spans="2:2" x14ac:dyDescent="0.2">
      <c r="B193" s="20"/>
    </row>
    <row r="194" spans="2:2" x14ac:dyDescent="0.2">
      <c r="B194" s="20"/>
    </row>
    <row r="195" spans="2:2" x14ac:dyDescent="0.2">
      <c r="B195" s="20"/>
    </row>
    <row r="196" spans="2:2" x14ac:dyDescent="0.2">
      <c r="B196" s="20"/>
    </row>
    <row r="197" spans="2:2" x14ac:dyDescent="0.2">
      <c r="B197" s="20"/>
    </row>
    <row r="198" spans="2:2" x14ac:dyDescent="0.2">
      <c r="B198" s="20"/>
    </row>
    <row r="199" spans="2:2" x14ac:dyDescent="0.2">
      <c r="B199" s="20"/>
    </row>
    <row r="200" spans="2:2" x14ac:dyDescent="0.2">
      <c r="B200" s="20"/>
    </row>
    <row r="201" spans="2:2" x14ac:dyDescent="0.2">
      <c r="B201" s="20"/>
    </row>
    <row r="202" spans="2:2" x14ac:dyDescent="0.2">
      <c r="B202" s="20"/>
    </row>
    <row r="203" spans="2:2" x14ac:dyDescent="0.2">
      <c r="B203" s="20"/>
    </row>
    <row r="204" spans="2:2" x14ac:dyDescent="0.2">
      <c r="B204" s="20"/>
    </row>
    <row r="205" spans="2:2" x14ac:dyDescent="0.2">
      <c r="B205" s="20"/>
    </row>
    <row r="206" spans="2:2" x14ac:dyDescent="0.2">
      <c r="B206" s="20"/>
    </row>
    <row r="207" spans="2:2" x14ac:dyDescent="0.2">
      <c r="B207" s="20"/>
    </row>
    <row r="208" spans="2:2" x14ac:dyDescent="0.2">
      <c r="B208" s="20"/>
    </row>
    <row r="209" spans="2:2" x14ac:dyDescent="0.2">
      <c r="B209" s="20"/>
    </row>
    <row r="210" spans="2:2" x14ac:dyDescent="0.2">
      <c r="B210" s="20"/>
    </row>
    <row r="211" spans="2:2" x14ac:dyDescent="0.2">
      <c r="B211" s="20"/>
    </row>
    <row r="212" spans="2:2" x14ac:dyDescent="0.2">
      <c r="B212" s="20"/>
    </row>
    <row r="213" spans="2:2" x14ac:dyDescent="0.2">
      <c r="B213" s="20"/>
    </row>
    <row r="214" spans="2:2" x14ac:dyDescent="0.2">
      <c r="B214" s="20"/>
    </row>
    <row r="215" spans="2:2" x14ac:dyDescent="0.2">
      <c r="B215" s="20"/>
    </row>
    <row r="216" spans="2:2" x14ac:dyDescent="0.2">
      <c r="B216" s="20"/>
    </row>
    <row r="217" spans="2:2" x14ac:dyDescent="0.2">
      <c r="B217" s="20"/>
    </row>
    <row r="218" spans="2:2" x14ac:dyDescent="0.2">
      <c r="B218" s="20"/>
    </row>
    <row r="219" spans="2:2" x14ac:dyDescent="0.2">
      <c r="B219" s="20"/>
    </row>
    <row r="220" spans="2:2" x14ac:dyDescent="0.2">
      <c r="B220" s="20"/>
    </row>
    <row r="221" spans="2:2" x14ac:dyDescent="0.2">
      <c r="B221" s="20"/>
    </row>
    <row r="222" spans="2:2" x14ac:dyDescent="0.2">
      <c r="B222" s="20"/>
    </row>
    <row r="223" spans="2:2" x14ac:dyDescent="0.2">
      <c r="B223" s="20"/>
    </row>
    <row r="224" spans="2:2" x14ac:dyDescent="0.2">
      <c r="B224" s="20"/>
    </row>
    <row r="225" spans="2:2" x14ac:dyDescent="0.2">
      <c r="B225" s="20"/>
    </row>
    <row r="226" spans="2:2" x14ac:dyDescent="0.2">
      <c r="B226" s="20"/>
    </row>
    <row r="227" spans="2:2" x14ac:dyDescent="0.2">
      <c r="B227" s="20"/>
    </row>
    <row r="228" spans="2:2" x14ac:dyDescent="0.2">
      <c r="B228" s="20"/>
    </row>
    <row r="229" spans="2:2" x14ac:dyDescent="0.2">
      <c r="B229" s="20"/>
    </row>
    <row r="230" spans="2:2" x14ac:dyDescent="0.2">
      <c r="B230" s="20"/>
    </row>
    <row r="231" spans="2:2" x14ac:dyDescent="0.2">
      <c r="B231" s="20"/>
    </row>
    <row r="232" spans="2:2" x14ac:dyDescent="0.2">
      <c r="B232" s="20"/>
    </row>
    <row r="233" spans="2:2" x14ac:dyDescent="0.2">
      <c r="B233" s="20"/>
    </row>
    <row r="234" spans="2:2" x14ac:dyDescent="0.2">
      <c r="B234" s="20"/>
    </row>
    <row r="235" spans="2:2" x14ac:dyDescent="0.2">
      <c r="B235" s="20"/>
    </row>
    <row r="236" spans="2:2" x14ac:dyDescent="0.2">
      <c r="B236" s="20"/>
    </row>
    <row r="237" spans="2:2" x14ac:dyDescent="0.2">
      <c r="B237" s="20"/>
    </row>
    <row r="238" spans="2:2" x14ac:dyDescent="0.2">
      <c r="B238" s="20"/>
    </row>
    <row r="239" spans="2:2" x14ac:dyDescent="0.2">
      <c r="B239" s="20"/>
    </row>
    <row r="240" spans="2:2" x14ac:dyDescent="0.2">
      <c r="B240" s="20"/>
    </row>
    <row r="241" spans="2:2" x14ac:dyDescent="0.2">
      <c r="B241" s="20"/>
    </row>
    <row r="242" spans="2:2" x14ac:dyDescent="0.2">
      <c r="B242" s="20"/>
    </row>
    <row r="243" spans="2:2" x14ac:dyDescent="0.2">
      <c r="B243" s="20"/>
    </row>
    <row r="244" spans="2:2" x14ac:dyDescent="0.2">
      <c r="B244" s="20"/>
    </row>
    <row r="245" spans="2:2" x14ac:dyDescent="0.2">
      <c r="B245" s="20"/>
    </row>
    <row r="246" spans="2:2" x14ac:dyDescent="0.2">
      <c r="B246" s="20"/>
    </row>
    <row r="247" spans="2:2" x14ac:dyDescent="0.2">
      <c r="B247" s="20"/>
    </row>
    <row r="248" spans="2:2" x14ac:dyDescent="0.2">
      <c r="B248" s="20"/>
    </row>
    <row r="249" spans="2:2" x14ac:dyDescent="0.2">
      <c r="B249" s="20"/>
    </row>
    <row r="250" spans="2:2" x14ac:dyDescent="0.2">
      <c r="B250" s="20"/>
    </row>
    <row r="251" spans="2:2" x14ac:dyDescent="0.2">
      <c r="B251" s="20"/>
    </row>
    <row r="252" spans="2:2" x14ac:dyDescent="0.2">
      <c r="B252" s="20"/>
    </row>
    <row r="253" spans="2:2" x14ac:dyDescent="0.2">
      <c r="B253" s="20"/>
    </row>
    <row r="254" spans="2:2" x14ac:dyDescent="0.2">
      <c r="B254" s="20"/>
    </row>
    <row r="255" spans="2:2" x14ac:dyDescent="0.2">
      <c r="B255" s="20"/>
    </row>
    <row r="256" spans="2:2" x14ac:dyDescent="0.2">
      <c r="B256" s="20"/>
    </row>
    <row r="257" spans="2:2" x14ac:dyDescent="0.2">
      <c r="B257" s="20"/>
    </row>
    <row r="258" spans="2:2" x14ac:dyDescent="0.2">
      <c r="B258" s="20"/>
    </row>
    <row r="259" spans="2:2" x14ac:dyDescent="0.2">
      <c r="B259" s="20"/>
    </row>
    <row r="260" spans="2:2" x14ac:dyDescent="0.2">
      <c r="B260" s="20"/>
    </row>
    <row r="261" spans="2:2" x14ac:dyDescent="0.2">
      <c r="B261" s="20"/>
    </row>
    <row r="262" spans="2:2" x14ac:dyDescent="0.2">
      <c r="B262" s="20"/>
    </row>
    <row r="263" spans="2:2" x14ac:dyDescent="0.2">
      <c r="B263" s="20"/>
    </row>
    <row r="264" spans="2:2" x14ac:dyDescent="0.2">
      <c r="B264" s="20"/>
    </row>
    <row r="265" spans="2:2" x14ac:dyDescent="0.2">
      <c r="B265" s="20"/>
    </row>
    <row r="266" spans="2:2" x14ac:dyDescent="0.2">
      <c r="B266" s="20"/>
    </row>
    <row r="267" spans="2:2" x14ac:dyDescent="0.2">
      <c r="B267" s="20"/>
    </row>
    <row r="268" spans="2:2" x14ac:dyDescent="0.2">
      <c r="B268" s="20"/>
    </row>
    <row r="269" spans="2:2" x14ac:dyDescent="0.2">
      <c r="B269" s="20"/>
    </row>
    <row r="270" spans="2:2" x14ac:dyDescent="0.2">
      <c r="B270" s="20"/>
    </row>
    <row r="271" spans="2:2" x14ac:dyDescent="0.2">
      <c r="B271" s="20"/>
    </row>
    <row r="272" spans="2:2" x14ac:dyDescent="0.2">
      <c r="B272" s="20"/>
    </row>
    <row r="273" spans="2:2" x14ac:dyDescent="0.2">
      <c r="B273" s="20"/>
    </row>
    <row r="274" spans="2:2" x14ac:dyDescent="0.2">
      <c r="B274" s="20"/>
    </row>
    <row r="275" spans="2:2" x14ac:dyDescent="0.2">
      <c r="B275" s="20"/>
    </row>
    <row r="276" spans="2:2" x14ac:dyDescent="0.2">
      <c r="B276" s="20"/>
    </row>
    <row r="277" spans="2:2" x14ac:dyDescent="0.2">
      <c r="B277" s="20"/>
    </row>
    <row r="278" spans="2:2" x14ac:dyDescent="0.2">
      <c r="B278" s="20"/>
    </row>
    <row r="279" spans="2:2" x14ac:dyDescent="0.2">
      <c r="B279" s="20"/>
    </row>
    <row r="280" spans="2:2" x14ac:dyDescent="0.2">
      <c r="B280" s="20"/>
    </row>
    <row r="281" spans="2:2" x14ac:dyDescent="0.2">
      <c r="B281" s="20"/>
    </row>
    <row r="282" spans="2:2" x14ac:dyDescent="0.2">
      <c r="B282" s="20"/>
    </row>
    <row r="283" spans="2:2" x14ac:dyDescent="0.2">
      <c r="B283" s="20"/>
    </row>
    <row r="284" spans="2:2" x14ac:dyDescent="0.2">
      <c r="B284" s="20"/>
    </row>
    <row r="285" spans="2:2" x14ac:dyDescent="0.2">
      <c r="B285" s="20"/>
    </row>
    <row r="286" spans="2:2" x14ac:dyDescent="0.2">
      <c r="B286" s="20"/>
    </row>
    <row r="287" spans="2:2" x14ac:dyDescent="0.2">
      <c r="B287" s="20"/>
    </row>
    <row r="288" spans="2:2" x14ac:dyDescent="0.2">
      <c r="B288" s="20"/>
    </row>
    <row r="289" spans="2:2" x14ac:dyDescent="0.2">
      <c r="B289" s="20"/>
    </row>
    <row r="290" spans="2:2" x14ac:dyDescent="0.2">
      <c r="B290" s="20"/>
    </row>
    <row r="291" spans="2:2" x14ac:dyDescent="0.2">
      <c r="B291" s="20"/>
    </row>
    <row r="292" spans="2:2" x14ac:dyDescent="0.2">
      <c r="B292" s="20"/>
    </row>
    <row r="293" spans="2:2" x14ac:dyDescent="0.2">
      <c r="B293" s="20"/>
    </row>
    <row r="294" spans="2:2" x14ac:dyDescent="0.2">
      <c r="B294" s="20"/>
    </row>
    <row r="295" spans="2:2" x14ac:dyDescent="0.2">
      <c r="B295" s="20"/>
    </row>
    <row r="296" spans="2:2" x14ac:dyDescent="0.2">
      <c r="B296" s="20"/>
    </row>
    <row r="297" spans="2:2" x14ac:dyDescent="0.2">
      <c r="B297" s="20"/>
    </row>
    <row r="298" spans="2:2" x14ac:dyDescent="0.2">
      <c r="B298" s="20"/>
    </row>
    <row r="299" spans="2:2" x14ac:dyDescent="0.2">
      <c r="B299" s="20"/>
    </row>
    <row r="300" spans="2:2" x14ac:dyDescent="0.2">
      <c r="B300" s="20"/>
    </row>
    <row r="301" spans="2:2" x14ac:dyDescent="0.2">
      <c r="B301" s="20"/>
    </row>
    <row r="302" spans="2:2" x14ac:dyDescent="0.2">
      <c r="B302" s="20"/>
    </row>
    <row r="303" spans="2:2" x14ac:dyDescent="0.2">
      <c r="B303" s="20"/>
    </row>
    <row r="304" spans="2:2" x14ac:dyDescent="0.2">
      <c r="B304" s="20"/>
    </row>
    <row r="305" spans="2:2" x14ac:dyDescent="0.2">
      <c r="B305" s="20"/>
    </row>
    <row r="306" spans="2:2" x14ac:dyDescent="0.2">
      <c r="B306" s="20"/>
    </row>
    <row r="307" spans="2:2" x14ac:dyDescent="0.2">
      <c r="B307" s="20"/>
    </row>
    <row r="308" spans="2:2" x14ac:dyDescent="0.2">
      <c r="B308" s="20"/>
    </row>
    <row r="309" spans="2:2" x14ac:dyDescent="0.2">
      <c r="B309" s="20"/>
    </row>
    <row r="310" spans="2:2" x14ac:dyDescent="0.2">
      <c r="B310" s="20"/>
    </row>
    <row r="311" spans="2:2" x14ac:dyDescent="0.2">
      <c r="B311" s="20"/>
    </row>
    <row r="312" spans="2:2" x14ac:dyDescent="0.2">
      <c r="B312" s="20"/>
    </row>
    <row r="313" spans="2:2" x14ac:dyDescent="0.2">
      <c r="B313" s="20"/>
    </row>
    <row r="314" spans="2:2" x14ac:dyDescent="0.2">
      <c r="B314" s="20"/>
    </row>
    <row r="315" spans="2:2" x14ac:dyDescent="0.2">
      <c r="B315" s="20"/>
    </row>
    <row r="316" spans="2:2" x14ac:dyDescent="0.2">
      <c r="B316" s="20"/>
    </row>
    <row r="317" spans="2:2" x14ac:dyDescent="0.2">
      <c r="B317" s="20"/>
    </row>
    <row r="318" spans="2:2" x14ac:dyDescent="0.2">
      <c r="B318" s="20"/>
    </row>
    <row r="319" spans="2:2" x14ac:dyDescent="0.2">
      <c r="B319" s="20"/>
    </row>
    <row r="320" spans="2:2" x14ac:dyDescent="0.2">
      <c r="B320" s="20"/>
    </row>
    <row r="321" spans="2:2" x14ac:dyDescent="0.2">
      <c r="B321" s="20"/>
    </row>
    <row r="322" spans="2:2" x14ac:dyDescent="0.2">
      <c r="B322" s="20"/>
    </row>
    <row r="323" spans="2:2" x14ac:dyDescent="0.2">
      <c r="B323" s="20"/>
    </row>
    <row r="324" spans="2:2" x14ac:dyDescent="0.2">
      <c r="B324" s="20"/>
    </row>
    <row r="325" spans="2:2" x14ac:dyDescent="0.2">
      <c r="B325" s="20"/>
    </row>
    <row r="326" spans="2:2" x14ac:dyDescent="0.2">
      <c r="B326" s="20"/>
    </row>
    <row r="327" spans="2:2" x14ac:dyDescent="0.2">
      <c r="B327" s="20"/>
    </row>
    <row r="328" spans="2:2" x14ac:dyDescent="0.2">
      <c r="B328" s="20"/>
    </row>
    <row r="329" spans="2:2" x14ac:dyDescent="0.2">
      <c r="B329" s="20"/>
    </row>
    <row r="330" spans="2:2" x14ac:dyDescent="0.2">
      <c r="B330" s="20"/>
    </row>
    <row r="331" spans="2:2" x14ac:dyDescent="0.2">
      <c r="B331" s="20"/>
    </row>
    <row r="332" spans="2:2" x14ac:dyDescent="0.2">
      <c r="B332" s="20"/>
    </row>
    <row r="333" spans="2:2" x14ac:dyDescent="0.2">
      <c r="B333" s="20"/>
    </row>
    <row r="334" spans="2:2" x14ac:dyDescent="0.2">
      <c r="B334" s="20"/>
    </row>
    <row r="335" spans="2:2" x14ac:dyDescent="0.2">
      <c r="B335" s="20"/>
    </row>
    <row r="336" spans="2:2" x14ac:dyDescent="0.2">
      <c r="B336" s="20"/>
    </row>
    <row r="337" spans="2:2" x14ac:dyDescent="0.2">
      <c r="B337" s="20"/>
    </row>
    <row r="338" spans="2:2" x14ac:dyDescent="0.2">
      <c r="B338" s="20"/>
    </row>
    <row r="339" spans="2:2" x14ac:dyDescent="0.2">
      <c r="B339" s="20"/>
    </row>
    <row r="340" spans="2:2" x14ac:dyDescent="0.2">
      <c r="B340" s="20"/>
    </row>
    <row r="341" spans="2:2" x14ac:dyDescent="0.2">
      <c r="B341" s="20"/>
    </row>
  </sheetData>
  <mergeCells count="3">
    <mergeCell ref="K8:L8"/>
    <mergeCell ref="K9:L9"/>
    <mergeCell ref="K10:L10"/>
  </mergeCells>
  <dataValidations count="2">
    <dataValidation type="list" allowBlank="1" showInputMessage="1" showErrorMessage="1" sqref="C1" xr:uid="{00000000-0002-0000-0600-000000000000}">
      <formula1>N_pct_mg</formula1>
    </dataValidation>
    <dataValidation type="list" allowBlank="1" showInputMessage="1" showErrorMessage="1" sqref="D1" xr:uid="{00000000-0002-0000-0600-000001000000}">
      <formula1>C_pct_mg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33" r:id="rId3" name="Button 13">
              <controlPr defaultSize="0" autoFill="0" autoPict="0" macro="[0]!get_data">
                <anchor moveWithCells="1" sizeWithCells="1">
                  <from>
                    <xdr:col>9</xdr:col>
                    <xdr:colOff>38100</xdr:colOff>
                    <xdr:row>1</xdr:row>
                    <xdr:rowOff>12700</xdr:rowOff>
                  </from>
                  <to>
                    <xdr:col>9</xdr:col>
                    <xdr:colOff>800100</xdr:colOff>
                    <xdr:row>3</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Readme</vt:lpstr>
      <vt:lpstr>References</vt:lpstr>
      <vt:lpstr>TCD data</vt:lpstr>
      <vt:lpstr>Elemental analysis</vt:lpstr>
      <vt:lpstr>15N</vt:lpstr>
      <vt:lpstr>13C</vt:lpstr>
      <vt:lpstr>Summary</vt:lpstr>
      <vt:lpstr>C_pct_mg</vt:lpstr>
      <vt:lpstr>'13C'!Criteria</vt:lpstr>
      <vt:lpstr>'15N'!Criteria</vt:lpstr>
      <vt:lpstr>'Elemental analysis'!Criteria</vt:lpstr>
      <vt:lpstr>d13C</vt:lpstr>
      <vt:lpstr>d15N</vt:lpstr>
      <vt:lpstr>'13C'!Extract</vt:lpstr>
      <vt:lpstr>'15N'!Extract</vt:lpstr>
      <vt:lpstr>'Elemental analysis'!Extract</vt:lpstr>
      <vt:lpstr>Summary!Extract</vt:lpstr>
      <vt:lpstr>N_pct_mg</vt:lpstr>
      <vt:lpstr>Spirulina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PPE Isotope Lab</dc:creator>
  <cp:lastModifiedBy>Dan Nelson</cp:lastModifiedBy>
  <dcterms:created xsi:type="dcterms:W3CDTF">2015-11-18T13:51:57Z</dcterms:created>
  <dcterms:modified xsi:type="dcterms:W3CDTF">2021-02-26T08:35:29Z</dcterms:modified>
</cp:coreProperties>
</file>